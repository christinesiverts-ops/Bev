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in Program" sheetId="3" state="visible" r:id="rId3"/>
    <sheet xmlns:r="http://schemas.openxmlformats.org/officeDocument/2006/relationships" name="Promo Calendar" sheetId="4" state="visible" r:id="rId4"/>
    <sheet xmlns:r="http://schemas.openxmlformats.org/officeDocument/2006/relationships" name="Visit Log" sheetId="5" state="visible" r:id="rId5"/>
    <sheet xmlns:r="http://schemas.openxmlformats.org/officeDocument/2006/relationships" name="Store History" sheetId="6" state="visible" r:id="rId6"/>
    <sheet xmlns:r="http://schemas.openxmlformats.org/officeDocument/2006/relationships" name="Data Review" sheetId="7" state="visible" r:id="rId7"/>
    <sheet xmlns:r="http://schemas.openxmlformats.org/officeDocument/2006/relationships" name="Lists" sheetId="8" state="visible" r:id="rId8"/>
  </sheets>
  <definedNames>
    <definedName name="_xlnm._FilterDatabase" localSheetId="2" hidden="1">'Chain Program'!$A$5:$Y$47</definedName>
    <definedName name="_xlnm.Print_Titles" localSheetId="2">'Chain Program'!$4:$5</definedName>
    <definedName name="_xlnm._FilterDatabase" localSheetId="3" hidden="1">'Promo Calendar'!$A$5:$O$86</definedName>
    <definedName name="_xlnm.Print_Titles" localSheetId="3">'Promo Calendar'!$4:$5</definedName>
    <definedName name="_xlnm._FilterDatabase" localSheetId="4" hidden="1">'Visit Log'!$A$5:$X$1005</definedName>
    <definedName name="_xlnm.Print_Titles" localSheetId="4">'Visit Log'!$4:$5</definedName>
    <definedName name="_xlnm.Print_Titles" localSheetId="6">'Data Review'!$4:$5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&quot;$&quot;#,##0.00"/>
    <numFmt numFmtId="166" formatCode="yyyy-mm-dd"/>
    <numFmt numFmtId="167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4A5563"/>
      <sz val="9"/>
    </font>
    <font>
      <name val="Arial"/>
      <b val="1"/>
      <color rgb="001F2A44"/>
      <sz val="16"/>
    </font>
    <font>
      <name val="Arial"/>
      <b val="1"/>
      <color rgb="00000000"/>
      <sz val="10"/>
    </font>
    <font>
      <name val="Arial"/>
      <b val="1"/>
      <color rgb="00FFFFFF"/>
      <sz val="9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6B7280"/>
      <sz val="10"/>
    </font>
    <font>
      <name val="Arial"/>
      <i val="1"/>
      <color rgb="0092400E"/>
      <sz val="10"/>
    </font>
    <font>
      <name val="Arial"/>
      <b val="1"/>
      <color rgb="004A5563"/>
      <sz val="9"/>
    </font>
    <font>
      <name val="Arial"/>
      <b val="1"/>
      <color rgb="007A1F2B"/>
      <sz val="12"/>
    </font>
    <font>
      <name val="Arial"/>
      <color rgb="004A5563"/>
      <sz val="10"/>
    </font>
    <font>
      <name val="Arial"/>
      <color rgb="00000000"/>
      <sz val="9"/>
    </font>
    <font>
      <name val="Arial"/>
      <b val="1"/>
      <color rgb="001F2A44"/>
      <sz val="12"/>
    </font>
    <font>
      <name val="Arial"/>
      <b val="1"/>
      <color rgb="00000000"/>
      <sz val="9"/>
    </font>
    <font>
      <name val="Arial"/>
      <b val="1"/>
      <color rgb="001F2A44"/>
      <sz val="18"/>
    </font>
  </fonts>
  <fills count="16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0F6B78"/>
        <bgColor rgb="000F6B78"/>
      </patternFill>
    </fill>
    <fill>
      <patternFill patternType="solid">
        <fgColor rgb="008A5A19"/>
        <bgColor rgb="008A5A19"/>
      </patternFill>
    </fill>
    <fill>
      <patternFill patternType="solid">
        <fgColor rgb="007A1F2B"/>
        <bgColor rgb="007A1F2B"/>
      </patternFill>
    </fill>
    <fill>
      <patternFill patternType="solid">
        <fgColor rgb="004A5563"/>
        <bgColor rgb="004A5563"/>
      </patternFill>
    </fill>
    <fill>
      <patternFill patternType="solid">
        <fgColor rgb="00E4F3F5"/>
        <bgColor rgb="00E4F3F5"/>
      </patternFill>
    </fill>
    <fill>
      <patternFill patternType="solid">
        <fgColor rgb="00F7E9E4"/>
        <bgColor rgb="00F7E9E4"/>
      </patternFill>
    </fill>
    <fill>
      <patternFill patternType="solid">
        <fgColor rgb="00F4EEDF"/>
        <bgColor rgb="00F4EEDF"/>
      </patternFill>
    </fill>
    <fill>
      <patternFill patternType="solid">
        <fgColor rgb="00E6F2E6"/>
        <bgColor rgb="00E6F2E6"/>
      </patternFill>
    </fill>
    <fill>
      <patternFill patternType="solid">
        <fgColor rgb="00EEF0F3"/>
        <bgColor rgb="00EEF0F3"/>
      </patternFill>
    </fill>
    <fill>
      <patternFill patternType="solid">
        <fgColor rgb="009CA3AF"/>
        <bgColor rgb="009CA3AF"/>
      </patternFill>
    </fill>
    <fill>
      <patternFill patternType="solid">
        <fgColor rgb="00FFF7D6"/>
        <bgColor rgb="00FFF7D6"/>
      </patternFill>
    </fill>
    <fill>
      <patternFill patternType="solid">
        <fgColor rgb="00F3F4F6"/>
        <bgColor rgb="00F3F4F6"/>
      </patternFill>
    </fill>
    <fill>
      <patternFill patternType="solid">
        <fgColor rgb="00FDE68A"/>
        <bgColor rgb="00FDE68A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8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vertical="top" wrapText="1"/>
    </xf>
    <xf numFmtId="0" fontId="8" fillId="0" borderId="0" pivotButton="0" quotePrefix="0" xfId="0"/>
    <xf numFmtId="0" fontId="6" fillId="13" borderId="0" pivotButton="0" quotePrefix="0" xfId="0"/>
    <xf numFmtId="0" fontId="6" fillId="11" borderId="0" pivotButton="0" quotePrefix="0" xfId="0"/>
    <xf numFmtId="0" fontId="6" fillId="15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9" fillId="0" borderId="1" pivotButton="0" quotePrefix="0" xfId="0"/>
    <xf numFmtId="1" fontId="16" fillId="0" borderId="1" applyAlignment="1" pivotButton="0" quotePrefix="0" xfId="0">
      <alignment horizontal="right"/>
    </xf>
    <xf numFmtId="0" fontId="17" fillId="14" borderId="1" pivotButton="0" quotePrefix="0" xfId="0"/>
    <xf numFmtId="167" fontId="16" fillId="0" borderId="1" applyAlignment="1" pivotButton="0" quotePrefix="0" xfId="0">
      <alignment horizontal="right"/>
    </xf>
    <xf numFmtId="0" fontId="2" fillId="6" borderId="0" pivotButton="0" quotePrefix="0" xfId="0"/>
    <xf numFmtId="0" fontId="0" fillId="6" borderId="0" pivotButton="0" quotePrefix="0" xfId="0"/>
    <xf numFmtId="164" fontId="9" fillId="0" borderId="1" pivotButton="0" quotePrefix="0" xfId="0"/>
    <xf numFmtId="0" fontId="2" fillId="3" borderId="0" pivotButton="0" quotePrefix="0" xfId="0"/>
    <xf numFmtId="0" fontId="0" fillId="3" borderId="0" pivotButton="0" quotePrefix="0" xfId="0"/>
    <xf numFmtId="164" fontId="6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165" fontId="9" fillId="11" borderId="1" applyAlignment="1" pivotButton="0" quotePrefix="0" xfId="0">
      <alignment vertical="top" wrapText="1"/>
    </xf>
    <xf numFmtId="164" fontId="9" fillId="11" borderId="1" applyAlignment="1" pivotButton="0" quotePrefix="0" xfId="0">
      <alignment vertical="top" wrapText="1"/>
    </xf>
    <xf numFmtId="164" fontId="0" fillId="0" borderId="1" pivotButton="0" quotePrefix="0" xfId="0"/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9" fillId="11" borderId="1" pivotButton="0" quotePrefix="0" xfId="0"/>
    <xf numFmtId="164" fontId="3" fillId="0" borderId="1" applyAlignment="1" pivotButton="0" quotePrefix="0" xfId="0">
      <alignment vertical="top" wrapText="1"/>
    </xf>
    <xf numFmtId="0" fontId="10" fillId="11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4" borderId="0" pivotButton="0" quotePrefix="0" xfId="0"/>
    <xf numFmtId="0" fontId="2" fillId="12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7" fillId="12" borderId="1" applyAlignment="1" pivotButton="0" quotePrefix="0" xfId="0">
      <alignment horizontal="center" vertical="center" wrapText="1"/>
    </xf>
    <xf numFmtId="164" fontId="11" fillId="13" borderId="1" pivotButton="0" quotePrefix="0" xfId="0"/>
    <xf numFmtId="0" fontId="11" fillId="13" borderId="1" pivotButton="0" quotePrefix="0" xfId="0"/>
    <xf numFmtId="165" fontId="9" fillId="11" borderId="1" pivotButton="0" quotePrefix="0" xfId="0"/>
    <xf numFmtId="165" fontId="11" fillId="13" borderId="1" pivotButton="0" quotePrefix="0" xfId="0"/>
    <xf numFmtId="0" fontId="11" fillId="13" borderId="1" applyAlignment="1" pivotButton="0" quotePrefix="0" xfId="0">
      <alignment vertical="top" wrapText="1"/>
    </xf>
    <xf numFmtId="164" fontId="9" fillId="13" borderId="1" pivotButton="0" quotePrefix="0" xfId="0"/>
    <xf numFmtId="0" fontId="9" fillId="13" borderId="1" pivotButton="0" quotePrefix="0" xfId="0"/>
    <xf numFmtId="165" fontId="9" fillId="13" borderId="1" pivotButton="0" quotePrefix="0" xfId="0"/>
    <xf numFmtId="0" fontId="9" fillId="13" borderId="1" applyAlignment="1" pivotButton="0" quotePrefix="0" xfId="0">
      <alignment vertical="top" wrapText="1"/>
    </xf>
    <xf numFmtId="0" fontId="6" fillId="1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2" fillId="0" borderId="0" pivotButton="0" quotePrefix="0" xfId="0"/>
    <xf numFmtId="165" fontId="13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 wrapText="1"/>
    </xf>
    <xf numFmtId="0" fontId="14" fillId="0" borderId="0" pivotButton="0" quotePrefix="0" xfId="0"/>
    <xf numFmtId="164" fontId="15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165" fontId="15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dxfs count="6">
    <dxf>
      <fill>
        <patternFill patternType="solid">
          <fgColor rgb="00FECACA"/>
          <bgColor rgb="00FECACA"/>
        </patternFill>
      </fill>
    </dxf>
    <dxf>
      <fill>
        <patternFill patternType="solid">
          <fgColor rgb="00FDE68A"/>
          <bgColor rgb="00FDE68A"/>
        </patternFill>
      </fill>
    </dxf>
    <dxf>
      <fill>
        <patternFill patternType="solid">
          <fgColor rgb="00D1FAE5"/>
          <bgColor rgb="00D1FAE5"/>
        </patternFill>
      </fill>
    </dxf>
    <dxf>
      <fill>
        <patternFill patternType="solid">
          <fgColor rgb="00DBEAFE"/>
          <bgColor rgb="00DBEAFE"/>
        </patternFill>
      </fill>
    </dxf>
    <dxf>
      <fill>
        <patternFill patternType="solid">
          <fgColor rgb="00F3F4F6"/>
          <bgColor rgb="00F3F4F6"/>
        </patternFill>
      </fill>
    </dxf>
    <dxf>
      <font>
        <name val="Arial"/>
        <b val="1"/>
        <color rgb="00991B1B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Chain Audit Tool</author>
  </authors>
  <commentList>
    <comment ref="M5" authorId="0" shapeId="0">
      <text>
        <t>Base Shelf Price = everyday retail the shelf should show when no retail promo is active. Source per row in the Source column.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2A44"/>
    <outlinePr summaryBelow="1" summaryRight="1"/>
    <pageSetUpPr/>
  </sheetPr>
  <dimension ref="B1:C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>
      <c r="B1" s="1" t="inlineStr">
        <is>
          <t>CHAIN AUDIT TOOL - Pricing, Placement &amp; Display Compliance</t>
        </is>
      </c>
    </row>
    <row r="2">
      <c r="B2" s="2" t="inlineStr">
        <is>
          <t>Plan data as of Non-Alc Chain Document 9/8/2026 (+ HW Soda Hot Sheet 8/25/2025 for accounts missing from it)</t>
        </is>
      </c>
    </row>
    <row r="4">
      <c r="B4" s="3" t="inlineStr">
        <is>
          <t>WHAT EACH TAB IS FOR</t>
        </is>
      </c>
      <c r="C4" s="4" t="n"/>
    </row>
    <row r="5">
      <c r="B5" s="5" t="inlineStr">
        <is>
          <t>Dashboard</t>
        </is>
      </c>
      <c r="C5" s="6" t="inlineStr">
        <is>
          <t>Team KPIs, accountability by rep, open discrepancies by type. Nothing to type.</t>
        </is>
      </c>
    </row>
    <row r="6">
      <c r="B6" s="5" t="inlineStr">
        <is>
          <t>Chain Program</t>
        </is>
      </c>
      <c r="C6" s="6" t="inlineStr">
        <is>
          <t>The hot sheet. One row per brand x account: availability, merchandising callout, pricing and the expected shelf price today. Manager-owned.</t>
        </is>
      </c>
    </row>
    <row r="7">
      <c r="B7" s="5" t="inlineStr">
        <is>
          <t>Promo Calendar</t>
        </is>
      </c>
      <c r="C7" s="6" t="inlineStr">
        <is>
          <t>Every promo / case-cost window with start and end dates. Status (Active / Upcoming / Expired) is automatic. Manager-owned.</t>
        </is>
      </c>
    </row>
    <row r="8">
      <c r="B8" s="5" t="inlineStr">
        <is>
          <t>Visit Log</t>
        </is>
      </c>
      <c r="C8" s="6" t="inlineStr">
        <is>
          <t>Reps log each store check: observed price, tag, planogram location, in-stock, display, discrepancy type, notes and follow-up. Expected price and Price Check fill in automatically.</t>
        </is>
      </c>
    </row>
    <row r="9">
      <c r="B9" s="5" t="inlineStr">
        <is>
          <t>Store History</t>
        </is>
      </c>
      <c r="C9" s="6" t="inlineStr">
        <is>
          <t>Before a visit, pick the program (and store #) to see today's plan and the last 20 visit notes for that store, newest first.</t>
        </is>
      </c>
    </row>
    <row r="10">
      <c r="B10" s="5" t="inlineStr">
        <is>
          <t>Data Review</t>
        </is>
      </c>
      <c r="C10" s="6" t="inlineStr">
        <is>
          <t>Conflicts and gaps found while merging the Non-Alc Chain doc (9/8/26) with the HW Soda hot sheet (8/25/25). Work these down, then mark programs 'Current (2026)'.</t>
        </is>
      </c>
    </row>
    <row r="11">
      <c r="B11" s="5" t="inlineStr">
        <is>
          <t>Lists</t>
        </is>
      </c>
      <c r="C11" s="6" t="inlineStr">
        <is>
          <t>Dropdown values: team roster, SKUs, discrepancy types, statuses.</t>
        </is>
      </c>
    </row>
    <row r="13">
      <c r="B13" s="3" t="inlineStr">
        <is>
          <t>COLOR KEY</t>
        </is>
      </c>
      <c r="C13" s="4" t="n"/>
    </row>
    <row r="14">
      <c r="B14" s="7" t="inlineStr">
        <is>
          <t>Blue text</t>
        </is>
      </c>
      <c r="C14" s="6" t="inlineStr">
        <is>
          <t>Plan data the manager maintains (Chain Program, Promo Calendar, Lists).</t>
        </is>
      </c>
    </row>
    <row r="15">
      <c r="B15" s="8" t="inlineStr">
        <is>
          <t>Yellow cells</t>
        </is>
      </c>
      <c r="C15" s="6" t="inlineStr">
        <is>
          <t>Cells reps fill in (Visit Log, Store History selectors).</t>
        </is>
      </c>
    </row>
    <row r="16">
      <c r="B16" s="9" t="inlineStr">
        <is>
          <t>Grey cells</t>
        </is>
      </c>
      <c r="C16" s="6" t="inlineStr">
        <is>
          <t>Formulas. Do not type over them.</t>
        </is>
      </c>
    </row>
    <row r="17">
      <c r="B17" s="10" t="inlineStr">
        <is>
          <t>Amber 'Confirm for 2026'</t>
        </is>
      </c>
      <c r="C17" s="6" t="inlineStr">
        <is>
          <t>Program still relies on 2025 hot-sheet data. Treat expected prices as provisional.</t>
        </is>
      </c>
    </row>
    <row r="19">
      <c r="B19" s="3" t="inlineStr">
        <is>
          <t>FIELD WORKFLOW (REPS)</t>
        </is>
      </c>
      <c r="C19" s="4" t="n"/>
    </row>
    <row r="20">
      <c r="B20" s="5" t="inlineStr">
        <is>
          <t>1. Before the visit</t>
        </is>
      </c>
      <c r="C20" s="6" t="inlineStr">
        <is>
          <t>Store History tab: pick the program and store #. Read open issues and last notes.</t>
        </is>
      </c>
    </row>
    <row r="21">
      <c r="B21" s="5" t="inlineStr">
        <is>
          <t>2. In the store</t>
        </is>
      </c>
      <c r="C21" s="6" t="inlineStr">
        <is>
          <t>Check price vs. Expected Shelf Price, shelf tag, planogram location, all authorized SKUs, and the display callout.</t>
        </is>
      </c>
    </row>
    <row r="22">
      <c r="B22" s="5" t="inlineStr">
        <is>
          <t>3. Log it</t>
        </is>
      </c>
      <c r="C22" s="6" t="inlineStr">
        <is>
          <t>Visit Log: add one row per program checked (add extra rows for SKU-specific price checks). Pick a Discrepancy Type, write notes, set Follow-up Owner, Due Date and Status.</t>
        </is>
      </c>
    </row>
    <row r="23">
      <c r="B23" s="5" t="inlineStr">
        <is>
          <t>4. Next visit</t>
        </is>
      </c>
      <c r="C23" s="6" t="inlineStr">
        <is>
          <t>Update the Status / Resolved Date of prior open rows when fixed. Do not delete history.</t>
        </is>
      </c>
    </row>
    <row r="25">
      <c r="B25" s="3" t="inlineStr">
        <is>
          <t>MANAGER WORKFLOW</t>
        </is>
      </c>
      <c r="C25" s="4" t="n"/>
    </row>
    <row r="26">
      <c r="B26" s="5" t="inlineStr">
        <is>
          <t>Add a program</t>
        </is>
      </c>
      <c r="C26" s="6" t="inlineStr">
        <is>
          <t>New row at the bottom of Chain Program. Program ID must be unique (Brand | Account).</t>
        </is>
      </c>
    </row>
    <row r="27">
      <c r="B27" s="5" t="inlineStr">
        <is>
          <t>Add a promo</t>
        </is>
      </c>
      <c r="C27" s="6" t="inlineStr">
        <is>
          <t>New row in Promo Calendar: pick the Program ID, SKU (or All), dates, and Unit Retail if it changes shelf price. Leave Unit Retail blank for case-cost-only windows.</t>
        </is>
      </c>
    </row>
    <row r="28">
      <c r="B28" s="5" t="inlineStr">
        <is>
          <t>Weekly</t>
        </is>
      </c>
      <c r="C28" s="6" t="inlineStr">
        <is>
          <t>Dashboard: overdue follow-ups and reps with no visits in 30 days. Data Review: close questions.</t>
        </is>
      </c>
    </row>
    <row r="30">
      <c r="B30" s="3" t="inlineStr">
        <is>
          <t>SHARING &amp; PERMISSIONS (see docs/RECOMMENDATIONS.md in the repo)</t>
        </is>
      </c>
      <c r="C30" s="4" t="n"/>
    </row>
    <row r="31">
      <c r="B31" s="5" t="inlineStr">
        <is>
          <t>Plan (view-only)</t>
        </is>
      </c>
      <c r="C31" s="6" t="inlineStr">
        <is>
          <t>Store this file in SharePoint / OneDrive. Share with the team as 'Can view'. Only the manager has edit rights to Chain Program and Promo Calendar.</t>
        </is>
      </c>
    </row>
    <row r="32">
      <c r="B32" s="5" t="inlineStr">
        <is>
          <t>Visit notes</t>
        </is>
      </c>
      <c r="C32" s="6" t="inlineStr">
        <is>
          <t>Excel cannot give reps 'add rows but not edit the plan' rights inside one file. Recommended: move the Visit Log to a Microsoft List (same columns) with 'create items and edit only their own' permissions. Until then, a separate shared 'Visit Log' workbook with version history works.</t>
        </is>
      </c>
    </row>
    <row r="34">
      <c r="B34" s="3" t="inlineStr">
        <is>
          <t>NOTES</t>
        </is>
      </c>
      <c r="C34" s="4" t="n"/>
    </row>
    <row r="35">
      <c r="B35" s="5" t="inlineStr">
        <is>
          <t>Expected price</t>
        </is>
      </c>
      <c r="C35" s="6" t="inlineStr">
        <is>
          <t>Uses the lowest active retail promo on the visit date for that SKU (or 'All'), else Base Shelf Price. It recalculates if the plan is edited later - for a frozen audit record, move the Visit Log to Microsoft Lists.</t>
        </is>
      </c>
    </row>
    <row r="36">
      <c r="B36" s="5" t="inlineStr">
        <is>
          <t>History order</t>
        </is>
      </c>
      <c r="C36" s="6" t="inlineStr">
        <is>
          <t>Store History treats lower rows as newer. Keep the Visit Log in date order (sort A-Z by Visit Date if needed).</t>
        </is>
      </c>
    </row>
    <row r="37">
      <c r="B37" s="5" t="inlineStr">
        <is>
          <t>Example row</t>
        </is>
      </c>
      <c r="C37" s="6" t="inlineStr">
        <is>
          <t>Visit Log row 6 and the 'EXAMPLE - delete me' roster entry are samples. Delete both before go-live.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A44"/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" customWidth="1" min="3" max="3"/>
    <col width="30" customWidth="1" min="4" max="4"/>
    <col width="14" customWidth="1" min="5" max="5"/>
    <col width="14" customWidth="1" min="6" max="6"/>
    <col width="14" customWidth="1" min="7" max="7"/>
  </cols>
  <sheetData>
    <row r="1">
      <c r="A1" s="11" t="inlineStr">
        <is>
          <t>CHAIN AUDIT DASHBOARD</t>
        </is>
      </c>
    </row>
    <row r="2">
      <c r="A2" s="2">
        <f>"As of "&amp;TEXT(TODAY(),"m/d/yyyy")&amp;"  |  "&amp;"Plan data as of Non-Alc Chain Document 9/8/2026 (+ HW Soda Hot Sheet 8/25/2025 for accounts missing from it)"</f>
        <v/>
      </c>
    </row>
    <row r="4">
      <c r="A4" s="3" t="inlineStr">
        <is>
          <t>KEY NUMBERS</t>
        </is>
      </c>
      <c r="B4" s="4" t="n"/>
      <c r="D4" s="12" t="inlineStr">
        <is>
          <t>BY BRAND</t>
        </is>
      </c>
      <c r="E4" s="13" t="n"/>
      <c r="F4" s="13" t="n"/>
      <c r="G4" s="13" t="n"/>
    </row>
    <row r="5">
      <c r="A5" s="14" t="inlineStr">
        <is>
          <t>Programs tracked</t>
        </is>
      </c>
      <c r="B5" s="15">
        <f>COUNTA('Chain Program'!$A$6:$A$120)</f>
        <v/>
      </c>
      <c r="D5" s="16" t="inlineStr">
        <is>
          <t>Brand</t>
        </is>
      </c>
      <c r="E5" s="16" t="inlineStr">
        <is>
          <t>Programs</t>
        </is>
      </c>
      <c r="F5" s="16" t="inlineStr">
        <is>
          <t>Active promos</t>
        </is>
      </c>
      <c r="G5" s="16" t="inlineStr">
        <is>
          <t>Open issues</t>
        </is>
      </c>
    </row>
    <row r="6">
      <c r="A6" s="14" t="inlineStr">
        <is>
          <t>Programs needing 2026 confirmation</t>
        </is>
      </c>
      <c r="B6" s="15">
        <f>COUNTIF('Chain Program'!$U$6:$U$120,"Confirm for 2026")</f>
        <v/>
      </c>
      <c r="D6" s="14" t="inlineStr">
        <is>
          <t>ZOA</t>
        </is>
      </c>
      <c r="E6" s="14">
        <f>COUNTIF('Chain Program'!$B$6:$B$120,D6)</f>
        <v/>
      </c>
      <c r="F6" s="14">
        <f>COUNTIFS('Promo Calendar'!$B$6:$B$400,D6,'Promo Calendar'!$L$6:$L$400,"Active")</f>
        <v/>
      </c>
      <c r="G6" s="14">
        <f>COUNTIFS('Visit Log'!$D$6:$D$1005,D6,'Visit Log'!$T$6:$T$1005,"Open")+COUNTIFS('Visit Log'!$D$6:$D$1005,D6,'Visit Log'!$T$6:$T$1005,"In Progress")</f>
        <v/>
      </c>
    </row>
    <row r="7">
      <c r="A7" s="14" t="inlineStr">
        <is>
          <t>Promo windows active today</t>
        </is>
      </c>
      <c r="B7" s="15">
        <f>COUNTIF('Promo Calendar'!$L$6:$L$400,"Active")</f>
        <v/>
      </c>
      <c r="D7" s="14" t="inlineStr">
        <is>
          <t>Henry's</t>
        </is>
      </c>
      <c r="E7" s="14">
        <f>COUNTIF('Chain Program'!$B$6:$B$120,D7)</f>
        <v/>
      </c>
      <c r="F7" s="14">
        <f>COUNTIFS('Promo Calendar'!$B$6:$B$400,D7,'Promo Calendar'!$L$6:$L$400,"Active")</f>
        <v/>
      </c>
      <c r="G7" s="14">
        <f>COUNTIFS('Visit Log'!$D$6:$D$1005,D7,'Visit Log'!$T$6:$T$1005,"Open")+COUNTIFS('Visit Log'!$D$6:$D$1005,D7,'Visit Log'!$T$6:$T$1005,"In Progress")</f>
        <v/>
      </c>
    </row>
    <row r="8">
      <c r="A8" s="14" t="inlineStr">
        <is>
          <t>Promo windows starting in next 14 days</t>
        </is>
      </c>
      <c r="B8" s="15">
        <f>COUNTIFS('Promo Calendar'!$I$6:$I$400,"&gt;"&amp;TODAY(),'Promo Calendar'!$I$6:$I$400,"&lt;="&amp;TODAY()+14)</f>
        <v/>
      </c>
      <c r="D8" s="14" t="inlineStr">
        <is>
          <t>Fever-Tree</t>
        </is>
      </c>
      <c r="E8" s="14">
        <f>COUNTIF('Chain Program'!$B$6:$B$120,D8)</f>
        <v/>
      </c>
      <c r="F8" s="14">
        <f>COUNTIFS('Promo Calendar'!$B$6:$B$400,D8,'Promo Calendar'!$L$6:$L$400,"Active")</f>
        <v/>
      </c>
      <c r="G8" s="14">
        <f>COUNTIFS('Visit Log'!$D$6:$D$1005,D8,'Visit Log'!$T$6:$T$1005,"Open")+COUNTIFS('Visit Log'!$D$6:$D$1005,D8,'Visit Log'!$T$6:$T$1005,"In Progress")</f>
        <v/>
      </c>
    </row>
    <row r="9">
      <c r="A9" s="14" t="inlineStr">
        <is>
          <t>Visits logged, last 30 days</t>
        </is>
      </c>
      <c r="B9" s="15">
        <f>COUNTIFS('Visit Log'!$A$6:$A$1005,"&gt;="&amp;TODAY()-30)</f>
        <v/>
      </c>
      <c r="D9" s="14" t="inlineStr">
        <is>
          <t>Naked Life</t>
        </is>
      </c>
      <c r="E9" s="14">
        <f>COUNTIF('Chain Program'!$B$6:$B$120,D9)</f>
        <v/>
      </c>
      <c r="F9" s="14">
        <f>COUNTIFS('Promo Calendar'!$B$6:$B$400,D9,'Promo Calendar'!$L$6:$L$400,"Active")</f>
        <v/>
      </c>
      <c r="G9" s="14">
        <f>COUNTIFS('Visit Log'!$D$6:$D$1005,D9,'Visit Log'!$T$6:$T$1005,"Open")+COUNTIFS('Visit Log'!$D$6:$D$1005,D9,'Visit Log'!$T$6:$T$1005,"In Progress")</f>
        <v/>
      </c>
    </row>
    <row r="10">
      <c r="A10" s="14" t="inlineStr">
        <is>
          <t>Open / in-progress discrepancies</t>
        </is>
      </c>
      <c r="B10" s="15">
        <f>COUNTIF('Visit Log'!$T$6:$T$1005,"Open")+COUNTIF('Visit Log'!$T$6:$T$1005,"In Progress")</f>
        <v/>
      </c>
    </row>
    <row r="11">
      <c r="A11" s="14" t="inlineStr">
        <is>
          <t>Overdue follow-ups</t>
        </is>
      </c>
      <c r="B11" s="15">
        <f>COUNTIFS('Visit Log'!$T$6:$T$1005,"Open",'Visit Log'!$S$6:$S$1005,"&lt;"&amp;TODAY())+COUNTIFS('Visit Log'!$T$6:$T$1005,"In Progress",'Visit Log'!$S$6:$S$1005,"&lt;"&amp;TODAY())</f>
        <v/>
      </c>
    </row>
    <row r="12">
      <c r="A12" s="14" t="inlineStr">
        <is>
          <t>Shelf price match rate</t>
        </is>
      </c>
      <c r="B12" s="17">
        <f>IFERROR(COUNTIF('Visit Log'!$J$6:$J$1005,"Match")/(COUNTIF('Visit Log'!$J$6:$J$1005,"Match")+COUNTIF('Visit Log'!$J$6:$J$1005,"Over plan")+COUNTIF('Visit Log'!$J$6:$J$1005,"Under plan")),"No checks yet")</f>
        <v/>
      </c>
    </row>
    <row r="15">
      <c r="A15" s="18" t="inlineStr">
        <is>
          <t>ACCOUNTABILITY BY REP</t>
        </is>
      </c>
      <c r="B15" s="19" t="n"/>
      <c r="C15" s="19" t="n"/>
      <c r="D15" s="19" t="n"/>
      <c r="E15" s="19" t="n"/>
      <c r="F15" s="19" t="n"/>
      <c r="G15" s="19" t="n"/>
    </row>
    <row r="16">
      <c r="A16" s="16" t="inlineStr">
        <is>
          <t>Rep</t>
        </is>
      </c>
      <c r="B16" s="16" t="inlineStr">
        <is>
          <t>Visits (30 days)</t>
        </is>
      </c>
      <c r="D16" s="16" t="inlineStr">
        <is>
          <t>Open issues owned</t>
        </is>
      </c>
      <c r="E16" s="16" t="inlineStr">
        <is>
          <t>Overdue</t>
        </is>
      </c>
      <c r="F16" s="16" t="inlineStr">
        <is>
          <t>Last visit</t>
        </is>
      </c>
      <c r="G16" s="16" t="inlineStr">
        <is>
          <t>Price checks (30 days)</t>
        </is>
      </c>
    </row>
    <row r="17">
      <c r="A17" s="14">
        <f>IF(Lists!$A$4="","",Lists!$A$4)</f>
        <v/>
      </c>
      <c r="B17" s="14">
        <f>IF($A17="","",COUNTIFS('Visit Log'!$B$6:$B$1005,$A17,'Visit Log'!$A$6:$A$1005,"&gt;="&amp;TODAY()-30))</f>
        <v/>
      </c>
      <c r="D17" s="14">
        <f>IF($A17="","",COUNTIFS('Visit Log'!$R$6:$R$1005,$A17,'Visit Log'!$T$6:$T$1005,"Open")+COUNTIFS('Visit Log'!$R$6:$R$1005,$A17,'Visit Log'!$T$6:$T$1005,"In Progress"))</f>
        <v/>
      </c>
      <c r="E17" s="14">
        <f>IF($A17="","",COUNTIFS('Visit Log'!$R$6:$R$1005,$A17,'Visit Log'!$T$6:$T$1005,"Open",'Visit Log'!$S$6:$S$1005,"&lt;"&amp;TODAY())+COUNTIFS('Visit Log'!$R$6:$R$1005,$A17,'Visit Log'!$T$6:$T$1005,"In Progress",'Visit Log'!$S$6:$S$1005,"&lt;"&amp;TODAY()))</f>
        <v/>
      </c>
      <c r="F17" s="20">
        <f>IF($A17="","",IF(COUNTIFS('Visit Log'!$B$6:$B$1005,$A17)=0,"No visits",_xlfn.MAXIFS('Visit Log'!$A$6:$A$1005,'Visit Log'!$B$6:$B$1005,$A17)))</f>
        <v/>
      </c>
      <c r="G17" s="14">
        <f>IF($A17="","",COUNTIFS('Visit Log'!$B$6:$B$1005,$A17,'Visit Log'!$A$6:$A$1005,"&gt;="&amp;TODAY()-30,'Visit Log'!$J$6:$J$1005,"?*"))</f>
        <v/>
      </c>
    </row>
    <row r="18">
      <c r="A18" s="14">
        <f>IF(Lists!$A$5="","",Lists!$A$5)</f>
        <v/>
      </c>
      <c r="B18" s="14">
        <f>IF($A18="","",COUNTIFS('Visit Log'!$B$6:$B$1005,$A18,'Visit Log'!$A$6:$A$1005,"&gt;="&amp;TODAY()-30))</f>
        <v/>
      </c>
      <c r="D18" s="14">
        <f>IF($A18="","",COUNTIFS('Visit Log'!$R$6:$R$1005,$A18,'Visit Log'!$T$6:$T$1005,"Open")+COUNTIFS('Visit Log'!$R$6:$R$1005,$A18,'Visit Log'!$T$6:$T$1005,"In Progress"))</f>
        <v/>
      </c>
      <c r="E18" s="14">
        <f>IF($A18="","",COUNTIFS('Visit Log'!$R$6:$R$1005,$A18,'Visit Log'!$T$6:$T$1005,"Open",'Visit Log'!$S$6:$S$1005,"&lt;"&amp;TODAY())+COUNTIFS('Visit Log'!$R$6:$R$1005,$A18,'Visit Log'!$T$6:$T$1005,"In Progress",'Visit Log'!$S$6:$S$1005,"&lt;"&amp;TODAY()))</f>
        <v/>
      </c>
      <c r="F18" s="20">
        <f>IF($A18="","",IF(COUNTIFS('Visit Log'!$B$6:$B$1005,$A18)=0,"No visits",_xlfn.MAXIFS('Visit Log'!$A$6:$A$1005,'Visit Log'!$B$6:$B$1005,$A18)))</f>
        <v/>
      </c>
      <c r="G18" s="14">
        <f>IF($A18="","",COUNTIFS('Visit Log'!$B$6:$B$1005,$A18,'Visit Log'!$A$6:$A$1005,"&gt;="&amp;TODAY()-30,'Visit Log'!$J$6:$J$1005,"?*"))</f>
        <v/>
      </c>
    </row>
    <row r="19">
      <c r="A19" s="14">
        <f>IF(Lists!$A$6="","",Lists!$A$6)</f>
        <v/>
      </c>
      <c r="B19" s="14">
        <f>IF($A19="","",COUNTIFS('Visit Log'!$B$6:$B$1005,$A19,'Visit Log'!$A$6:$A$1005,"&gt;="&amp;TODAY()-30))</f>
        <v/>
      </c>
      <c r="D19" s="14">
        <f>IF($A19="","",COUNTIFS('Visit Log'!$R$6:$R$1005,$A19,'Visit Log'!$T$6:$T$1005,"Open")+COUNTIFS('Visit Log'!$R$6:$R$1005,$A19,'Visit Log'!$T$6:$T$1005,"In Progress"))</f>
        <v/>
      </c>
      <c r="E19" s="14">
        <f>IF($A19="","",COUNTIFS('Visit Log'!$R$6:$R$1005,$A19,'Visit Log'!$T$6:$T$1005,"Open",'Visit Log'!$S$6:$S$1005,"&lt;"&amp;TODAY())+COUNTIFS('Visit Log'!$R$6:$R$1005,$A19,'Visit Log'!$T$6:$T$1005,"In Progress",'Visit Log'!$S$6:$S$1005,"&lt;"&amp;TODAY()))</f>
        <v/>
      </c>
      <c r="F19" s="20">
        <f>IF($A19="","",IF(COUNTIFS('Visit Log'!$B$6:$B$1005,$A19)=0,"No visits",_xlfn.MAXIFS('Visit Log'!$A$6:$A$1005,'Visit Log'!$B$6:$B$1005,$A19)))</f>
        <v/>
      </c>
      <c r="G19" s="14">
        <f>IF($A19="","",COUNTIFS('Visit Log'!$B$6:$B$1005,$A19,'Visit Log'!$A$6:$A$1005,"&gt;="&amp;TODAY()-30,'Visit Log'!$J$6:$J$1005,"?*"))</f>
        <v/>
      </c>
    </row>
    <row r="20">
      <c r="A20" s="14">
        <f>IF(Lists!$A$7="","",Lists!$A$7)</f>
        <v/>
      </c>
      <c r="B20" s="14">
        <f>IF($A20="","",COUNTIFS('Visit Log'!$B$6:$B$1005,$A20,'Visit Log'!$A$6:$A$1005,"&gt;="&amp;TODAY()-30))</f>
        <v/>
      </c>
      <c r="D20" s="14">
        <f>IF($A20="","",COUNTIFS('Visit Log'!$R$6:$R$1005,$A20,'Visit Log'!$T$6:$T$1005,"Open")+COUNTIFS('Visit Log'!$R$6:$R$1005,$A20,'Visit Log'!$T$6:$T$1005,"In Progress"))</f>
        <v/>
      </c>
      <c r="E20" s="14">
        <f>IF($A20="","",COUNTIFS('Visit Log'!$R$6:$R$1005,$A20,'Visit Log'!$T$6:$T$1005,"Open",'Visit Log'!$S$6:$S$1005,"&lt;"&amp;TODAY())+COUNTIFS('Visit Log'!$R$6:$R$1005,$A20,'Visit Log'!$T$6:$T$1005,"In Progress",'Visit Log'!$S$6:$S$1005,"&lt;"&amp;TODAY()))</f>
        <v/>
      </c>
      <c r="F20" s="20">
        <f>IF($A20="","",IF(COUNTIFS('Visit Log'!$B$6:$B$1005,$A20)=0,"No visits",_xlfn.MAXIFS('Visit Log'!$A$6:$A$1005,'Visit Log'!$B$6:$B$1005,$A20)))</f>
        <v/>
      </c>
      <c r="G20" s="14">
        <f>IF($A20="","",COUNTIFS('Visit Log'!$B$6:$B$1005,$A20,'Visit Log'!$A$6:$A$1005,"&gt;="&amp;TODAY()-30,'Visit Log'!$J$6:$J$1005,"?*"))</f>
        <v/>
      </c>
    </row>
    <row r="21">
      <c r="A21" s="14">
        <f>IF(Lists!$A$8="","",Lists!$A$8)</f>
        <v/>
      </c>
      <c r="B21" s="14">
        <f>IF($A21="","",COUNTIFS('Visit Log'!$B$6:$B$1005,$A21,'Visit Log'!$A$6:$A$1005,"&gt;="&amp;TODAY()-30))</f>
        <v/>
      </c>
      <c r="D21" s="14">
        <f>IF($A21="","",COUNTIFS('Visit Log'!$R$6:$R$1005,$A21,'Visit Log'!$T$6:$T$1005,"Open")+COUNTIFS('Visit Log'!$R$6:$R$1005,$A21,'Visit Log'!$T$6:$T$1005,"In Progress"))</f>
        <v/>
      </c>
      <c r="E21" s="14">
        <f>IF($A21="","",COUNTIFS('Visit Log'!$R$6:$R$1005,$A21,'Visit Log'!$T$6:$T$1005,"Open",'Visit Log'!$S$6:$S$1005,"&lt;"&amp;TODAY())+COUNTIFS('Visit Log'!$R$6:$R$1005,$A21,'Visit Log'!$T$6:$T$1005,"In Progress",'Visit Log'!$S$6:$S$1005,"&lt;"&amp;TODAY()))</f>
        <v/>
      </c>
      <c r="F21" s="20">
        <f>IF($A21="","",IF(COUNTIFS('Visit Log'!$B$6:$B$1005,$A21)=0,"No visits",_xlfn.MAXIFS('Visit Log'!$A$6:$A$1005,'Visit Log'!$B$6:$B$1005,$A21)))</f>
        <v/>
      </c>
      <c r="G21" s="14">
        <f>IF($A21="","",COUNTIFS('Visit Log'!$B$6:$B$1005,$A21,'Visit Log'!$A$6:$A$1005,"&gt;="&amp;TODAY()-30,'Visit Log'!$J$6:$J$1005,"?*"))</f>
        <v/>
      </c>
    </row>
    <row r="22">
      <c r="A22" s="14">
        <f>IF(Lists!$A$9="","",Lists!$A$9)</f>
        <v/>
      </c>
      <c r="B22" s="14">
        <f>IF($A22="","",COUNTIFS('Visit Log'!$B$6:$B$1005,$A22,'Visit Log'!$A$6:$A$1005,"&gt;="&amp;TODAY()-30))</f>
        <v/>
      </c>
      <c r="D22" s="14">
        <f>IF($A22="","",COUNTIFS('Visit Log'!$R$6:$R$1005,$A22,'Visit Log'!$T$6:$T$1005,"Open")+COUNTIFS('Visit Log'!$R$6:$R$1005,$A22,'Visit Log'!$T$6:$T$1005,"In Progress"))</f>
        <v/>
      </c>
      <c r="E22" s="14">
        <f>IF($A22="","",COUNTIFS('Visit Log'!$R$6:$R$1005,$A22,'Visit Log'!$T$6:$T$1005,"Open",'Visit Log'!$S$6:$S$1005,"&lt;"&amp;TODAY())+COUNTIFS('Visit Log'!$R$6:$R$1005,$A22,'Visit Log'!$T$6:$T$1005,"In Progress",'Visit Log'!$S$6:$S$1005,"&lt;"&amp;TODAY()))</f>
        <v/>
      </c>
      <c r="F22" s="20">
        <f>IF($A22="","",IF(COUNTIFS('Visit Log'!$B$6:$B$1005,$A22)=0,"No visits",_xlfn.MAXIFS('Visit Log'!$A$6:$A$1005,'Visit Log'!$B$6:$B$1005,$A22)))</f>
        <v/>
      </c>
      <c r="G22" s="14">
        <f>IF($A22="","",COUNTIFS('Visit Log'!$B$6:$B$1005,$A22,'Visit Log'!$A$6:$A$1005,"&gt;="&amp;TODAY()-30,'Visit Log'!$J$6:$J$1005,"?*"))</f>
        <v/>
      </c>
    </row>
    <row r="23">
      <c r="A23" s="14">
        <f>IF(Lists!$A$10="","",Lists!$A$10)</f>
        <v/>
      </c>
      <c r="B23" s="14">
        <f>IF($A23="","",COUNTIFS('Visit Log'!$B$6:$B$1005,$A23,'Visit Log'!$A$6:$A$1005,"&gt;="&amp;TODAY()-30))</f>
        <v/>
      </c>
      <c r="D23" s="14">
        <f>IF($A23="","",COUNTIFS('Visit Log'!$R$6:$R$1005,$A23,'Visit Log'!$T$6:$T$1005,"Open")+COUNTIFS('Visit Log'!$R$6:$R$1005,$A23,'Visit Log'!$T$6:$T$1005,"In Progress"))</f>
        <v/>
      </c>
      <c r="E23" s="14">
        <f>IF($A23="","",COUNTIFS('Visit Log'!$R$6:$R$1005,$A23,'Visit Log'!$T$6:$T$1005,"Open",'Visit Log'!$S$6:$S$1005,"&lt;"&amp;TODAY())+COUNTIFS('Visit Log'!$R$6:$R$1005,$A23,'Visit Log'!$T$6:$T$1005,"In Progress",'Visit Log'!$S$6:$S$1005,"&lt;"&amp;TODAY()))</f>
        <v/>
      </c>
      <c r="F23" s="20">
        <f>IF($A23="","",IF(COUNTIFS('Visit Log'!$B$6:$B$1005,$A23)=0,"No visits",_xlfn.MAXIFS('Visit Log'!$A$6:$A$1005,'Visit Log'!$B$6:$B$1005,$A23)))</f>
        <v/>
      </c>
      <c r="G23" s="14">
        <f>IF($A23="","",COUNTIFS('Visit Log'!$B$6:$B$1005,$A23,'Visit Log'!$A$6:$A$1005,"&gt;="&amp;TODAY()-30,'Visit Log'!$J$6:$J$1005,"?*"))</f>
        <v/>
      </c>
    </row>
    <row r="24">
      <c r="A24" s="14">
        <f>IF(Lists!$A$11="","",Lists!$A$11)</f>
        <v/>
      </c>
      <c r="B24" s="14">
        <f>IF($A24="","",COUNTIFS('Visit Log'!$B$6:$B$1005,$A24,'Visit Log'!$A$6:$A$1005,"&gt;="&amp;TODAY()-30))</f>
        <v/>
      </c>
      <c r="D24" s="14">
        <f>IF($A24="","",COUNTIFS('Visit Log'!$R$6:$R$1005,$A24,'Visit Log'!$T$6:$T$1005,"Open")+COUNTIFS('Visit Log'!$R$6:$R$1005,$A24,'Visit Log'!$T$6:$T$1005,"In Progress"))</f>
        <v/>
      </c>
      <c r="E24" s="14">
        <f>IF($A24="","",COUNTIFS('Visit Log'!$R$6:$R$1005,$A24,'Visit Log'!$T$6:$T$1005,"Open",'Visit Log'!$S$6:$S$1005,"&lt;"&amp;TODAY())+COUNTIFS('Visit Log'!$R$6:$R$1005,$A24,'Visit Log'!$T$6:$T$1005,"In Progress",'Visit Log'!$S$6:$S$1005,"&lt;"&amp;TODAY()))</f>
        <v/>
      </c>
      <c r="F24" s="20">
        <f>IF($A24="","",IF(COUNTIFS('Visit Log'!$B$6:$B$1005,$A24)=0,"No visits",_xlfn.MAXIFS('Visit Log'!$A$6:$A$1005,'Visit Log'!$B$6:$B$1005,$A24)))</f>
        <v/>
      </c>
      <c r="G24" s="14">
        <f>IF($A24="","",COUNTIFS('Visit Log'!$B$6:$B$1005,$A24,'Visit Log'!$A$6:$A$1005,"&gt;="&amp;TODAY()-30,'Visit Log'!$J$6:$J$1005,"?*"))</f>
        <v/>
      </c>
    </row>
    <row r="25">
      <c r="A25" s="14">
        <f>IF(Lists!$A$12="","",Lists!$A$12)</f>
        <v/>
      </c>
      <c r="B25" s="14">
        <f>IF($A25="","",COUNTIFS('Visit Log'!$B$6:$B$1005,$A25,'Visit Log'!$A$6:$A$1005,"&gt;="&amp;TODAY()-30))</f>
        <v/>
      </c>
      <c r="D25" s="14">
        <f>IF($A25="","",COUNTIFS('Visit Log'!$R$6:$R$1005,$A25,'Visit Log'!$T$6:$T$1005,"Open")+COUNTIFS('Visit Log'!$R$6:$R$1005,$A25,'Visit Log'!$T$6:$T$1005,"In Progress"))</f>
        <v/>
      </c>
      <c r="E25" s="14">
        <f>IF($A25="","",COUNTIFS('Visit Log'!$R$6:$R$1005,$A25,'Visit Log'!$T$6:$T$1005,"Open",'Visit Log'!$S$6:$S$1005,"&lt;"&amp;TODAY())+COUNTIFS('Visit Log'!$R$6:$R$1005,$A25,'Visit Log'!$T$6:$T$1005,"In Progress",'Visit Log'!$S$6:$S$1005,"&lt;"&amp;TODAY()))</f>
        <v/>
      </c>
      <c r="F25" s="20">
        <f>IF($A25="","",IF(COUNTIFS('Visit Log'!$B$6:$B$1005,$A25)=0,"No visits",_xlfn.MAXIFS('Visit Log'!$A$6:$A$1005,'Visit Log'!$B$6:$B$1005,$A25)))</f>
        <v/>
      </c>
      <c r="G25" s="14">
        <f>IF($A25="","",COUNTIFS('Visit Log'!$B$6:$B$1005,$A25,'Visit Log'!$A$6:$A$1005,"&gt;="&amp;TODAY()-30,'Visit Log'!$J$6:$J$1005,"?*"))</f>
        <v/>
      </c>
    </row>
    <row r="26">
      <c r="A26" s="14">
        <f>IF(Lists!$A$13="","",Lists!$A$13)</f>
        <v/>
      </c>
      <c r="B26" s="14">
        <f>IF($A26="","",COUNTIFS('Visit Log'!$B$6:$B$1005,$A26,'Visit Log'!$A$6:$A$1005,"&gt;="&amp;TODAY()-30))</f>
        <v/>
      </c>
      <c r="D26" s="14">
        <f>IF($A26="","",COUNTIFS('Visit Log'!$R$6:$R$1005,$A26,'Visit Log'!$T$6:$T$1005,"Open")+COUNTIFS('Visit Log'!$R$6:$R$1005,$A26,'Visit Log'!$T$6:$T$1005,"In Progress"))</f>
        <v/>
      </c>
      <c r="E26" s="14">
        <f>IF($A26="","",COUNTIFS('Visit Log'!$R$6:$R$1005,$A26,'Visit Log'!$T$6:$T$1005,"Open",'Visit Log'!$S$6:$S$1005,"&lt;"&amp;TODAY())+COUNTIFS('Visit Log'!$R$6:$R$1005,$A26,'Visit Log'!$T$6:$T$1005,"In Progress",'Visit Log'!$S$6:$S$1005,"&lt;"&amp;TODAY()))</f>
        <v/>
      </c>
      <c r="F26" s="20">
        <f>IF($A26="","",IF(COUNTIFS('Visit Log'!$B$6:$B$1005,$A26)=0,"No visits",_xlfn.MAXIFS('Visit Log'!$A$6:$A$1005,'Visit Log'!$B$6:$B$1005,$A26)))</f>
        <v/>
      </c>
      <c r="G26" s="14">
        <f>IF($A26="","",COUNTIFS('Visit Log'!$B$6:$B$1005,$A26,'Visit Log'!$A$6:$A$1005,"&gt;="&amp;TODAY()-30,'Visit Log'!$J$6:$J$1005,"?*"))</f>
        <v/>
      </c>
    </row>
    <row r="27">
      <c r="A27" s="14">
        <f>IF(Lists!$A$14="","",Lists!$A$14)</f>
        <v/>
      </c>
      <c r="B27" s="14">
        <f>IF($A27="","",COUNTIFS('Visit Log'!$B$6:$B$1005,$A27,'Visit Log'!$A$6:$A$1005,"&gt;="&amp;TODAY()-30))</f>
        <v/>
      </c>
      <c r="D27" s="14">
        <f>IF($A27="","",COUNTIFS('Visit Log'!$R$6:$R$1005,$A27,'Visit Log'!$T$6:$T$1005,"Open")+COUNTIFS('Visit Log'!$R$6:$R$1005,$A27,'Visit Log'!$T$6:$T$1005,"In Progress"))</f>
        <v/>
      </c>
      <c r="E27" s="14">
        <f>IF($A27="","",COUNTIFS('Visit Log'!$R$6:$R$1005,$A27,'Visit Log'!$T$6:$T$1005,"Open",'Visit Log'!$S$6:$S$1005,"&lt;"&amp;TODAY())+COUNTIFS('Visit Log'!$R$6:$R$1005,$A27,'Visit Log'!$T$6:$T$1005,"In Progress",'Visit Log'!$S$6:$S$1005,"&lt;"&amp;TODAY()))</f>
        <v/>
      </c>
      <c r="F27" s="20">
        <f>IF($A27="","",IF(COUNTIFS('Visit Log'!$B$6:$B$1005,$A27)=0,"No visits",_xlfn.MAXIFS('Visit Log'!$A$6:$A$1005,'Visit Log'!$B$6:$B$1005,$A27)))</f>
        <v/>
      </c>
      <c r="G27" s="14">
        <f>IF($A27="","",COUNTIFS('Visit Log'!$B$6:$B$1005,$A27,'Visit Log'!$A$6:$A$1005,"&gt;="&amp;TODAY()-30,'Visit Log'!$J$6:$J$1005,"?*"))</f>
        <v/>
      </c>
    </row>
    <row r="28">
      <c r="A28" s="14">
        <f>IF(Lists!$A$15="","",Lists!$A$15)</f>
        <v/>
      </c>
      <c r="B28" s="14">
        <f>IF($A28="","",COUNTIFS('Visit Log'!$B$6:$B$1005,$A28,'Visit Log'!$A$6:$A$1005,"&gt;="&amp;TODAY()-30))</f>
        <v/>
      </c>
      <c r="D28" s="14">
        <f>IF($A28="","",COUNTIFS('Visit Log'!$R$6:$R$1005,$A28,'Visit Log'!$T$6:$T$1005,"Open")+COUNTIFS('Visit Log'!$R$6:$R$1005,$A28,'Visit Log'!$T$6:$T$1005,"In Progress"))</f>
        <v/>
      </c>
      <c r="E28" s="14">
        <f>IF($A28="","",COUNTIFS('Visit Log'!$R$6:$R$1005,$A28,'Visit Log'!$T$6:$T$1005,"Open",'Visit Log'!$S$6:$S$1005,"&lt;"&amp;TODAY())+COUNTIFS('Visit Log'!$R$6:$R$1005,$A28,'Visit Log'!$T$6:$T$1005,"In Progress",'Visit Log'!$S$6:$S$1005,"&lt;"&amp;TODAY()))</f>
        <v/>
      </c>
      <c r="F28" s="20">
        <f>IF($A28="","",IF(COUNTIFS('Visit Log'!$B$6:$B$1005,$A28)=0,"No visits",_xlfn.MAXIFS('Visit Log'!$A$6:$A$1005,'Visit Log'!$B$6:$B$1005,$A28)))</f>
        <v/>
      </c>
      <c r="G28" s="14">
        <f>IF($A28="","",COUNTIFS('Visit Log'!$B$6:$B$1005,$A28,'Visit Log'!$A$6:$A$1005,"&gt;="&amp;TODAY()-30,'Visit Log'!$J$6:$J$1005,"?*"))</f>
        <v/>
      </c>
    </row>
    <row r="29">
      <c r="A29" s="14">
        <f>IF(Lists!$A$16="","",Lists!$A$16)</f>
        <v/>
      </c>
      <c r="B29" s="14">
        <f>IF($A29="","",COUNTIFS('Visit Log'!$B$6:$B$1005,$A29,'Visit Log'!$A$6:$A$1005,"&gt;="&amp;TODAY()-30))</f>
        <v/>
      </c>
      <c r="D29" s="14">
        <f>IF($A29="","",COUNTIFS('Visit Log'!$R$6:$R$1005,$A29,'Visit Log'!$T$6:$T$1005,"Open")+COUNTIFS('Visit Log'!$R$6:$R$1005,$A29,'Visit Log'!$T$6:$T$1005,"In Progress"))</f>
        <v/>
      </c>
      <c r="E29" s="14">
        <f>IF($A29="","",COUNTIFS('Visit Log'!$R$6:$R$1005,$A29,'Visit Log'!$T$6:$T$1005,"Open",'Visit Log'!$S$6:$S$1005,"&lt;"&amp;TODAY())+COUNTIFS('Visit Log'!$R$6:$R$1005,$A29,'Visit Log'!$T$6:$T$1005,"In Progress",'Visit Log'!$S$6:$S$1005,"&lt;"&amp;TODAY()))</f>
        <v/>
      </c>
      <c r="F29" s="20">
        <f>IF($A29="","",IF(COUNTIFS('Visit Log'!$B$6:$B$1005,$A29)=0,"No visits",_xlfn.MAXIFS('Visit Log'!$A$6:$A$1005,'Visit Log'!$B$6:$B$1005,$A29)))</f>
        <v/>
      </c>
      <c r="G29" s="14">
        <f>IF($A29="","",COUNTIFS('Visit Log'!$B$6:$B$1005,$A29,'Visit Log'!$A$6:$A$1005,"&gt;="&amp;TODAY()-30,'Visit Log'!$J$6:$J$1005,"?*"))</f>
        <v/>
      </c>
    </row>
    <row r="30">
      <c r="A30" s="14">
        <f>IF(Lists!$A$17="","",Lists!$A$17)</f>
        <v/>
      </c>
      <c r="B30" s="14">
        <f>IF($A30="","",COUNTIFS('Visit Log'!$B$6:$B$1005,$A30,'Visit Log'!$A$6:$A$1005,"&gt;="&amp;TODAY()-30))</f>
        <v/>
      </c>
      <c r="D30" s="14">
        <f>IF($A30="","",COUNTIFS('Visit Log'!$R$6:$R$1005,$A30,'Visit Log'!$T$6:$T$1005,"Open")+COUNTIFS('Visit Log'!$R$6:$R$1005,$A30,'Visit Log'!$T$6:$T$1005,"In Progress"))</f>
        <v/>
      </c>
      <c r="E30" s="14">
        <f>IF($A30="","",COUNTIFS('Visit Log'!$R$6:$R$1005,$A30,'Visit Log'!$T$6:$T$1005,"Open",'Visit Log'!$S$6:$S$1005,"&lt;"&amp;TODAY())+COUNTIFS('Visit Log'!$R$6:$R$1005,$A30,'Visit Log'!$T$6:$T$1005,"In Progress",'Visit Log'!$S$6:$S$1005,"&lt;"&amp;TODAY()))</f>
        <v/>
      </c>
      <c r="F30" s="20">
        <f>IF($A30="","",IF(COUNTIFS('Visit Log'!$B$6:$B$1005,$A30)=0,"No visits",_xlfn.MAXIFS('Visit Log'!$A$6:$A$1005,'Visit Log'!$B$6:$B$1005,$A30)))</f>
        <v/>
      </c>
      <c r="G30" s="14">
        <f>IF($A30="","",COUNTIFS('Visit Log'!$B$6:$B$1005,$A30,'Visit Log'!$A$6:$A$1005,"&gt;="&amp;TODAY()-30,'Visit Log'!$J$6:$J$1005,"?*"))</f>
        <v/>
      </c>
    </row>
    <row r="31">
      <c r="A31" s="14">
        <f>IF(Lists!$A$18="","",Lists!$A$18)</f>
        <v/>
      </c>
      <c r="B31" s="14">
        <f>IF($A31="","",COUNTIFS('Visit Log'!$B$6:$B$1005,$A31,'Visit Log'!$A$6:$A$1005,"&gt;="&amp;TODAY()-30))</f>
        <v/>
      </c>
      <c r="D31" s="14">
        <f>IF($A31="","",COUNTIFS('Visit Log'!$R$6:$R$1005,$A31,'Visit Log'!$T$6:$T$1005,"Open")+COUNTIFS('Visit Log'!$R$6:$R$1005,$A31,'Visit Log'!$T$6:$T$1005,"In Progress"))</f>
        <v/>
      </c>
      <c r="E31" s="14">
        <f>IF($A31="","",COUNTIFS('Visit Log'!$R$6:$R$1005,$A31,'Visit Log'!$T$6:$T$1005,"Open",'Visit Log'!$S$6:$S$1005,"&lt;"&amp;TODAY())+COUNTIFS('Visit Log'!$R$6:$R$1005,$A31,'Visit Log'!$T$6:$T$1005,"In Progress",'Visit Log'!$S$6:$S$1005,"&lt;"&amp;TODAY()))</f>
        <v/>
      </c>
      <c r="F31" s="20">
        <f>IF($A31="","",IF(COUNTIFS('Visit Log'!$B$6:$B$1005,$A31)=0,"No visits",_xlfn.MAXIFS('Visit Log'!$A$6:$A$1005,'Visit Log'!$B$6:$B$1005,$A31)))</f>
        <v/>
      </c>
      <c r="G31" s="14">
        <f>IF($A31="","",COUNTIFS('Visit Log'!$B$6:$B$1005,$A31,'Visit Log'!$A$6:$A$1005,"&gt;="&amp;TODAY()-30,'Visit Log'!$J$6:$J$1005,"?*"))</f>
        <v/>
      </c>
    </row>
    <row r="32">
      <c r="A32" s="14">
        <f>IF(Lists!$A$19="","",Lists!$A$19)</f>
        <v/>
      </c>
      <c r="B32" s="14">
        <f>IF($A32="","",COUNTIFS('Visit Log'!$B$6:$B$1005,$A32,'Visit Log'!$A$6:$A$1005,"&gt;="&amp;TODAY()-30))</f>
        <v/>
      </c>
      <c r="D32" s="14">
        <f>IF($A32="","",COUNTIFS('Visit Log'!$R$6:$R$1005,$A32,'Visit Log'!$T$6:$T$1005,"Open")+COUNTIFS('Visit Log'!$R$6:$R$1005,$A32,'Visit Log'!$T$6:$T$1005,"In Progress"))</f>
        <v/>
      </c>
      <c r="E32" s="14">
        <f>IF($A32="","",COUNTIFS('Visit Log'!$R$6:$R$1005,$A32,'Visit Log'!$T$6:$T$1005,"Open",'Visit Log'!$S$6:$S$1005,"&lt;"&amp;TODAY())+COUNTIFS('Visit Log'!$R$6:$R$1005,$A32,'Visit Log'!$T$6:$T$1005,"In Progress",'Visit Log'!$S$6:$S$1005,"&lt;"&amp;TODAY()))</f>
        <v/>
      </c>
      <c r="F32" s="20">
        <f>IF($A32="","",IF(COUNTIFS('Visit Log'!$B$6:$B$1005,$A32)=0,"No visits",_xlfn.MAXIFS('Visit Log'!$A$6:$A$1005,'Visit Log'!$B$6:$B$1005,$A32)))</f>
        <v/>
      </c>
      <c r="G32" s="14">
        <f>IF($A32="","",COUNTIFS('Visit Log'!$B$6:$B$1005,$A32,'Visit Log'!$A$6:$A$1005,"&gt;="&amp;TODAY()-30,'Visit Log'!$J$6:$J$1005,"?*"))</f>
        <v/>
      </c>
    </row>
    <row r="33">
      <c r="A33" s="14">
        <f>IF(Lists!$A$20="","",Lists!$A$20)</f>
        <v/>
      </c>
      <c r="B33" s="14">
        <f>IF($A33="","",COUNTIFS('Visit Log'!$B$6:$B$1005,$A33,'Visit Log'!$A$6:$A$1005,"&gt;="&amp;TODAY()-30))</f>
        <v/>
      </c>
      <c r="D33" s="14">
        <f>IF($A33="","",COUNTIFS('Visit Log'!$R$6:$R$1005,$A33,'Visit Log'!$T$6:$T$1005,"Open")+COUNTIFS('Visit Log'!$R$6:$R$1005,$A33,'Visit Log'!$T$6:$T$1005,"In Progress"))</f>
        <v/>
      </c>
      <c r="E33" s="14">
        <f>IF($A33="","",COUNTIFS('Visit Log'!$R$6:$R$1005,$A33,'Visit Log'!$T$6:$T$1005,"Open",'Visit Log'!$S$6:$S$1005,"&lt;"&amp;TODAY())+COUNTIFS('Visit Log'!$R$6:$R$1005,$A33,'Visit Log'!$T$6:$T$1005,"In Progress",'Visit Log'!$S$6:$S$1005,"&lt;"&amp;TODAY()))</f>
        <v/>
      </c>
      <c r="F33" s="20">
        <f>IF($A33="","",IF(COUNTIFS('Visit Log'!$B$6:$B$1005,$A33)=0,"No visits",_xlfn.MAXIFS('Visit Log'!$A$6:$A$1005,'Visit Log'!$B$6:$B$1005,$A33)))</f>
        <v/>
      </c>
      <c r="G33" s="14">
        <f>IF($A33="","",COUNTIFS('Visit Log'!$B$6:$B$1005,$A33,'Visit Log'!$A$6:$A$1005,"&gt;="&amp;TODAY()-30,'Visit Log'!$J$6:$J$1005,"?*"))</f>
        <v/>
      </c>
    </row>
    <row r="34">
      <c r="A34" s="14">
        <f>IF(Lists!$A$21="","",Lists!$A$21)</f>
        <v/>
      </c>
      <c r="B34" s="14">
        <f>IF($A34="","",COUNTIFS('Visit Log'!$B$6:$B$1005,$A34,'Visit Log'!$A$6:$A$1005,"&gt;="&amp;TODAY()-30))</f>
        <v/>
      </c>
      <c r="D34" s="14">
        <f>IF($A34="","",COUNTIFS('Visit Log'!$R$6:$R$1005,$A34,'Visit Log'!$T$6:$T$1005,"Open")+COUNTIFS('Visit Log'!$R$6:$R$1005,$A34,'Visit Log'!$T$6:$T$1005,"In Progress"))</f>
        <v/>
      </c>
      <c r="E34" s="14">
        <f>IF($A34="","",COUNTIFS('Visit Log'!$R$6:$R$1005,$A34,'Visit Log'!$T$6:$T$1005,"Open",'Visit Log'!$S$6:$S$1005,"&lt;"&amp;TODAY())+COUNTIFS('Visit Log'!$R$6:$R$1005,$A34,'Visit Log'!$T$6:$T$1005,"In Progress",'Visit Log'!$S$6:$S$1005,"&lt;"&amp;TODAY()))</f>
        <v/>
      </c>
      <c r="F34" s="20">
        <f>IF($A34="","",IF(COUNTIFS('Visit Log'!$B$6:$B$1005,$A34)=0,"No visits",_xlfn.MAXIFS('Visit Log'!$A$6:$A$1005,'Visit Log'!$B$6:$B$1005,$A34)))</f>
        <v/>
      </c>
      <c r="G34" s="14">
        <f>IF($A34="","",COUNTIFS('Visit Log'!$B$6:$B$1005,$A34,'Visit Log'!$A$6:$A$1005,"&gt;="&amp;TODAY()-30,'Visit Log'!$J$6:$J$1005,"?*"))</f>
        <v/>
      </c>
    </row>
    <row r="35">
      <c r="A35" s="14">
        <f>IF(Lists!$A$22="","",Lists!$A$22)</f>
        <v/>
      </c>
      <c r="B35" s="14">
        <f>IF($A35="","",COUNTIFS('Visit Log'!$B$6:$B$1005,$A35,'Visit Log'!$A$6:$A$1005,"&gt;="&amp;TODAY()-30))</f>
        <v/>
      </c>
      <c r="D35" s="14">
        <f>IF($A35="","",COUNTIFS('Visit Log'!$R$6:$R$1005,$A35,'Visit Log'!$T$6:$T$1005,"Open")+COUNTIFS('Visit Log'!$R$6:$R$1005,$A35,'Visit Log'!$T$6:$T$1005,"In Progress"))</f>
        <v/>
      </c>
      <c r="E35" s="14">
        <f>IF($A35="","",COUNTIFS('Visit Log'!$R$6:$R$1005,$A35,'Visit Log'!$T$6:$T$1005,"Open",'Visit Log'!$S$6:$S$1005,"&lt;"&amp;TODAY())+COUNTIFS('Visit Log'!$R$6:$R$1005,$A35,'Visit Log'!$T$6:$T$1005,"In Progress",'Visit Log'!$S$6:$S$1005,"&lt;"&amp;TODAY()))</f>
        <v/>
      </c>
      <c r="F35" s="20">
        <f>IF($A35="","",IF(COUNTIFS('Visit Log'!$B$6:$B$1005,$A35)=0,"No visits",_xlfn.MAXIFS('Visit Log'!$A$6:$A$1005,'Visit Log'!$B$6:$B$1005,$A35)))</f>
        <v/>
      </c>
      <c r="G35" s="14">
        <f>IF($A35="","",COUNTIFS('Visit Log'!$B$6:$B$1005,$A35,'Visit Log'!$A$6:$A$1005,"&gt;="&amp;TODAY()-30,'Visit Log'!$J$6:$J$1005,"?*"))</f>
        <v/>
      </c>
    </row>
    <row r="36">
      <c r="A36" s="14">
        <f>IF(Lists!$A$23="","",Lists!$A$23)</f>
        <v/>
      </c>
      <c r="B36" s="14">
        <f>IF($A36="","",COUNTIFS('Visit Log'!$B$6:$B$1005,$A36,'Visit Log'!$A$6:$A$1005,"&gt;="&amp;TODAY()-30))</f>
        <v/>
      </c>
      <c r="D36" s="14">
        <f>IF($A36="","",COUNTIFS('Visit Log'!$R$6:$R$1005,$A36,'Visit Log'!$T$6:$T$1005,"Open")+COUNTIFS('Visit Log'!$R$6:$R$1005,$A36,'Visit Log'!$T$6:$T$1005,"In Progress"))</f>
        <v/>
      </c>
      <c r="E36" s="14">
        <f>IF($A36="","",COUNTIFS('Visit Log'!$R$6:$R$1005,$A36,'Visit Log'!$T$6:$T$1005,"Open",'Visit Log'!$S$6:$S$1005,"&lt;"&amp;TODAY())+COUNTIFS('Visit Log'!$R$6:$R$1005,$A36,'Visit Log'!$T$6:$T$1005,"In Progress",'Visit Log'!$S$6:$S$1005,"&lt;"&amp;TODAY()))</f>
        <v/>
      </c>
      <c r="F36" s="20">
        <f>IF($A36="","",IF(COUNTIFS('Visit Log'!$B$6:$B$1005,$A36)=0,"No visits",_xlfn.MAXIFS('Visit Log'!$A$6:$A$1005,'Visit Log'!$B$6:$B$1005,$A36)))</f>
        <v/>
      </c>
      <c r="G36" s="14">
        <f>IF($A36="","",COUNTIFS('Visit Log'!$B$6:$B$1005,$A36,'Visit Log'!$A$6:$A$1005,"&gt;="&amp;TODAY()-30,'Visit Log'!$J$6:$J$1005,"?*"))</f>
        <v/>
      </c>
    </row>
    <row r="37">
      <c r="A37" s="14">
        <f>IF(Lists!$A$24="","",Lists!$A$24)</f>
        <v/>
      </c>
      <c r="B37" s="14">
        <f>IF($A37="","",COUNTIFS('Visit Log'!$B$6:$B$1005,$A37,'Visit Log'!$A$6:$A$1005,"&gt;="&amp;TODAY()-30))</f>
        <v/>
      </c>
      <c r="D37" s="14">
        <f>IF($A37="","",COUNTIFS('Visit Log'!$R$6:$R$1005,$A37,'Visit Log'!$T$6:$T$1005,"Open")+COUNTIFS('Visit Log'!$R$6:$R$1005,$A37,'Visit Log'!$T$6:$T$1005,"In Progress"))</f>
        <v/>
      </c>
      <c r="E37" s="14">
        <f>IF($A37="","",COUNTIFS('Visit Log'!$R$6:$R$1005,$A37,'Visit Log'!$T$6:$T$1005,"Open",'Visit Log'!$S$6:$S$1005,"&lt;"&amp;TODAY())+COUNTIFS('Visit Log'!$R$6:$R$1005,$A37,'Visit Log'!$T$6:$T$1005,"In Progress",'Visit Log'!$S$6:$S$1005,"&lt;"&amp;TODAY()))</f>
        <v/>
      </c>
      <c r="F37" s="20">
        <f>IF($A37="","",IF(COUNTIFS('Visit Log'!$B$6:$B$1005,$A37)=0,"No visits",_xlfn.MAXIFS('Visit Log'!$A$6:$A$1005,'Visit Log'!$B$6:$B$1005,$A37)))</f>
        <v/>
      </c>
      <c r="G37" s="14">
        <f>IF($A37="","",COUNTIFS('Visit Log'!$B$6:$B$1005,$A37,'Visit Log'!$A$6:$A$1005,"&gt;="&amp;TODAY()-30,'Visit Log'!$J$6:$J$1005,"?*"))</f>
        <v/>
      </c>
    </row>
    <row r="38">
      <c r="A38" s="14">
        <f>IF(Lists!$A$25="","",Lists!$A$25)</f>
        <v/>
      </c>
      <c r="B38" s="14">
        <f>IF($A38="","",COUNTIFS('Visit Log'!$B$6:$B$1005,$A38,'Visit Log'!$A$6:$A$1005,"&gt;="&amp;TODAY()-30))</f>
        <v/>
      </c>
      <c r="D38" s="14">
        <f>IF($A38="","",COUNTIFS('Visit Log'!$R$6:$R$1005,$A38,'Visit Log'!$T$6:$T$1005,"Open")+COUNTIFS('Visit Log'!$R$6:$R$1005,$A38,'Visit Log'!$T$6:$T$1005,"In Progress"))</f>
        <v/>
      </c>
      <c r="E38" s="14">
        <f>IF($A38="","",COUNTIFS('Visit Log'!$R$6:$R$1005,$A38,'Visit Log'!$T$6:$T$1005,"Open",'Visit Log'!$S$6:$S$1005,"&lt;"&amp;TODAY())+COUNTIFS('Visit Log'!$R$6:$R$1005,$A38,'Visit Log'!$T$6:$T$1005,"In Progress",'Visit Log'!$S$6:$S$1005,"&lt;"&amp;TODAY()))</f>
        <v/>
      </c>
      <c r="F38" s="20">
        <f>IF($A38="","",IF(COUNTIFS('Visit Log'!$B$6:$B$1005,$A38)=0,"No visits",_xlfn.MAXIFS('Visit Log'!$A$6:$A$1005,'Visit Log'!$B$6:$B$1005,$A38)))</f>
        <v/>
      </c>
      <c r="G38" s="14">
        <f>IF($A38="","",COUNTIFS('Visit Log'!$B$6:$B$1005,$A38,'Visit Log'!$A$6:$A$1005,"&gt;="&amp;TODAY()-30,'Visit Log'!$J$6:$J$1005,"?*"))</f>
        <v/>
      </c>
    </row>
    <row r="39">
      <c r="A39" s="14">
        <f>IF(Lists!$A$26="","",Lists!$A$26)</f>
        <v/>
      </c>
      <c r="B39" s="14">
        <f>IF($A39="","",COUNTIFS('Visit Log'!$B$6:$B$1005,$A39,'Visit Log'!$A$6:$A$1005,"&gt;="&amp;TODAY()-30))</f>
        <v/>
      </c>
      <c r="D39" s="14">
        <f>IF($A39="","",COUNTIFS('Visit Log'!$R$6:$R$1005,$A39,'Visit Log'!$T$6:$T$1005,"Open")+COUNTIFS('Visit Log'!$R$6:$R$1005,$A39,'Visit Log'!$T$6:$T$1005,"In Progress"))</f>
        <v/>
      </c>
      <c r="E39" s="14">
        <f>IF($A39="","",COUNTIFS('Visit Log'!$R$6:$R$1005,$A39,'Visit Log'!$T$6:$T$1005,"Open",'Visit Log'!$S$6:$S$1005,"&lt;"&amp;TODAY())+COUNTIFS('Visit Log'!$R$6:$R$1005,$A39,'Visit Log'!$T$6:$T$1005,"In Progress",'Visit Log'!$S$6:$S$1005,"&lt;"&amp;TODAY()))</f>
        <v/>
      </c>
      <c r="F39" s="20">
        <f>IF($A39="","",IF(COUNTIFS('Visit Log'!$B$6:$B$1005,$A39)=0,"No visits",_xlfn.MAXIFS('Visit Log'!$A$6:$A$1005,'Visit Log'!$B$6:$B$1005,$A39)))</f>
        <v/>
      </c>
      <c r="G39" s="14">
        <f>IF($A39="","",COUNTIFS('Visit Log'!$B$6:$B$1005,$A39,'Visit Log'!$A$6:$A$1005,"&gt;="&amp;TODAY()-30,'Visit Log'!$J$6:$J$1005,"?*"))</f>
        <v/>
      </c>
    </row>
    <row r="40">
      <c r="A40" s="14">
        <f>IF(Lists!$A$27="","",Lists!$A$27)</f>
        <v/>
      </c>
      <c r="B40" s="14">
        <f>IF($A40="","",COUNTIFS('Visit Log'!$B$6:$B$1005,$A40,'Visit Log'!$A$6:$A$1005,"&gt;="&amp;TODAY()-30))</f>
        <v/>
      </c>
      <c r="D40" s="14">
        <f>IF($A40="","",COUNTIFS('Visit Log'!$R$6:$R$1005,$A40,'Visit Log'!$T$6:$T$1005,"Open")+COUNTIFS('Visit Log'!$R$6:$R$1005,$A40,'Visit Log'!$T$6:$T$1005,"In Progress"))</f>
        <v/>
      </c>
      <c r="E40" s="14">
        <f>IF($A40="","",COUNTIFS('Visit Log'!$R$6:$R$1005,$A40,'Visit Log'!$T$6:$T$1005,"Open",'Visit Log'!$S$6:$S$1005,"&lt;"&amp;TODAY())+COUNTIFS('Visit Log'!$R$6:$R$1005,$A40,'Visit Log'!$T$6:$T$1005,"In Progress",'Visit Log'!$S$6:$S$1005,"&lt;"&amp;TODAY()))</f>
        <v/>
      </c>
      <c r="F40" s="20">
        <f>IF($A40="","",IF(COUNTIFS('Visit Log'!$B$6:$B$1005,$A40)=0,"No visits",_xlfn.MAXIFS('Visit Log'!$A$6:$A$1005,'Visit Log'!$B$6:$B$1005,$A40)))</f>
        <v/>
      </c>
      <c r="G40" s="14">
        <f>IF($A40="","",COUNTIFS('Visit Log'!$B$6:$B$1005,$A40,'Visit Log'!$A$6:$A$1005,"&gt;="&amp;TODAY()-30,'Visit Log'!$J$6:$J$1005,"?*"))</f>
        <v/>
      </c>
    </row>
    <row r="41">
      <c r="A41" s="14">
        <f>IF(Lists!$A$28="","",Lists!$A$28)</f>
        <v/>
      </c>
      <c r="B41" s="14">
        <f>IF($A41="","",COUNTIFS('Visit Log'!$B$6:$B$1005,$A41,'Visit Log'!$A$6:$A$1005,"&gt;="&amp;TODAY()-30))</f>
        <v/>
      </c>
      <c r="D41" s="14">
        <f>IF($A41="","",COUNTIFS('Visit Log'!$R$6:$R$1005,$A41,'Visit Log'!$T$6:$T$1005,"Open")+COUNTIFS('Visit Log'!$R$6:$R$1005,$A41,'Visit Log'!$T$6:$T$1005,"In Progress"))</f>
        <v/>
      </c>
      <c r="E41" s="14">
        <f>IF($A41="","",COUNTIFS('Visit Log'!$R$6:$R$1005,$A41,'Visit Log'!$T$6:$T$1005,"Open",'Visit Log'!$S$6:$S$1005,"&lt;"&amp;TODAY())+COUNTIFS('Visit Log'!$R$6:$R$1005,$A41,'Visit Log'!$T$6:$T$1005,"In Progress",'Visit Log'!$S$6:$S$1005,"&lt;"&amp;TODAY()))</f>
        <v/>
      </c>
      <c r="F41" s="20">
        <f>IF($A41="","",IF(COUNTIFS('Visit Log'!$B$6:$B$1005,$A41)=0,"No visits",_xlfn.MAXIFS('Visit Log'!$A$6:$A$1005,'Visit Log'!$B$6:$B$1005,$A41)))</f>
        <v/>
      </c>
      <c r="G41" s="14">
        <f>IF($A41="","",COUNTIFS('Visit Log'!$B$6:$B$1005,$A41,'Visit Log'!$A$6:$A$1005,"&gt;="&amp;TODAY()-30,'Visit Log'!$J$6:$J$1005,"?*"))</f>
        <v/>
      </c>
    </row>
    <row r="42">
      <c r="A42" s="14">
        <f>IF(Lists!$A$29="","",Lists!$A$29)</f>
        <v/>
      </c>
      <c r="B42" s="14">
        <f>IF($A42="","",COUNTIFS('Visit Log'!$B$6:$B$1005,$A42,'Visit Log'!$A$6:$A$1005,"&gt;="&amp;TODAY()-30))</f>
        <v/>
      </c>
      <c r="D42" s="14">
        <f>IF($A42="","",COUNTIFS('Visit Log'!$R$6:$R$1005,$A42,'Visit Log'!$T$6:$T$1005,"Open")+COUNTIFS('Visit Log'!$R$6:$R$1005,$A42,'Visit Log'!$T$6:$T$1005,"In Progress"))</f>
        <v/>
      </c>
      <c r="E42" s="14">
        <f>IF($A42="","",COUNTIFS('Visit Log'!$R$6:$R$1005,$A42,'Visit Log'!$T$6:$T$1005,"Open",'Visit Log'!$S$6:$S$1005,"&lt;"&amp;TODAY())+COUNTIFS('Visit Log'!$R$6:$R$1005,$A42,'Visit Log'!$T$6:$T$1005,"In Progress",'Visit Log'!$S$6:$S$1005,"&lt;"&amp;TODAY()))</f>
        <v/>
      </c>
      <c r="F42" s="20">
        <f>IF($A42="","",IF(COUNTIFS('Visit Log'!$B$6:$B$1005,$A42)=0,"No visits",_xlfn.MAXIFS('Visit Log'!$A$6:$A$1005,'Visit Log'!$B$6:$B$1005,$A42)))</f>
        <v/>
      </c>
      <c r="G42" s="14">
        <f>IF($A42="","",COUNTIFS('Visit Log'!$B$6:$B$1005,$A42,'Visit Log'!$A$6:$A$1005,"&gt;="&amp;TODAY()-30,'Visit Log'!$J$6:$J$1005,"?*"))</f>
        <v/>
      </c>
    </row>
    <row r="44">
      <c r="A44" s="21" t="inlineStr">
        <is>
          <t>OPEN DISCREPANCIES BY TYPE</t>
        </is>
      </c>
      <c r="B44" s="22" t="n"/>
    </row>
    <row r="45">
      <c r="A45" s="14" t="inlineStr">
        <is>
          <t>Price - over plan</t>
        </is>
      </c>
      <c r="B45" s="14">
        <f>COUNTIFS('Visit Log'!$O$6:$O$1005,A45,'Visit Log'!$T$6:$T$1005,"Open")+COUNTIFS('Visit Log'!$O$6:$O$1005,A45,'Visit Log'!$T$6:$T$1005,"In Progress")</f>
        <v/>
      </c>
    </row>
    <row r="46">
      <c r="A46" s="14" t="inlineStr">
        <is>
          <t>Price - under plan</t>
        </is>
      </c>
      <c r="B46" s="14">
        <f>COUNTIFS('Visit Log'!$O$6:$O$1005,A46,'Visit Log'!$T$6:$T$1005,"Open")+COUNTIFS('Visit Log'!$O$6:$O$1005,A46,'Visit Log'!$T$6:$T$1005,"In Progress")</f>
        <v/>
      </c>
    </row>
    <row r="47">
      <c r="A47" s="14" t="inlineStr">
        <is>
          <t>Missing / wrong shelf tag</t>
        </is>
      </c>
      <c r="B47" s="14">
        <f>COUNTIFS('Visit Log'!$O$6:$O$1005,A47,'Visit Log'!$T$6:$T$1005,"Open")+COUNTIFS('Visit Log'!$O$6:$O$1005,A47,'Visit Log'!$T$6:$T$1005,"In Progress")</f>
        <v/>
      </c>
    </row>
    <row r="48">
      <c r="A48" s="14" t="inlineStr">
        <is>
          <t>Expired promo tag still up</t>
        </is>
      </c>
      <c r="B48" s="14">
        <f>COUNTIFS('Visit Log'!$O$6:$O$1005,A48,'Visit Log'!$T$6:$T$1005,"Open")+COUNTIFS('Visit Log'!$O$6:$O$1005,A48,'Visit Log'!$T$6:$T$1005,"In Progress")</f>
        <v/>
      </c>
    </row>
    <row r="49">
      <c r="A49" s="14" t="inlineStr">
        <is>
          <t>Out of stock / missing SKU</t>
        </is>
      </c>
      <c r="B49" s="14">
        <f>COUNTIFS('Visit Log'!$O$6:$O$1005,A49,'Visit Log'!$T$6:$T$1005,"Open")+COUNTIFS('Visit Log'!$O$6:$O$1005,A49,'Visit Log'!$T$6:$T$1005,"In Progress")</f>
        <v/>
      </c>
    </row>
    <row r="50">
      <c r="A50" s="14" t="inlineStr">
        <is>
          <t>Wrong shelf location (planogram)</t>
        </is>
      </c>
      <c r="B50" s="14">
        <f>COUNTIFS('Visit Log'!$O$6:$O$1005,A50,'Visit Log'!$T$6:$T$1005,"Open")+COUNTIFS('Visit Log'!$O$6:$O$1005,A50,'Visit Log'!$T$6:$T$1005,"In Progress")</f>
        <v/>
      </c>
    </row>
    <row r="51">
      <c r="A51" s="14" t="inlineStr">
        <is>
          <t>Display not built</t>
        </is>
      </c>
      <c r="B51" s="14">
        <f>COUNTIFS('Visit Log'!$O$6:$O$1005,A51,'Visit Log'!$T$6:$T$1005,"Open")+COUNTIFS('Visit Log'!$O$6:$O$1005,A51,'Visit Log'!$T$6:$T$1005,"In Progress")</f>
        <v/>
      </c>
    </row>
    <row r="52">
      <c r="A52" s="14" t="inlineStr">
        <is>
          <t>Display built - wrong product/price</t>
        </is>
      </c>
      <c r="B52" s="14">
        <f>COUNTIFS('Visit Log'!$O$6:$O$1005,A52,'Visit Log'!$T$6:$T$1005,"Open")+COUNTIFS('Visit Log'!$O$6:$O$1005,A52,'Visit Log'!$T$6:$T$1005,"In Progress")</f>
        <v/>
      </c>
    </row>
    <row r="53">
      <c r="A53" s="14" t="inlineStr">
        <is>
          <t>Unauthorized SKU on shelf</t>
        </is>
      </c>
      <c r="B53" s="14">
        <f>COUNTIFS('Visit Log'!$O$6:$O$1005,A53,'Visit Log'!$T$6:$T$1005,"Open")+COUNTIFS('Visit Log'!$O$6:$O$1005,A53,'Visit Log'!$T$6:$T$1005,"In Progress")</f>
        <v/>
      </c>
    </row>
    <row r="54">
      <c r="A54" s="14" t="inlineStr">
        <is>
          <t>Backstock missing</t>
        </is>
      </c>
      <c r="B54" s="14">
        <f>COUNTIFS('Visit Log'!$O$6:$O$1005,A54,'Visit Log'!$T$6:$T$1005,"Open")+COUNTIFS('Visit Log'!$O$6:$O$1005,A54,'Visit Log'!$T$6:$T$1005,"In Progress")</f>
        <v/>
      </c>
    </row>
    <row r="55">
      <c r="A55" s="14" t="inlineStr">
        <is>
          <t>Other</t>
        </is>
      </c>
      <c r="B55" s="14">
        <f>COUNTIFS('Visit Log'!$O$6:$O$1005,A55,'Visit Log'!$T$6:$T$1005,"Open")+COUNTIFS('Visit Log'!$O$6:$O$1005,A55,'Visit Log'!$T$6:$T$1005,"In Progress")</f>
        <v/>
      </c>
    </row>
  </sheetData>
  <conditionalFormatting sqref="E17:E42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A1F2B"/>
    <outlinePr summaryBelow="1" summaryRight="1"/>
    <pageSetUpPr fitToPage="1"/>
  </sheetPr>
  <dimension ref="A1:Y1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0" customWidth="1" min="3" max="3"/>
    <col width="24" customWidth="1" min="4" max="4"/>
    <col width="18" customWidth="1" min="5" max="5"/>
    <col width="26" customWidth="1" min="6" max="6"/>
    <col width="9" customWidth="1" min="7" max="7"/>
    <col width="30" customWidth="1" min="8" max="8"/>
    <col width="20" customWidth="1" min="9" max="9"/>
    <col width="30" customWidth="1" min="10" max="10"/>
    <col width="20" customWidth="1" min="11" max="11"/>
    <col width="18" customWidth="1" min="12" max="12"/>
    <col width="10" customWidth="1" min="13" max="13"/>
    <col width="20" customWidth="1" min="14" max="14"/>
    <col width="24" customWidth="1" min="15" max="15"/>
    <col width="12" customWidth="1" min="16" max="16"/>
    <col width="11" customWidth="1" min="17" max="17"/>
    <col width="46" customWidth="1" min="18" max="18"/>
    <col width="16" customWidth="1" min="19" max="19"/>
    <col width="18" customWidth="1" min="20" max="20"/>
    <col width="14" customWidth="1" min="21" max="21"/>
    <col width="11" customWidth="1" min="22" max="22"/>
    <col width="9" customWidth="1" min="23" max="23"/>
    <col width="9" customWidth="1" min="24" max="24"/>
    <col width="11" customWidth="1" min="25" max="25"/>
  </cols>
  <sheetData>
    <row r="1" ht="24" customHeight="1">
      <c r="A1" s="11" t="inlineStr">
        <is>
          <t>CHAIN PROGRAM - HOT SHEET</t>
        </is>
      </c>
    </row>
    <row r="2">
      <c r="A2" s="2" t="inlineStr">
        <is>
          <t>Plan data as of Non-Alc Chain Document 9/8/2026 (+ HW Soda Hot Sheet 8/25/2025 for accounts missing from it).  Blue text = manager inputs.  Grey columns = formulas (do not type).</t>
        </is>
      </c>
    </row>
    <row r="3">
      <c r="A3" s="5" t="inlineStr">
        <is>
          <t>Today:</t>
        </is>
      </c>
      <c r="B3" s="23">
        <f>TODAY()</f>
        <v/>
      </c>
    </row>
    <row r="4" ht="18" customHeight="1">
      <c r="A4" s="24" t="inlineStr">
        <is>
          <t>CHANNEL</t>
        </is>
      </c>
      <c r="B4" s="4" t="n"/>
      <c r="C4" s="4" t="n"/>
      <c r="D4" s="4" t="n"/>
      <c r="E4" s="4" t="n"/>
      <c r="F4" s="4" t="n"/>
      <c r="G4" s="4" t="n"/>
      <c r="H4" s="25" t="inlineStr">
        <is>
          <t>AVAILABILITY</t>
        </is>
      </c>
      <c r="I4" s="22" t="n"/>
      <c r="J4" s="26" t="inlineStr">
        <is>
          <t>MERCHANDISING</t>
        </is>
      </c>
      <c r="K4" s="27" t="inlineStr">
        <is>
          <t>PRICING / PROMOTION</t>
        </is>
      </c>
      <c r="L4" s="13" t="n"/>
      <c r="M4" s="13" t="n"/>
      <c r="N4" s="13" t="n"/>
      <c r="O4" s="13" t="n"/>
      <c r="P4" s="13" t="n"/>
      <c r="Q4" s="13" t="n"/>
      <c r="R4" s="28" t="inlineStr">
        <is>
          <t>EXECUTION &amp; ACCOUNTABILITY</t>
        </is>
      </c>
      <c r="S4" s="19" t="n"/>
      <c r="T4" s="19" t="n"/>
      <c r="U4" s="19" t="n"/>
      <c r="V4" s="19" t="n"/>
      <c r="W4" s="19" t="n"/>
      <c r="X4" s="19" t="n"/>
      <c r="Y4" s="19" t="n"/>
    </row>
    <row r="5" ht="42" customHeight="1">
      <c r="A5" s="29" t="inlineStr">
        <is>
          <t>Program ID</t>
        </is>
      </c>
      <c r="B5" s="29" t="inlineStr">
        <is>
          <t>Brand</t>
        </is>
      </c>
      <c r="C5" s="29" t="inlineStr">
        <is>
          <t>Chain / Banner</t>
        </is>
      </c>
      <c r="D5" s="29" t="inlineStr">
        <is>
          <t>Account / Division</t>
        </is>
      </c>
      <c r="E5" s="29" t="inlineStr">
        <is>
          <t>Market</t>
        </is>
      </c>
      <c r="F5" s="29" t="inlineStr">
        <is>
          <t>Outlets by Market Unit</t>
        </is>
      </c>
      <c r="G5" s="29" t="inlineStr">
        <is>
          <t>Total Outlets</t>
        </is>
      </c>
      <c r="H5" s="30" t="inlineStr">
        <is>
          <t>Authorized SKUs / Flavors</t>
        </is>
      </c>
      <c r="I5" s="30" t="inlineStr">
        <is>
          <t>Case Recommendation</t>
        </is>
      </c>
      <c r="J5" s="31" t="inlineStr">
        <is>
          <t>Shelf Location / Display Callout</t>
        </is>
      </c>
      <c r="K5" s="32" t="inlineStr">
        <is>
          <t>Case Cost / Frontline</t>
        </is>
      </c>
      <c r="L5" s="32" t="inlineStr">
        <is>
          <t>EDV / SRP</t>
        </is>
      </c>
      <c r="M5" s="32" t="inlineStr">
        <is>
          <t>Base Shelf Price ($)</t>
        </is>
      </c>
      <c r="N5" s="32" t="inlineStr">
        <is>
          <t>Promo Timing</t>
        </is>
      </c>
      <c r="O5" s="32" t="inlineStr">
        <is>
          <t>Current Promo (today)</t>
        </is>
      </c>
      <c r="P5" s="32" t="inlineStr">
        <is>
          <t>Expected Shelf Price Today ($)</t>
        </is>
      </c>
      <c r="Q5" s="32" t="inlineStr">
        <is>
          <t>Next Promo Start</t>
        </is>
      </c>
      <c r="R5" s="33" t="inlineStr">
        <is>
          <t>Execution Priority / Callouts</t>
        </is>
      </c>
      <c r="S5" s="33" t="inlineStr">
        <is>
          <t>Owner</t>
        </is>
      </c>
      <c r="T5" s="33" t="inlineStr">
        <is>
          <t>Source</t>
        </is>
      </c>
      <c r="U5" s="33" t="inlineStr">
        <is>
          <t>Data Status</t>
        </is>
      </c>
      <c r="V5" s="33" t="inlineStr">
        <is>
          <t>Last Verified</t>
        </is>
      </c>
      <c r="W5" s="33" t="inlineStr">
        <is>
          <t>Visits (30 days)</t>
        </is>
      </c>
      <c r="X5" s="33" t="inlineStr">
        <is>
          <t>Open Issues</t>
        </is>
      </c>
      <c r="Y5" s="33" t="inlineStr">
        <is>
          <t>Last Visit</t>
        </is>
      </c>
    </row>
    <row r="6">
      <c r="A6" s="34" t="inlineStr">
        <is>
          <t>ZOA | Mountain West North</t>
        </is>
      </c>
      <c r="B6" s="35" t="inlineStr">
        <is>
          <t>ZOA</t>
        </is>
      </c>
      <c r="C6" s="36" t="inlineStr">
        <is>
          <t>Albertsons/Safeway</t>
        </is>
      </c>
      <c r="D6" s="36" t="inlineStr">
        <is>
          <t>Mountain West North</t>
        </is>
      </c>
      <c r="E6" s="36" t="inlineStr">
        <is>
          <t>ID / MT / WY</t>
        </is>
      </c>
      <c r="F6" s="36" t="n"/>
      <c r="G6" s="36" t="n"/>
      <c r="H6" s="36" t="inlineStr">
        <is>
          <t>ZOA core SKUs</t>
        </is>
      </c>
      <c r="I6" s="36" t="n"/>
      <c r="J6" s="36" t="inlineStr">
        <is>
          <t>Promo display where authorized</t>
        </is>
      </c>
      <c r="K6" s="36" t="n"/>
      <c r="L6" s="36" t="inlineStr">
        <is>
          <t>Promo 2 for $4</t>
        </is>
      </c>
      <c r="M6" s="37" t="n"/>
      <c r="N6" s="36" t="inlineStr">
        <is>
          <t>Aug-Dec 2026</t>
        </is>
      </c>
      <c r="O6" s="38">
        <f>IF($A6="","",IF(COUNTIFS('Promo Calendar'!$A$6:$A$400,$A6,'Promo Calendar'!$L$6:$L$400,"Active")=0,"None active",INDEX('Promo Calendar'!$F$6:$F$400,MATCH($A6,'Promo Calendar'!$O$6:$O$400,0))&amp;IF(COUNTIFS('Promo Calendar'!$A$6:$A$400,$A6,'Promo Calendar'!$L$6:$L$400,"Active")&gt;1," (+"&amp;(COUNTIFS('Promo Calendar'!$A$6:$A$400,$A6,'Promo Calendar'!$L$6:$L$400,"Active")-1)&amp;" more)","")))</f>
        <v/>
      </c>
      <c r="P6" s="39">
        <f>IF($A6="","",IF(COUNTIFS('Promo Calendar'!$A$6:$A$400,$A6,'Promo Calendar'!$L$6:$L$400,"Active",'Promo Calendar'!$G$6:$G$400,"&gt;0")&gt;0,_xlfn.MINIFS('Promo Calendar'!$G$6:$G$400,'Promo Calendar'!$A$6:$A$400,$A6,'Promo Calendar'!$L$6:$L$400,"Active",'Promo Calendar'!$G$6:$G$400,"&gt;0"),IF(M6="","Not set",M6)))</f>
        <v/>
      </c>
      <c r="Q6" s="40">
        <f>IF($A6="","",IF(COUNTIFS('Promo Calendar'!$A$6:$A$400,$A6,'Promo Calendar'!$I$6:$I$400,"&gt;"&amp;TODAY())=0,"None scheduled",_xlfn.MINIFS('Promo Calendar'!$I$6:$I$400,'Promo Calendar'!$A$6:$A$400,$A6,'Promo Calendar'!$I$6:$I$400,"&gt;"&amp;TODAY())))</f>
        <v/>
      </c>
      <c r="R6" s="36" t="inlineStr">
        <is>
          <t>Promote ZOA at 2 for $4.</t>
        </is>
      </c>
      <c r="S6" s="36" t="n"/>
      <c r="T6" s="36" t="inlineStr">
        <is>
          <t>Non-Alc Chain 9/8/26</t>
        </is>
      </c>
      <c r="U6" s="36" t="inlineStr">
        <is>
          <t>Current (2026)</t>
        </is>
      </c>
      <c r="V6" s="41" t="n"/>
      <c r="W6" s="38">
        <f>IF($A6="","",COUNTIFS('Visit Log'!$C$6:$C$1005,$A6,'Visit Log'!$A$6:$A$1005,"&gt;="&amp;TODAY()-30))</f>
        <v/>
      </c>
      <c r="X6" s="38">
        <f>IF($A6="","",COUNTIFS('Visit Log'!$C$6:$C$1005,$A6,'Visit Log'!$T$6:$T$1005,"Open")+COUNTIFS('Visit Log'!$C$6:$C$1005,$A6,'Visit Log'!$T$6:$T$1005,"In Progress"))</f>
        <v/>
      </c>
      <c r="Y6" s="40">
        <f>IF($A6="","",IF(COUNTIFS('Visit Log'!$C$6:$C$1005,$A6)=0,"No visits",_xlfn.MAXIFS('Visit Log'!$A$6:$A$1005,'Visit Log'!$C$6:$C$1005,$A6)))</f>
        <v/>
      </c>
    </row>
    <row r="7">
      <c r="A7" s="34" t="inlineStr">
        <is>
          <t>ZOA | Mountain West South</t>
        </is>
      </c>
      <c r="B7" s="35" t="inlineStr">
        <is>
          <t>ZOA</t>
        </is>
      </c>
      <c r="C7" s="36" t="inlineStr">
        <is>
          <t>Albertsons/Safeway</t>
        </is>
      </c>
      <c r="D7" s="36" t="inlineStr">
        <is>
          <t>Mountain West South</t>
        </is>
      </c>
      <c r="E7" s="36" t="inlineStr">
        <is>
          <t>CO / WY</t>
        </is>
      </c>
      <c r="F7" s="36" t="n"/>
      <c r="G7" s="36" t="n"/>
      <c r="H7" s="36" t="inlineStr">
        <is>
          <t>ZOA core SKUs</t>
        </is>
      </c>
      <c r="I7" s="36" t="n"/>
      <c r="J7" s="36" t="inlineStr">
        <is>
          <t>Promo display where authorized</t>
        </is>
      </c>
      <c r="K7" s="36" t="n"/>
      <c r="L7" s="36" t="inlineStr">
        <is>
          <t>Promo 2 for $4</t>
        </is>
      </c>
      <c r="M7" s="37" t="n"/>
      <c r="N7" s="36" t="inlineStr">
        <is>
          <t>Aug-Dec 2026</t>
        </is>
      </c>
      <c r="O7" s="38">
        <f>IF($A7="","",IF(COUNTIFS('Promo Calendar'!$A$6:$A$400,$A7,'Promo Calendar'!$L$6:$L$400,"Active")=0,"None active",INDEX('Promo Calendar'!$F$6:$F$400,MATCH($A7,'Promo Calendar'!$O$6:$O$400,0))&amp;IF(COUNTIFS('Promo Calendar'!$A$6:$A$400,$A7,'Promo Calendar'!$L$6:$L$400,"Active")&gt;1," (+"&amp;(COUNTIFS('Promo Calendar'!$A$6:$A$400,$A7,'Promo Calendar'!$L$6:$L$400,"Active")-1)&amp;" more)","")))</f>
        <v/>
      </c>
      <c r="P7" s="39">
        <f>IF($A7="","",IF(COUNTIFS('Promo Calendar'!$A$6:$A$400,$A7,'Promo Calendar'!$L$6:$L$400,"Active",'Promo Calendar'!$G$6:$G$400,"&gt;0")&gt;0,_xlfn.MINIFS('Promo Calendar'!$G$6:$G$400,'Promo Calendar'!$A$6:$A$400,$A7,'Promo Calendar'!$L$6:$L$400,"Active",'Promo Calendar'!$G$6:$G$400,"&gt;0"),IF(M7="","Not set",M7)))</f>
        <v/>
      </c>
      <c r="Q7" s="40">
        <f>IF($A7="","",IF(COUNTIFS('Promo Calendar'!$A$6:$A$400,$A7,'Promo Calendar'!$I$6:$I$400,"&gt;"&amp;TODAY())=0,"None scheduled",_xlfn.MINIFS('Promo Calendar'!$I$6:$I$400,'Promo Calendar'!$A$6:$A$400,$A7,'Promo Calendar'!$I$6:$I$400,"&gt;"&amp;TODAY())))</f>
        <v/>
      </c>
      <c r="R7" s="36" t="inlineStr">
        <is>
          <t>Promote ZOA at 2 for $4.</t>
        </is>
      </c>
      <c r="S7" s="36" t="n"/>
      <c r="T7" s="36" t="inlineStr">
        <is>
          <t>Non-Alc Chain 9/8/26</t>
        </is>
      </c>
      <c r="U7" s="36" t="inlineStr">
        <is>
          <t>Current (2026)</t>
        </is>
      </c>
      <c r="V7" s="41" t="n"/>
      <c r="W7" s="38">
        <f>IF($A7="","",COUNTIFS('Visit Log'!$C$6:$C$1005,$A7,'Visit Log'!$A$6:$A$1005,"&gt;="&amp;TODAY()-30))</f>
        <v/>
      </c>
      <c r="X7" s="38">
        <f>IF($A7="","",COUNTIFS('Visit Log'!$C$6:$C$1005,$A7,'Visit Log'!$T$6:$T$1005,"Open")+COUNTIFS('Visit Log'!$C$6:$C$1005,$A7,'Visit Log'!$T$6:$T$1005,"In Progress"))</f>
        <v/>
      </c>
      <c r="Y7" s="40">
        <f>IF($A7="","",IF(COUNTIFS('Visit Log'!$C$6:$C$1005,$A7)=0,"No visits",_xlfn.MAXIFS('Visit Log'!$A$6:$A$1005,'Visit Log'!$C$6:$C$1005,$A7)))</f>
        <v/>
      </c>
    </row>
    <row r="8">
      <c r="A8" s="34" t="inlineStr">
        <is>
          <t>ZOA | Southwest Division (SWD)</t>
        </is>
      </c>
      <c r="B8" s="35" t="inlineStr">
        <is>
          <t>ZOA</t>
        </is>
      </c>
      <c r="C8" s="36" t="inlineStr">
        <is>
          <t>Albertsons/Safeway</t>
        </is>
      </c>
      <c r="D8" s="36" t="inlineStr">
        <is>
          <t>Southwest Division (SWD)</t>
        </is>
      </c>
      <c r="E8" s="36" t="inlineStr">
        <is>
          <t>AZ / LV / NM</t>
        </is>
      </c>
      <c r="F8" s="36" t="n"/>
      <c r="G8" s="36" t="n"/>
      <c r="H8" s="36" t="inlineStr">
        <is>
          <t>ZOA core SKUs</t>
        </is>
      </c>
      <c r="I8" s="36" t="n"/>
      <c r="J8" s="36" t="inlineStr">
        <is>
          <t>Promo display where authorized</t>
        </is>
      </c>
      <c r="K8" s="36" t="n"/>
      <c r="L8" s="36" t="inlineStr">
        <is>
          <t>Promo 2 for $4</t>
        </is>
      </c>
      <c r="M8" s="37" t="n"/>
      <c r="N8" s="36" t="inlineStr">
        <is>
          <t>Aug-Dec 2026</t>
        </is>
      </c>
      <c r="O8" s="38">
        <f>IF($A8="","",IF(COUNTIFS('Promo Calendar'!$A$6:$A$400,$A8,'Promo Calendar'!$L$6:$L$400,"Active")=0,"None active",INDEX('Promo Calendar'!$F$6:$F$400,MATCH($A8,'Promo Calendar'!$O$6:$O$400,0))&amp;IF(COUNTIFS('Promo Calendar'!$A$6:$A$400,$A8,'Promo Calendar'!$L$6:$L$400,"Active")&gt;1," (+"&amp;(COUNTIFS('Promo Calendar'!$A$6:$A$400,$A8,'Promo Calendar'!$L$6:$L$400,"Active")-1)&amp;" more)","")))</f>
        <v/>
      </c>
      <c r="P8" s="39">
        <f>IF($A8="","",IF(COUNTIFS('Promo Calendar'!$A$6:$A$400,$A8,'Promo Calendar'!$L$6:$L$400,"Active",'Promo Calendar'!$G$6:$G$400,"&gt;0")&gt;0,_xlfn.MINIFS('Promo Calendar'!$G$6:$G$400,'Promo Calendar'!$A$6:$A$400,$A8,'Promo Calendar'!$L$6:$L$400,"Active",'Promo Calendar'!$G$6:$G$400,"&gt;0"),IF(M8="","Not set",M8)))</f>
        <v/>
      </c>
      <c r="Q8" s="40">
        <f>IF($A8="","",IF(COUNTIFS('Promo Calendar'!$A$6:$A$400,$A8,'Promo Calendar'!$I$6:$I$400,"&gt;"&amp;TODAY())=0,"None scheduled",_xlfn.MINIFS('Promo Calendar'!$I$6:$I$400,'Promo Calendar'!$A$6:$A$400,$A8,'Promo Calendar'!$I$6:$I$400,"&gt;"&amp;TODAY())))</f>
        <v/>
      </c>
      <c r="R8" s="36" t="inlineStr">
        <is>
          <t>Promote ZOA at 2 for $4.</t>
        </is>
      </c>
      <c r="S8" s="36" t="n"/>
      <c r="T8" s="36" t="inlineStr">
        <is>
          <t>Non-Alc Chain 9/8/26</t>
        </is>
      </c>
      <c r="U8" s="36" t="inlineStr">
        <is>
          <t>Current (2026)</t>
        </is>
      </c>
      <c r="V8" s="41" t="n"/>
      <c r="W8" s="38">
        <f>IF($A8="","",COUNTIFS('Visit Log'!$C$6:$C$1005,$A8,'Visit Log'!$A$6:$A$1005,"&gt;="&amp;TODAY()-30))</f>
        <v/>
      </c>
      <c r="X8" s="38">
        <f>IF($A8="","",COUNTIFS('Visit Log'!$C$6:$C$1005,$A8,'Visit Log'!$T$6:$T$1005,"Open")+COUNTIFS('Visit Log'!$C$6:$C$1005,$A8,'Visit Log'!$T$6:$T$1005,"In Progress"))</f>
        <v/>
      </c>
      <c r="Y8" s="40">
        <f>IF($A8="","",IF(COUNTIFS('Visit Log'!$C$6:$C$1005,$A8)=0,"No visits",_xlfn.MAXIFS('Visit Log'!$A$6:$A$1005,'Visit Log'!$C$6:$C$1005,$A8)))</f>
        <v/>
      </c>
    </row>
    <row r="9">
      <c r="A9" s="34" t="inlineStr">
        <is>
          <t>ZOA | Smart &amp; Final</t>
        </is>
      </c>
      <c r="B9" s="35" t="inlineStr">
        <is>
          <t>ZOA</t>
        </is>
      </c>
      <c r="C9" s="36" t="inlineStr">
        <is>
          <t>Smart &amp; Final</t>
        </is>
      </c>
      <c r="D9" s="36" t="inlineStr">
        <is>
          <t>Smart &amp; Final</t>
        </is>
      </c>
      <c r="E9" s="36" t="inlineStr">
        <is>
          <t>Chain-wide</t>
        </is>
      </c>
      <c r="F9" s="36" t="n"/>
      <c r="G9" s="36" t="n"/>
      <c r="H9" s="36" t="inlineStr">
        <is>
          <t>12-pack; Frosted Grape and Tropical Punch singles</t>
        </is>
      </c>
      <c r="I9" s="36" t="n"/>
      <c r="J9" s="36" t="inlineStr">
        <is>
          <t>Store-level display (authorization required); shelf tags</t>
        </is>
      </c>
      <c r="K9" s="36" t="n"/>
      <c r="L9" s="36" t="inlineStr">
        <is>
          <t>12pk $17.99 (to 9/22); singles 2 for $3 (9/23-11/3)</t>
        </is>
      </c>
      <c r="M9" s="37" t="n"/>
      <c r="N9" s="36" t="inlineStr">
        <is>
          <t>8/26-11/3/2026</t>
        </is>
      </c>
      <c r="O9" s="38">
        <f>IF($A9="","",IF(COUNTIFS('Promo Calendar'!$A$6:$A$400,$A9,'Promo Calendar'!$L$6:$L$400,"Active")=0,"None active",INDEX('Promo Calendar'!$F$6:$F$400,MATCH($A9,'Promo Calendar'!$O$6:$O$400,0))&amp;IF(COUNTIFS('Promo Calendar'!$A$6:$A$400,$A9,'Promo Calendar'!$L$6:$L$400,"Active")&gt;1," (+"&amp;(COUNTIFS('Promo Calendar'!$A$6:$A$400,$A9,'Promo Calendar'!$L$6:$L$400,"Active")-1)&amp;" more)","")))</f>
        <v/>
      </c>
      <c r="P9" s="39">
        <f>IF($A9="","",IF(COUNTIFS('Promo Calendar'!$A$6:$A$400,$A9,'Promo Calendar'!$L$6:$L$400,"Active",'Promo Calendar'!$G$6:$G$400,"&gt;0")&gt;0,_xlfn.MINIFS('Promo Calendar'!$G$6:$G$400,'Promo Calendar'!$A$6:$A$400,$A9,'Promo Calendar'!$L$6:$L$400,"Active",'Promo Calendar'!$G$6:$G$400,"&gt;0"),IF(M9="","Not set",M9)))</f>
        <v/>
      </c>
      <c r="Q9" s="40">
        <f>IF($A9="","",IF(COUNTIFS('Promo Calendar'!$A$6:$A$400,$A9,'Promo Calendar'!$I$6:$I$400,"&gt;"&amp;TODAY())=0,"None scheduled",_xlfn.MINIFS('Promo Calendar'!$I$6:$I$400,'Promo Calendar'!$A$6:$A$400,$A9,'Promo Calendar'!$I$6:$I$400,"&gt;"&amp;TODAY())))</f>
        <v/>
      </c>
      <c r="R9" s="36" t="inlineStr">
        <is>
          <t>Secure shelf tags and store-level display authorization.</t>
        </is>
      </c>
      <c r="S9" s="36" t="n"/>
      <c r="T9" s="36" t="inlineStr">
        <is>
          <t>Non-Alc Chain 9/8/26</t>
        </is>
      </c>
      <c r="U9" s="36" t="inlineStr">
        <is>
          <t>Current (2026)</t>
        </is>
      </c>
      <c r="V9" s="41" t="n"/>
      <c r="W9" s="38">
        <f>IF($A9="","",COUNTIFS('Visit Log'!$C$6:$C$1005,$A9,'Visit Log'!$A$6:$A$1005,"&gt;="&amp;TODAY()-30))</f>
        <v/>
      </c>
      <c r="X9" s="38">
        <f>IF($A9="","",COUNTIFS('Visit Log'!$C$6:$C$1005,$A9,'Visit Log'!$T$6:$T$1005,"Open")+COUNTIFS('Visit Log'!$C$6:$C$1005,$A9,'Visit Log'!$T$6:$T$1005,"In Progress"))</f>
        <v/>
      </c>
      <c r="Y9" s="40">
        <f>IF($A9="","",IF(COUNTIFS('Visit Log'!$C$6:$C$1005,$A9)=0,"No visits",_xlfn.MAXIFS('Visit Log'!$A$6:$A$1005,'Visit Log'!$C$6:$C$1005,$A9)))</f>
        <v/>
      </c>
    </row>
    <row r="10">
      <c r="A10" s="34" t="inlineStr">
        <is>
          <t>ZOA | Yoke's Fresh Market</t>
        </is>
      </c>
      <c r="B10" s="35" t="inlineStr">
        <is>
          <t>ZOA</t>
        </is>
      </c>
      <c r="C10" s="36" t="inlineStr">
        <is>
          <t>Yoke's Fresh Market</t>
        </is>
      </c>
      <c r="D10" s="36" t="inlineStr">
        <is>
          <t>Yoke's Fresh Market</t>
        </is>
      </c>
      <c r="E10" s="36" t="inlineStr">
        <is>
          <t>W. WA</t>
        </is>
      </c>
      <c r="F10" s="36" t="n"/>
      <c r="G10" s="36" t="n"/>
      <c r="H10" s="36" t="inlineStr">
        <is>
          <t>ZOA core SKUs</t>
        </is>
      </c>
      <c r="I10" s="36" t="n"/>
      <c r="J10" s="36" t="inlineStr">
        <is>
          <t>Per store planogram - confirm</t>
        </is>
      </c>
      <c r="K10" s="36" t="inlineStr">
        <is>
          <t>$15.30 case cost</t>
        </is>
      </c>
      <c r="L10" s="36" t="inlineStr">
        <is>
          <t>Retail TBD</t>
        </is>
      </c>
      <c r="M10" s="37" t="n"/>
      <c r="N10" s="36" t="inlineStr">
        <is>
          <t>8/2-10/3/2026</t>
        </is>
      </c>
      <c r="O10" s="38">
        <f>IF($A10="","",IF(COUNTIFS('Promo Calendar'!$A$6:$A$400,$A10,'Promo Calendar'!$L$6:$L$400,"Active")=0,"None active",INDEX('Promo Calendar'!$F$6:$F$400,MATCH($A10,'Promo Calendar'!$O$6:$O$400,0))&amp;IF(COUNTIFS('Promo Calendar'!$A$6:$A$400,$A10,'Promo Calendar'!$L$6:$L$400,"Active")&gt;1," (+"&amp;(COUNTIFS('Promo Calendar'!$A$6:$A$400,$A10,'Promo Calendar'!$L$6:$L$400,"Active")-1)&amp;" more)","")))</f>
        <v/>
      </c>
      <c r="P10" s="39">
        <f>IF($A10="","",IF(COUNTIFS('Promo Calendar'!$A$6:$A$400,$A10,'Promo Calendar'!$L$6:$L$400,"Active",'Promo Calendar'!$G$6:$G$400,"&gt;0")&gt;0,_xlfn.MINIFS('Promo Calendar'!$G$6:$G$400,'Promo Calendar'!$A$6:$A$400,$A10,'Promo Calendar'!$L$6:$L$400,"Active",'Promo Calendar'!$G$6:$G$400,"&gt;0"),IF(M10="","Not set",M10)))</f>
        <v/>
      </c>
      <c r="Q10" s="40">
        <f>IF($A10="","",IF(COUNTIFS('Promo Calendar'!$A$6:$A$400,$A10,'Promo Calendar'!$I$6:$I$400,"&gt;"&amp;TODAY())=0,"None scheduled",_xlfn.MINIFS('Promo Calendar'!$I$6:$I$400,'Promo Calendar'!$A$6:$A$400,$A10,'Promo Calendar'!$I$6:$I$400,"&gt;"&amp;TODAY())))</f>
        <v/>
      </c>
      <c r="R10" s="36" t="inlineStr">
        <is>
          <t>$15.30 case cost. Retail TBD.</t>
        </is>
      </c>
      <c r="S10" s="36" t="n"/>
      <c r="T10" s="36" t="inlineStr">
        <is>
          <t>Non-Alc Chain 9/8/26</t>
        </is>
      </c>
      <c r="U10" s="36" t="inlineStr">
        <is>
          <t>Current (2026)</t>
        </is>
      </c>
      <c r="V10" s="41" t="n"/>
      <c r="W10" s="38">
        <f>IF($A10="","",COUNTIFS('Visit Log'!$C$6:$C$1005,$A10,'Visit Log'!$A$6:$A$1005,"&gt;="&amp;TODAY()-30))</f>
        <v/>
      </c>
      <c r="X10" s="38">
        <f>IF($A10="","",COUNTIFS('Visit Log'!$C$6:$C$1005,$A10,'Visit Log'!$T$6:$T$1005,"Open")+COUNTIFS('Visit Log'!$C$6:$C$1005,$A10,'Visit Log'!$T$6:$T$1005,"In Progress"))</f>
        <v/>
      </c>
      <c r="Y10" s="40">
        <f>IF($A10="","",IF(COUNTIFS('Visit Log'!$C$6:$C$1005,$A10)=0,"No visits",_xlfn.MAXIFS('Visit Log'!$A$6:$A$1005,'Visit Log'!$C$6:$C$1005,$A10)))</f>
        <v/>
      </c>
    </row>
    <row r="11">
      <c r="A11" s="34" t="inlineStr">
        <is>
          <t>Henry's | Mountain West North</t>
        </is>
      </c>
      <c r="B11" s="42" t="inlineStr">
        <is>
          <t>Henry's</t>
        </is>
      </c>
      <c r="C11" s="36" t="inlineStr">
        <is>
          <t>Albertsons/Safeway</t>
        </is>
      </c>
      <c r="D11" s="36" t="inlineStr">
        <is>
          <t>Mountain West North</t>
        </is>
      </c>
      <c r="E11" s="36" t="inlineStr">
        <is>
          <t>PNW / ID / UT / WY</t>
        </is>
      </c>
      <c r="F11" s="36" t="n"/>
      <c r="G11" s="36" t="n"/>
      <c r="H11" s="36" t="inlineStr">
        <is>
          <t>Root Beer, Orange Cream, Vanilla Cream; Black Cherry Cream select stores</t>
        </is>
      </c>
      <c r="I11" s="36" t="inlineStr">
        <is>
          <t>1 case of each flavor backstock</t>
        </is>
      </c>
      <c r="J11" s="36" t="inlineStr">
        <is>
          <t>Shelf set + displays</t>
        </is>
      </c>
      <c r="K11" s="36" t="inlineStr">
        <is>
          <t>$23 case (transition)</t>
        </is>
      </c>
      <c r="L11" s="36" t="inlineStr">
        <is>
          <t>SRP $7.99 (2025 ABSCO)</t>
        </is>
      </c>
      <c r="M11" s="37" t="n">
        <v>7.99</v>
      </c>
      <c r="N11" s="36" t="inlineStr">
        <is>
          <t>Effective 9/7/2026</t>
        </is>
      </c>
      <c r="O11" s="38">
        <f>IF($A11="","",IF(COUNTIFS('Promo Calendar'!$A$6:$A$400,$A11,'Promo Calendar'!$L$6:$L$400,"Active")=0,"None active",INDEX('Promo Calendar'!$F$6:$F$400,MATCH($A11,'Promo Calendar'!$O$6:$O$400,0))&amp;IF(COUNTIFS('Promo Calendar'!$A$6:$A$400,$A11,'Promo Calendar'!$L$6:$L$400,"Active")&gt;1," (+"&amp;(COUNTIFS('Promo Calendar'!$A$6:$A$400,$A11,'Promo Calendar'!$L$6:$L$400,"Active")-1)&amp;" more)","")))</f>
        <v/>
      </c>
      <c r="P11" s="39">
        <f>IF($A11="","",IF(COUNTIFS('Promo Calendar'!$A$6:$A$400,$A11,'Promo Calendar'!$L$6:$L$400,"Active",'Promo Calendar'!$G$6:$G$400,"&gt;0")&gt;0,_xlfn.MINIFS('Promo Calendar'!$G$6:$G$400,'Promo Calendar'!$A$6:$A$400,$A11,'Promo Calendar'!$L$6:$L$400,"Active",'Promo Calendar'!$G$6:$G$400,"&gt;0"),IF(M11="","Not set",M11)))</f>
        <v/>
      </c>
      <c r="Q11" s="40">
        <f>IF($A11="","",IF(COUNTIFS('Promo Calendar'!$A$6:$A$400,$A11,'Promo Calendar'!$I$6:$I$400,"&gt;"&amp;TODAY())=0,"None scheduled",_xlfn.MINIFS('Promo Calendar'!$I$6:$I$400,'Promo Calendar'!$A$6:$A$400,$A11,'Promo Calendar'!$I$6:$I$400,"&gt;"&amp;TODAY())))</f>
        <v/>
      </c>
      <c r="R11" s="36" t="inlineStr">
        <is>
          <t>Reflect approved PTRs in distributor price books. Sell in displays. Transition to $23 case pricing.</t>
        </is>
      </c>
      <c r="S11" s="36" t="n"/>
      <c r="T11" s="36" t="inlineStr">
        <is>
          <t>Non-Alc 9/8/26 + HW 8/25/25</t>
        </is>
      </c>
      <c r="U11" s="36" t="inlineStr">
        <is>
          <t>Confirm for 2026</t>
        </is>
      </c>
      <c r="V11" s="41" t="n"/>
      <c r="W11" s="38">
        <f>IF($A11="","",COUNTIFS('Visit Log'!$C$6:$C$1005,$A11,'Visit Log'!$A$6:$A$1005,"&gt;="&amp;TODAY()-30))</f>
        <v/>
      </c>
      <c r="X11" s="38">
        <f>IF($A11="","",COUNTIFS('Visit Log'!$C$6:$C$1005,$A11,'Visit Log'!$T$6:$T$1005,"Open")+COUNTIFS('Visit Log'!$C$6:$C$1005,$A11,'Visit Log'!$T$6:$T$1005,"In Progress"))</f>
        <v/>
      </c>
      <c r="Y11" s="40">
        <f>IF($A11="","",IF(COUNTIFS('Visit Log'!$C$6:$C$1005,$A11)=0,"No visits",_xlfn.MAXIFS('Visit Log'!$A$6:$A$1005,'Visit Log'!$C$6:$C$1005,$A11)))</f>
        <v/>
      </c>
    </row>
    <row r="12">
      <c r="A12" s="34" t="inlineStr">
        <is>
          <t>Henry's | Mountain West South</t>
        </is>
      </c>
      <c r="B12" s="42" t="inlineStr">
        <is>
          <t>Henry's</t>
        </is>
      </c>
      <c r="C12" s="36" t="inlineStr">
        <is>
          <t>Albertsons/Safeway</t>
        </is>
      </c>
      <c r="D12" s="36" t="inlineStr">
        <is>
          <t>Mountain West South</t>
        </is>
      </c>
      <c r="E12" s="36" t="inlineStr">
        <is>
          <t>CO / WY</t>
        </is>
      </c>
      <c r="F12" s="36" t="n"/>
      <c r="G12" s="36" t="n"/>
      <c r="H12" s="36" t="inlineStr">
        <is>
          <t>Root Beer, Orange Cream, Vanilla Cream; Black Cherry Cream select stores</t>
        </is>
      </c>
      <c r="I12" s="36" t="inlineStr">
        <is>
          <t>1 case of each flavor backstock</t>
        </is>
      </c>
      <c r="J12" s="36" t="inlineStr">
        <is>
          <t>Shelf set + displays</t>
        </is>
      </c>
      <c r="K12" s="36" t="inlineStr">
        <is>
          <t>New pricing structure</t>
        </is>
      </c>
      <c r="L12" s="36" t="inlineStr">
        <is>
          <t>SRP $7.99 (2025 ABSCO)</t>
        </is>
      </c>
      <c r="M12" s="37" t="n">
        <v>7.99</v>
      </c>
      <c r="N12" s="36" t="inlineStr">
        <is>
          <t>Effective 9/7/2026</t>
        </is>
      </c>
      <c r="O12" s="38">
        <f>IF($A12="","",IF(COUNTIFS('Promo Calendar'!$A$6:$A$400,$A12,'Promo Calendar'!$L$6:$L$400,"Active")=0,"None active",INDEX('Promo Calendar'!$F$6:$F$400,MATCH($A12,'Promo Calendar'!$O$6:$O$400,0))&amp;IF(COUNTIFS('Promo Calendar'!$A$6:$A$400,$A12,'Promo Calendar'!$L$6:$L$400,"Active")&gt;1," (+"&amp;(COUNTIFS('Promo Calendar'!$A$6:$A$400,$A12,'Promo Calendar'!$L$6:$L$400,"Active")-1)&amp;" more)","")))</f>
        <v/>
      </c>
      <c r="P12" s="39">
        <f>IF($A12="","",IF(COUNTIFS('Promo Calendar'!$A$6:$A$400,$A12,'Promo Calendar'!$L$6:$L$400,"Active",'Promo Calendar'!$G$6:$G$400,"&gt;0")&gt;0,_xlfn.MINIFS('Promo Calendar'!$G$6:$G$400,'Promo Calendar'!$A$6:$A$400,$A12,'Promo Calendar'!$L$6:$L$400,"Active",'Promo Calendar'!$G$6:$G$400,"&gt;0"),IF(M12="","Not set",M12)))</f>
        <v/>
      </c>
      <c r="Q12" s="40">
        <f>IF($A12="","",IF(COUNTIFS('Promo Calendar'!$A$6:$A$400,$A12,'Promo Calendar'!$I$6:$I$400,"&gt;"&amp;TODAY())=0,"None scheduled",_xlfn.MINIFS('Promo Calendar'!$I$6:$I$400,'Promo Calendar'!$A$6:$A$400,$A12,'Promo Calendar'!$I$6:$I$400,"&gt;"&amp;TODAY())))</f>
        <v/>
      </c>
      <c r="R12" s="36" t="inlineStr">
        <is>
          <t>Confirm distributor price book accuracy. Sell in displays. Execute the new pricing structure.</t>
        </is>
      </c>
      <c r="S12" s="36" t="n"/>
      <c r="T12" s="36" t="inlineStr">
        <is>
          <t>Non-Alc 9/8/26 + HW 8/25/25</t>
        </is>
      </c>
      <c r="U12" s="36" t="inlineStr">
        <is>
          <t>Confirm for 2026</t>
        </is>
      </c>
      <c r="V12" s="41" t="n"/>
      <c r="W12" s="38">
        <f>IF($A12="","",COUNTIFS('Visit Log'!$C$6:$C$1005,$A12,'Visit Log'!$A$6:$A$1005,"&gt;="&amp;TODAY()-30))</f>
        <v/>
      </c>
      <c r="X12" s="38">
        <f>IF($A12="","",COUNTIFS('Visit Log'!$C$6:$C$1005,$A12,'Visit Log'!$T$6:$T$1005,"Open")+COUNTIFS('Visit Log'!$C$6:$C$1005,$A12,'Visit Log'!$T$6:$T$1005,"In Progress"))</f>
        <v/>
      </c>
      <c r="Y12" s="40">
        <f>IF($A12="","",IF(COUNTIFS('Visit Log'!$C$6:$C$1005,$A12)=0,"No visits",_xlfn.MAXIFS('Visit Log'!$A$6:$A$1005,'Visit Log'!$C$6:$C$1005,$A12)))</f>
        <v/>
      </c>
    </row>
    <row r="13">
      <c r="A13" s="34" t="inlineStr">
        <is>
          <t>Henry's | Southwest Division (SWD) #17</t>
        </is>
      </c>
      <c r="B13" s="42" t="inlineStr">
        <is>
          <t>Henry's</t>
        </is>
      </c>
      <c r="C13" s="36" t="inlineStr">
        <is>
          <t>Albertsons/Safeway</t>
        </is>
      </c>
      <c r="D13" s="36" t="inlineStr">
        <is>
          <t>Southwest Division (SWD) #17</t>
        </is>
      </c>
      <c r="E13" s="36" t="inlineStr">
        <is>
          <t>AZ / LV / NM</t>
        </is>
      </c>
      <c r="F13" s="36" t="n"/>
      <c r="G13" s="36" t="n"/>
      <c r="H13" s="36" t="inlineStr">
        <is>
          <t>Root Beer, Orange Cream, Vanilla Cream; Black Cherry Cream select stores</t>
        </is>
      </c>
      <c r="I13" s="36" t="inlineStr">
        <is>
          <t>1 case of each flavor backstock</t>
        </is>
      </c>
      <c r="J13" s="36" t="inlineStr">
        <is>
          <t>Shelf set + displays</t>
        </is>
      </c>
      <c r="K13" s="36" t="n"/>
      <c r="L13" s="36" t="inlineStr">
        <is>
          <t>EDLP $7.99</t>
        </is>
      </c>
      <c r="M13" s="37" t="n">
        <v>7.99</v>
      </c>
      <c r="N13" s="36" t="inlineStr">
        <is>
          <t>Ongoing</t>
        </is>
      </c>
      <c r="O13" s="38">
        <f>IF($A13="","",IF(COUNTIFS('Promo Calendar'!$A$6:$A$400,$A13,'Promo Calendar'!$L$6:$L$400,"Active")=0,"None active",INDEX('Promo Calendar'!$F$6:$F$400,MATCH($A13,'Promo Calendar'!$O$6:$O$400,0))&amp;IF(COUNTIFS('Promo Calendar'!$A$6:$A$400,$A13,'Promo Calendar'!$L$6:$L$400,"Active")&gt;1," (+"&amp;(COUNTIFS('Promo Calendar'!$A$6:$A$400,$A13,'Promo Calendar'!$L$6:$L$400,"Active")-1)&amp;" more)","")))</f>
        <v/>
      </c>
      <c r="P13" s="39">
        <f>IF($A13="","",IF(COUNTIFS('Promo Calendar'!$A$6:$A$400,$A13,'Promo Calendar'!$L$6:$L$400,"Active",'Promo Calendar'!$G$6:$G$400,"&gt;0")&gt;0,_xlfn.MINIFS('Promo Calendar'!$G$6:$G$400,'Promo Calendar'!$A$6:$A$400,$A13,'Promo Calendar'!$L$6:$L$400,"Active",'Promo Calendar'!$G$6:$G$400,"&gt;0"),IF(M13="","Not set",M13)))</f>
        <v/>
      </c>
      <c r="Q13" s="40">
        <f>IF($A13="","",IF(COUNTIFS('Promo Calendar'!$A$6:$A$400,$A13,'Promo Calendar'!$I$6:$I$400,"&gt;"&amp;TODAY())=0,"None scheduled",_xlfn.MINIFS('Promo Calendar'!$I$6:$I$400,'Promo Calendar'!$A$6:$A$400,$A13,'Promo Calendar'!$I$6:$I$400,"&gt;"&amp;TODAY())))</f>
        <v/>
      </c>
      <c r="R13" s="36" t="inlineStr">
        <is>
          <t>Reflect approved PTRs, actively sell displays and maintain $7.99 EDLP.</t>
        </is>
      </c>
      <c r="S13" s="36" t="n"/>
      <c r="T13" s="36" t="inlineStr">
        <is>
          <t>Non-Alc 9/8/26 + HW 8/25/25</t>
        </is>
      </c>
      <c r="U13" s="36" t="inlineStr">
        <is>
          <t>Current (2026)</t>
        </is>
      </c>
      <c r="V13" s="41" t="n"/>
      <c r="W13" s="38">
        <f>IF($A13="","",COUNTIFS('Visit Log'!$C$6:$C$1005,$A13,'Visit Log'!$A$6:$A$1005,"&gt;="&amp;TODAY()-30))</f>
        <v/>
      </c>
      <c r="X13" s="38">
        <f>IF($A13="","",COUNTIFS('Visit Log'!$C$6:$C$1005,$A13,'Visit Log'!$T$6:$T$1005,"Open")+COUNTIFS('Visit Log'!$C$6:$C$1005,$A13,'Visit Log'!$T$6:$T$1005,"In Progress"))</f>
        <v/>
      </c>
      <c r="Y13" s="40">
        <f>IF($A13="","",IF(COUNTIFS('Visit Log'!$C$6:$C$1005,$A13)=0,"No visits",_xlfn.MAXIFS('Visit Log'!$A$6:$A$1005,'Visit Log'!$C$6:$C$1005,$A13)))</f>
        <v/>
      </c>
    </row>
    <row r="14">
      <c r="A14" s="34" t="inlineStr">
        <is>
          <t>Henry's | BevMo!</t>
        </is>
      </c>
      <c r="B14" s="42" t="inlineStr">
        <is>
          <t>Henry's</t>
        </is>
      </c>
      <c r="C14" s="36" t="inlineStr">
        <is>
          <t>BevMo!</t>
        </is>
      </c>
      <c r="D14" s="36" t="inlineStr">
        <is>
          <t>BevMo!</t>
        </is>
      </c>
      <c r="E14" s="36" t="inlineStr">
        <is>
          <t>Non-alcohol section</t>
        </is>
      </c>
      <c r="F14" s="36" t="inlineStr">
        <is>
          <t>MU-AK ID OR WA: 5; MU-AZ NM LAS VEGAS: 5; MU-CA HI NORTH NV: 99</t>
        </is>
      </c>
      <c r="G14" s="36" t="n">
        <v>109</v>
      </c>
      <c r="H14" s="36" t="inlineStr">
        <is>
          <t>Root Beer, Black Cherry Cream, Orange Cream, Vanilla Cream</t>
        </is>
      </c>
      <c r="I14" s="36" t="inlineStr">
        <is>
          <t>1 case of each flavor backstock</t>
        </is>
      </c>
      <c r="J14" s="36" t="inlineStr">
        <is>
          <t>Non-alcohol section</t>
        </is>
      </c>
      <c r="K14" s="36" t="n"/>
      <c r="L14" s="36" t="inlineStr">
        <is>
          <t>SRP $8.99; promo TBD</t>
        </is>
      </c>
      <c r="M14" s="37" t="n">
        <v>8.99</v>
      </c>
      <c r="N14" s="36" t="inlineStr">
        <is>
          <t>Ongoing</t>
        </is>
      </c>
      <c r="O14" s="38">
        <f>IF($A14="","",IF(COUNTIFS('Promo Calendar'!$A$6:$A$400,$A14,'Promo Calendar'!$L$6:$L$400,"Active")=0,"None active",INDEX('Promo Calendar'!$F$6:$F$400,MATCH($A14,'Promo Calendar'!$O$6:$O$400,0))&amp;IF(COUNTIFS('Promo Calendar'!$A$6:$A$400,$A14,'Promo Calendar'!$L$6:$L$400,"Active")&gt;1," (+"&amp;(COUNTIFS('Promo Calendar'!$A$6:$A$400,$A14,'Promo Calendar'!$L$6:$L$400,"Active")-1)&amp;" more)","")))</f>
        <v/>
      </c>
      <c r="P14" s="39">
        <f>IF($A14="","",IF(COUNTIFS('Promo Calendar'!$A$6:$A$400,$A14,'Promo Calendar'!$L$6:$L$400,"Active",'Promo Calendar'!$G$6:$G$400,"&gt;0")&gt;0,_xlfn.MINIFS('Promo Calendar'!$G$6:$G$400,'Promo Calendar'!$A$6:$A$400,$A14,'Promo Calendar'!$L$6:$L$400,"Active",'Promo Calendar'!$G$6:$G$400,"&gt;0"),IF(M14="","Not set",M14)))</f>
        <v/>
      </c>
      <c r="Q14" s="40">
        <f>IF($A14="","",IF(COUNTIFS('Promo Calendar'!$A$6:$A$400,$A14,'Promo Calendar'!$I$6:$I$400,"&gt;"&amp;TODAY())=0,"None scheduled",_xlfn.MINIFS('Promo Calendar'!$I$6:$I$400,'Promo Calendar'!$A$6:$A$400,$A14,'Promo Calendar'!$I$6:$I$400,"&gt;"&amp;TODAY())))</f>
        <v/>
      </c>
      <c r="R14" s="36" t="inlineStr">
        <is>
          <t>Confirm all four Henry's SKUs are on shelf. Support reorders and in-stock conditions. Promo pricing TBD (Bob and Lexi setting up price promotions, per 2025 hot sheet).</t>
        </is>
      </c>
      <c r="S14" s="36" t="n"/>
      <c r="T14" s="36" t="inlineStr">
        <is>
          <t>Non-Alc 9/8/26 + HW 8/25/25</t>
        </is>
      </c>
      <c r="U14" s="36" t="inlineStr">
        <is>
          <t>Current (2026)</t>
        </is>
      </c>
      <c r="V14" s="41" t="n"/>
      <c r="W14" s="38">
        <f>IF($A14="","",COUNTIFS('Visit Log'!$C$6:$C$1005,$A14,'Visit Log'!$A$6:$A$1005,"&gt;="&amp;TODAY()-30))</f>
        <v/>
      </c>
      <c r="X14" s="38">
        <f>IF($A14="","",COUNTIFS('Visit Log'!$C$6:$C$1005,$A14,'Visit Log'!$T$6:$T$1005,"Open")+COUNTIFS('Visit Log'!$C$6:$C$1005,$A14,'Visit Log'!$T$6:$T$1005,"In Progress"))</f>
        <v/>
      </c>
      <c r="Y14" s="40">
        <f>IF($A14="","",IF(COUNTIFS('Visit Log'!$C$6:$C$1005,$A14)=0,"No visits",_xlfn.MAXIFS('Visit Log'!$A$6:$A$1005,'Visit Log'!$C$6:$C$1005,$A14)))</f>
        <v/>
      </c>
    </row>
    <row r="15">
      <c r="A15" s="34" t="inlineStr">
        <is>
          <t>Henry's | Raley's</t>
        </is>
      </c>
      <c r="B15" s="42" t="inlineStr">
        <is>
          <t>Henry's</t>
        </is>
      </c>
      <c r="C15" s="36" t="inlineStr">
        <is>
          <t>Raley's</t>
        </is>
      </c>
      <c r="D15" s="36" t="inlineStr">
        <is>
          <t>Raley's</t>
        </is>
      </c>
      <c r="E15" s="36" t="inlineStr">
        <is>
          <t>NorCal (+ AZ per 2025 hot sheet)</t>
        </is>
      </c>
      <c r="F15" s="36" t="inlineStr">
        <is>
          <t>MU-CA HI NORTH NV: 115; MU-AZ NM LAS VEGAS: 44</t>
        </is>
      </c>
      <c r="G15" s="36" t="n">
        <v>159</v>
      </c>
      <c r="H15" s="36" t="inlineStr">
        <is>
          <t>Root Beer, Orange Cream, Vanilla Cream; Black Cherry Cream select stores</t>
        </is>
      </c>
      <c r="I15" s="36" t="inlineStr">
        <is>
          <t>1 case of each flavor backstock</t>
        </is>
      </c>
      <c r="J15" s="36" t="inlineStr">
        <is>
          <t>Shelf set + displays</t>
        </is>
      </c>
      <c r="K15" s="36" t="inlineStr">
        <is>
          <t>$23 frontline; $3.45 O/I; $19.55 net; $1.00/CE scan</t>
        </is>
      </c>
      <c r="L15" s="36" t="inlineStr">
        <is>
          <t>SRP $6.49 (2025)</t>
        </is>
      </c>
      <c r="M15" s="37" t="n">
        <v>6.49</v>
      </c>
      <c r="N15" s="36" t="inlineStr">
        <is>
          <t>2H 2026 - four promo windows (dates not listed)</t>
        </is>
      </c>
      <c r="O15" s="38">
        <f>IF($A15="","",IF(COUNTIFS('Promo Calendar'!$A$6:$A$400,$A15,'Promo Calendar'!$L$6:$L$400,"Active")=0,"None active",INDEX('Promo Calendar'!$F$6:$F$400,MATCH($A15,'Promo Calendar'!$O$6:$O$400,0))&amp;IF(COUNTIFS('Promo Calendar'!$A$6:$A$400,$A15,'Promo Calendar'!$L$6:$L$400,"Active")&gt;1," (+"&amp;(COUNTIFS('Promo Calendar'!$A$6:$A$400,$A15,'Promo Calendar'!$L$6:$L$400,"Active")-1)&amp;" more)","")))</f>
        <v/>
      </c>
      <c r="P15" s="39">
        <f>IF($A15="","",IF(COUNTIFS('Promo Calendar'!$A$6:$A$400,$A15,'Promo Calendar'!$L$6:$L$400,"Active",'Promo Calendar'!$G$6:$G$400,"&gt;0")&gt;0,_xlfn.MINIFS('Promo Calendar'!$G$6:$G$400,'Promo Calendar'!$A$6:$A$400,$A15,'Promo Calendar'!$L$6:$L$400,"Active",'Promo Calendar'!$G$6:$G$400,"&gt;0"),IF(M15="","Not set",M15)))</f>
        <v/>
      </c>
      <c r="Q15" s="40">
        <f>IF($A15="","",IF(COUNTIFS('Promo Calendar'!$A$6:$A$400,$A15,'Promo Calendar'!$I$6:$I$400,"&gt;"&amp;TODAY())=0,"None scheduled",_xlfn.MINIFS('Promo Calendar'!$I$6:$I$400,'Promo Calendar'!$A$6:$A$400,$A15,'Promo Calendar'!$I$6:$I$400,"&gt;"&amp;TODAY())))</f>
        <v/>
      </c>
      <c r="R15" s="36" t="inlineStr">
        <is>
          <t>$23 frontline. $3.45 O/I, $19.55 net and $1.00/CE scan in four promotional windows. Priority to close gaps and hit 90%+ re-service rates.</t>
        </is>
      </c>
      <c r="S15" s="36" t="n"/>
      <c r="T15" s="36" t="inlineStr">
        <is>
          <t>Non-Alc 9/8/26 + HW 8/25/25</t>
        </is>
      </c>
      <c r="U15" s="36" t="inlineStr">
        <is>
          <t>Confirm for 2026</t>
        </is>
      </c>
      <c r="V15" s="41" t="n"/>
      <c r="W15" s="38">
        <f>IF($A15="","",COUNTIFS('Visit Log'!$C$6:$C$1005,$A15,'Visit Log'!$A$6:$A$1005,"&gt;="&amp;TODAY()-30))</f>
        <v/>
      </c>
      <c r="X15" s="38">
        <f>IF($A15="","",COUNTIFS('Visit Log'!$C$6:$C$1005,$A15,'Visit Log'!$T$6:$T$1005,"Open")+COUNTIFS('Visit Log'!$C$6:$C$1005,$A15,'Visit Log'!$T$6:$T$1005,"In Progress"))</f>
        <v/>
      </c>
      <c r="Y15" s="40">
        <f>IF($A15="","",IF(COUNTIFS('Visit Log'!$C$6:$C$1005,$A15)=0,"No visits",_xlfn.MAXIFS('Visit Log'!$A$6:$A$1005,'Visit Log'!$C$6:$C$1005,$A15)))</f>
        <v/>
      </c>
    </row>
    <row r="16">
      <c r="A16" s="34" t="inlineStr">
        <is>
          <t>Henry's | Yoke's Fresh Market</t>
        </is>
      </c>
      <c r="B16" s="42" t="inlineStr">
        <is>
          <t>Henry's</t>
        </is>
      </c>
      <c r="C16" s="36" t="inlineStr">
        <is>
          <t>Yoke's Fresh Market</t>
        </is>
      </c>
      <c r="D16" s="36" t="inlineStr">
        <is>
          <t>Yoke's Fresh Market</t>
        </is>
      </c>
      <c r="E16" s="36" t="inlineStr">
        <is>
          <t>W. WA</t>
        </is>
      </c>
      <c r="F16" s="36" t="inlineStr">
        <is>
          <t>MU-AK ID OR WA: 17</t>
        </is>
      </c>
      <c r="G16" s="36" t="n">
        <v>17</v>
      </c>
      <c r="H16" s="36" t="inlineStr">
        <is>
          <t>Root Beer, Black Cherry Cream, Orange Cream, Vanilla Cream</t>
        </is>
      </c>
      <c r="I16" s="36" t="inlineStr">
        <is>
          <t>1 case of each flavor backstock</t>
        </is>
      </c>
      <c r="J16" s="36" t="inlineStr">
        <is>
          <t>Shelf set + displays</t>
        </is>
      </c>
      <c r="K16" s="36" t="inlineStr">
        <is>
          <t>$19.55 case cost (6/1-9/8/2026)</t>
        </is>
      </c>
      <c r="L16" s="36" t="inlineStr">
        <is>
          <t>SRP $6.49 (2025); retail TBD</t>
        </is>
      </c>
      <c r="M16" s="37" t="n">
        <v>6.49</v>
      </c>
      <c r="N16" s="36" t="inlineStr">
        <is>
          <t>6/1-9/8/2026</t>
        </is>
      </c>
      <c r="O16" s="38">
        <f>IF($A16="","",IF(COUNTIFS('Promo Calendar'!$A$6:$A$400,$A16,'Promo Calendar'!$L$6:$L$400,"Active")=0,"None active",INDEX('Promo Calendar'!$F$6:$F$400,MATCH($A16,'Promo Calendar'!$O$6:$O$400,0))&amp;IF(COUNTIFS('Promo Calendar'!$A$6:$A$400,$A16,'Promo Calendar'!$L$6:$L$400,"Active")&gt;1," (+"&amp;(COUNTIFS('Promo Calendar'!$A$6:$A$400,$A16,'Promo Calendar'!$L$6:$L$400,"Active")-1)&amp;" more)","")))</f>
        <v/>
      </c>
      <c r="P16" s="39">
        <f>IF($A16="","",IF(COUNTIFS('Promo Calendar'!$A$6:$A$400,$A16,'Promo Calendar'!$L$6:$L$400,"Active",'Promo Calendar'!$G$6:$G$400,"&gt;0")&gt;0,_xlfn.MINIFS('Promo Calendar'!$G$6:$G$400,'Promo Calendar'!$A$6:$A$400,$A16,'Promo Calendar'!$L$6:$L$400,"Active",'Promo Calendar'!$G$6:$G$400,"&gt;0"),IF(M16="","Not set",M16)))</f>
        <v/>
      </c>
      <c r="Q16" s="40">
        <f>IF($A16="","",IF(COUNTIFS('Promo Calendar'!$A$6:$A$400,$A16,'Promo Calendar'!$I$6:$I$400,"&gt;"&amp;TODAY())=0,"None scheduled",_xlfn.MINIFS('Promo Calendar'!$I$6:$I$400,'Promo Calendar'!$A$6:$A$400,$A16,'Promo Calendar'!$I$6:$I$400,"&gt;"&amp;TODAY())))</f>
        <v/>
      </c>
      <c r="R16" s="36" t="inlineStr">
        <is>
          <t>$19.55 case cost. Retail TBD. Priority to close gaps and hit 90%+ re-service rates. Sell in displays at store level to support promotional pricing.</t>
        </is>
      </c>
      <c r="S16" s="36" t="n"/>
      <c r="T16" s="36" t="inlineStr">
        <is>
          <t>Non-Alc 9/8/26 + HW 8/25/25</t>
        </is>
      </c>
      <c r="U16" s="36" t="inlineStr">
        <is>
          <t>Confirm for 2026</t>
        </is>
      </c>
      <c r="V16" s="41" t="n"/>
      <c r="W16" s="38">
        <f>IF($A16="","",COUNTIFS('Visit Log'!$C$6:$C$1005,$A16,'Visit Log'!$A$6:$A$1005,"&gt;="&amp;TODAY()-30))</f>
        <v/>
      </c>
      <c r="X16" s="38">
        <f>IF($A16="","",COUNTIFS('Visit Log'!$C$6:$C$1005,$A16,'Visit Log'!$T$6:$T$1005,"Open")+COUNTIFS('Visit Log'!$C$6:$C$1005,$A16,'Visit Log'!$T$6:$T$1005,"In Progress"))</f>
        <v/>
      </c>
      <c r="Y16" s="40">
        <f>IF($A16="","",IF(COUNTIFS('Visit Log'!$C$6:$C$1005,$A16)=0,"No visits",_xlfn.MAXIFS('Visit Log'!$A$6:$A$1005,'Visit Log'!$C$6:$C$1005,$A16)))</f>
        <v/>
      </c>
    </row>
    <row r="17">
      <c r="A17" s="34" t="inlineStr">
        <is>
          <t>Henry's | WinCo Foods</t>
        </is>
      </c>
      <c r="B17" s="42" t="inlineStr">
        <is>
          <t>Henry's</t>
        </is>
      </c>
      <c r="C17" s="36" t="inlineStr">
        <is>
          <t>WinCo Foods</t>
        </is>
      </c>
      <c r="D17" s="36" t="inlineStr">
        <is>
          <t>WinCo Foods</t>
        </is>
      </c>
      <c r="E17" s="36" t="inlineStr">
        <is>
          <t>PNW / NorCal / Utah</t>
        </is>
      </c>
      <c r="F17" s="36" t="inlineStr">
        <is>
          <t>MU-AK ID OR WA: 59; MU-AZ NM LAS VEGAS: 10; MU-CA HI NORTH NV: 40</t>
        </is>
      </c>
      <c r="G17" s="36" t="n">
        <v>109</v>
      </c>
      <c r="H17" s="36" t="inlineStr">
        <is>
          <t>Root Beer, Black Cherry Cream, Orange Cream, Vanilla Cream</t>
        </is>
      </c>
      <c r="I17" s="36" t="inlineStr">
        <is>
          <t>1 case of each flavor backstock</t>
        </is>
      </c>
      <c r="J17" s="36" t="inlineStr">
        <is>
          <t>Shelf set + promo displays</t>
        </is>
      </c>
      <c r="K17" s="36" t="inlineStr">
        <is>
          <t>$23 frontline; $19.55 Tier 2; $18.40 Tier 3</t>
        </is>
      </c>
      <c r="L17" s="36" t="inlineStr">
        <is>
          <t>SRP $6.49 (2025)</t>
        </is>
      </c>
      <c r="M17" s="37" t="n">
        <v>6.49</v>
      </c>
      <c r="N17" s="36" t="inlineStr">
        <is>
          <t>Jun-Dec 2026 (see Promo Calendar)</t>
        </is>
      </c>
      <c r="O17" s="38">
        <f>IF($A17="","",IF(COUNTIFS('Promo Calendar'!$A$6:$A$400,$A17,'Promo Calendar'!$L$6:$L$400,"Active")=0,"None active",INDEX('Promo Calendar'!$F$6:$F$400,MATCH($A17,'Promo Calendar'!$O$6:$O$400,0))&amp;IF(COUNTIFS('Promo Calendar'!$A$6:$A$400,$A17,'Promo Calendar'!$L$6:$L$400,"Active")&gt;1," (+"&amp;(COUNTIFS('Promo Calendar'!$A$6:$A$400,$A17,'Promo Calendar'!$L$6:$L$400,"Active")-1)&amp;" more)","")))</f>
        <v/>
      </c>
      <c r="P17" s="39">
        <f>IF($A17="","",IF(COUNTIFS('Promo Calendar'!$A$6:$A$400,$A17,'Promo Calendar'!$L$6:$L$400,"Active",'Promo Calendar'!$G$6:$G$400,"&gt;0")&gt;0,_xlfn.MINIFS('Promo Calendar'!$G$6:$G$400,'Promo Calendar'!$A$6:$A$400,$A17,'Promo Calendar'!$L$6:$L$400,"Active",'Promo Calendar'!$G$6:$G$400,"&gt;0"),IF(M17="","Not set",M17)))</f>
        <v/>
      </c>
      <c r="Q17" s="40">
        <f>IF($A17="","",IF(COUNTIFS('Promo Calendar'!$A$6:$A$400,$A17,'Promo Calendar'!$I$6:$I$400,"&gt;"&amp;TODAY())=0,"None scheduled",_xlfn.MINIFS('Promo Calendar'!$I$6:$I$400,'Promo Calendar'!$A$6:$A$400,$A17,'Promo Calendar'!$I$6:$I$400,"&gt;"&amp;TODAY())))</f>
        <v/>
      </c>
      <c r="R17" s="36" t="inlineStr">
        <is>
          <t>$23 frontline effective 6/1. $19.55 Tier 2 and $18.40 Tier 3 promotional/display pricing. Priority to close gaps and hit 90%+ re-service rates.</t>
        </is>
      </c>
      <c r="S17" s="36" t="n"/>
      <c r="T17" s="36" t="inlineStr">
        <is>
          <t>Non-Alc 9/8/26 + HW 8/25/25</t>
        </is>
      </c>
      <c r="U17" s="36" t="inlineStr">
        <is>
          <t>Confirm for 2026</t>
        </is>
      </c>
      <c r="V17" s="41" t="n"/>
      <c r="W17" s="38">
        <f>IF($A17="","",COUNTIFS('Visit Log'!$C$6:$C$1005,$A17,'Visit Log'!$A$6:$A$1005,"&gt;="&amp;TODAY()-30))</f>
        <v/>
      </c>
      <c r="X17" s="38">
        <f>IF($A17="","",COUNTIFS('Visit Log'!$C$6:$C$1005,$A17,'Visit Log'!$T$6:$T$1005,"Open")+COUNTIFS('Visit Log'!$C$6:$C$1005,$A17,'Visit Log'!$T$6:$T$1005,"In Progress"))</f>
        <v/>
      </c>
      <c r="Y17" s="40">
        <f>IF($A17="","",IF(COUNTIFS('Visit Log'!$C$6:$C$1005,$A17)=0,"No visits",_xlfn.MAXIFS('Visit Log'!$A$6:$A$1005,'Visit Log'!$C$6:$C$1005,$A17)))</f>
        <v/>
      </c>
    </row>
    <row r="18">
      <c r="A18" s="34" t="inlineStr">
        <is>
          <t>Henry's | Save Mart / Lucky</t>
        </is>
      </c>
      <c r="B18" s="42" t="inlineStr">
        <is>
          <t>Henry's</t>
        </is>
      </c>
      <c r="C18" s="36" t="inlineStr">
        <is>
          <t>Save Mart / Lucky</t>
        </is>
      </c>
      <c r="D18" s="36" t="inlineStr">
        <is>
          <t>Save Mart / Lucky</t>
        </is>
      </c>
      <c r="E18" s="36" t="inlineStr">
        <is>
          <t>NorCal / N. NV</t>
        </is>
      </c>
      <c r="F18" s="36" t="inlineStr">
        <is>
          <t>MU-CA HI NORTH NV: 188</t>
        </is>
      </c>
      <c r="G18" s="36" t="n">
        <v>188</v>
      </c>
      <c r="H18" s="36" t="inlineStr">
        <is>
          <t>Root Beer, Orange Cream, Vanilla Cream; Black Cherry Cream select stores</t>
        </is>
      </c>
      <c r="I18" s="36" t="inlineStr">
        <is>
          <t>1 case of each flavor backstock</t>
        </is>
      </c>
      <c r="J18" s="36" t="inlineStr">
        <is>
          <t>Shelf set + displays</t>
        </is>
      </c>
      <c r="K18" s="36" t="n"/>
      <c r="L18" s="36" t="inlineStr">
        <is>
          <t>SRP $6.49</t>
        </is>
      </c>
      <c r="M18" s="37" t="n">
        <v>6.49</v>
      </c>
      <c r="N18" s="36" t="inlineStr">
        <is>
          <t>2025: 6/1-9/6, 10/5-1/3</t>
        </is>
      </c>
      <c r="O18" s="38">
        <f>IF($A18="","",IF(COUNTIFS('Promo Calendar'!$A$6:$A$400,$A18,'Promo Calendar'!$L$6:$L$400,"Active")=0,"None active",INDEX('Promo Calendar'!$F$6:$F$400,MATCH($A18,'Promo Calendar'!$O$6:$O$400,0))&amp;IF(COUNTIFS('Promo Calendar'!$A$6:$A$400,$A18,'Promo Calendar'!$L$6:$L$400,"Active")&gt;1," (+"&amp;(COUNTIFS('Promo Calendar'!$A$6:$A$400,$A18,'Promo Calendar'!$L$6:$L$400,"Active")-1)&amp;" more)","")))</f>
        <v/>
      </c>
      <c r="P18" s="39">
        <f>IF($A18="","",IF(COUNTIFS('Promo Calendar'!$A$6:$A$400,$A18,'Promo Calendar'!$L$6:$L$400,"Active",'Promo Calendar'!$G$6:$G$400,"&gt;0")&gt;0,_xlfn.MINIFS('Promo Calendar'!$G$6:$G$400,'Promo Calendar'!$A$6:$A$400,$A18,'Promo Calendar'!$L$6:$L$400,"Active",'Promo Calendar'!$G$6:$G$400,"&gt;0"),IF(M18="","Not set",M18)))</f>
        <v/>
      </c>
      <c r="Q18" s="40">
        <f>IF($A18="","",IF(COUNTIFS('Promo Calendar'!$A$6:$A$400,$A18,'Promo Calendar'!$I$6:$I$400,"&gt;"&amp;TODAY())=0,"None scheduled",_xlfn.MINIFS('Promo Calendar'!$I$6:$I$400,'Promo Calendar'!$A$6:$A$400,$A18,'Promo Calendar'!$I$6:$I$400,"&gt;"&amp;TODAY())))</f>
        <v/>
      </c>
      <c r="R18" s="36" t="inlineStr">
        <is>
          <t>Priority to close gaps and hit 90%+ re-service rates. Sell in displays at store level to support promotional pricing.</t>
        </is>
      </c>
      <c r="S18" s="36" t="n"/>
      <c r="T18" s="36" t="inlineStr">
        <is>
          <t>HW Hot Sheet 8/25/25</t>
        </is>
      </c>
      <c r="U18" s="36" t="inlineStr">
        <is>
          <t>Confirm for 2026</t>
        </is>
      </c>
      <c r="V18" s="41" t="n"/>
      <c r="W18" s="38">
        <f>IF($A18="","",COUNTIFS('Visit Log'!$C$6:$C$1005,$A18,'Visit Log'!$A$6:$A$1005,"&gt;="&amp;TODAY()-30))</f>
        <v/>
      </c>
      <c r="X18" s="38">
        <f>IF($A18="","",COUNTIFS('Visit Log'!$C$6:$C$1005,$A18,'Visit Log'!$T$6:$T$1005,"Open")+COUNTIFS('Visit Log'!$C$6:$C$1005,$A18,'Visit Log'!$T$6:$T$1005,"In Progress"))</f>
        <v/>
      </c>
      <c r="Y18" s="40">
        <f>IF($A18="","",IF(COUNTIFS('Visit Log'!$C$6:$C$1005,$A18)=0,"No visits",_xlfn.MAXIFS('Visit Log'!$A$6:$A$1005,'Visit Log'!$C$6:$C$1005,$A18)))</f>
        <v/>
      </c>
    </row>
    <row r="19">
      <c r="A19" s="34" t="inlineStr">
        <is>
          <t>Henry's | SFWY Portland Div. #19</t>
        </is>
      </c>
      <c r="B19" s="42" t="inlineStr">
        <is>
          <t>Henry's</t>
        </is>
      </c>
      <c r="C19" s="36" t="inlineStr">
        <is>
          <t>Albertsons/Safeway</t>
        </is>
      </c>
      <c r="D19" s="36" t="inlineStr">
        <is>
          <t>SFWY Portland Div. #19</t>
        </is>
      </c>
      <c r="E19" s="36" t="inlineStr">
        <is>
          <t>OR / SW WA</t>
        </is>
      </c>
      <c r="F19" s="36" t="n"/>
      <c r="G19" s="36" t="n"/>
      <c r="H19" s="36" t="inlineStr">
        <is>
          <t>Root Beer, Orange Cream, Vanilla Cream; Black Cherry Cream select stores</t>
        </is>
      </c>
      <c r="I19" s="36" t="inlineStr">
        <is>
          <t>1 case of each flavor backstock</t>
        </is>
      </c>
      <c r="J19" s="36" t="inlineStr">
        <is>
          <t>Shelves merchandised; backstock</t>
        </is>
      </c>
      <c r="K19" s="36" t="n"/>
      <c r="L19" s="36" t="inlineStr">
        <is>
          <t>SRP $7.99</t>
        </is>
      </c>
      <c r="M19" s="37" t="n">
        <v>7.99</v>
      </c>
      <c r="N19" s="36" t="inlineStr">
        <is>
          <t>2025: 6/1-9/6, 10/5-1/3</t>
        </is>
      </c>
      <c r="O19" s="38">
        <f>IF($A19="","",IF(COUNTIFS('Promo Calendar'!$A$6:$A$400,$A19,'Promo Calendar'!$L$6:$L$400,"Active")=0,"None active",INDEX('Promo Calendar'!$F$6:$F$400,MATCH($A19,'Promo Calendar'!$O$6:$O$400,0))&amp;IF(COUNTIFS('Promo Calendar'!$A$6:$A$400,$A19,'Promo Calendar'!$L$6:$L$400,"Active")&gt;1," (+"&amp;(COUNTIFS('Promo Calendar'!$A$6:$A$400,$A19,'Promo Calendar'!$L$6:$L$400,"Active")-1)&amp;" more)","")))</f>
        <v/>
      </c>
      <c r="P19" s="39">
        <f>IF($A19="","",IF(COUNTIFS('Promo Calendar'!$A$6:$A$400,$A19,'Promo Calendar'!$L$6:$L$400,"Active",'Promo Calendar'!$G$6:$G$400,"&gt;0")&gt;0,_xlfn.MINIFS('Promo Calendar'!$G$6:$G$400,'Promo Calendar'!$A$6:$A$400,$A19,'Promo Calendar'!$L$6:$L$400,"Active",'Promo Calendar'!$G$6:$G$400,"&gt;0"),IF(M19="","Not set",M19)))</f>
        <v/>
      </c>
      <c r="Q19" s="40">
        <f>IF($A19="","",IF(COUNTIFS('Promo Calendar'!$A$6:$A$400,$A19,'Promo Calendar'!$I$6:$I$400,"&gt;"&amp;TODAY())=0,"None scheduled",_xlfn.MINIFS('Promo Calendar'!$I$6:$I$400,'Promo Calendar'!$A$6:$A$400,$A19,'Promo Calendar'!$I$6:$I$400,"&gt;"&amp;TODAY())))</f>
        <v/>
      </c>
      <c r="R19" s="36" t="inlineStr">
        <is>
          <t>Ensure shelves are merchandised. Sufficient inventory in backstock.</t>
        </is>
      </c>
      <c r="S19" s="36" t="n"/>
      <c r="T19" s="36" t="inlineStr">
        <is>
          <t>HW Hot Sheet 8/25/25</t>
        </is>
      </c>
      <c r="U19" s="36" t="inlineStr">
        <is>
          <t>Confirm for 2026</t>
        </is>
      </c>
      <c r="V19" s="41" t="n"/>
      <c r="W19" s="38">
        <f>IF($A19="","",COUNTIFS('Visit Log'!$C$6:$C$1005,$A19,'Visit Log'!$A$6:$A$1005,"&gt;="&amp;TODAY()-30))</f>
        <v/>
      </c>
      <c r="X19" s="38">
        <f>IF($A19="","",COUNTIFS('Visit Log'!$C$6:$C$1005,$A19,'Visit Log'!$T$6:$T$1005,"Open")+COUNTIFS('Visit Log'!$C$6:$C$1005,$A19,'Visit Log'!$T$6:$T$1005,"In Progress"))</f>
        <v/>
      </c>
      <c r="Y19" s="40">
        <f>IF($A19="","",IF(COUNTIFS('Visit Log'!$C$6:$C$1005,$A19)=0,"No visits",_xlfn.MAXIFS('Visit Log'!$A$6:$A$1005,'Visit Log'!$C$6:$C$1005,$A19)))</f>
        <v/>
      </c>
    </row>
    <row r="20">
      <c r="A20" s="34" t="inlineStr">
        <is>
          <t>Henry's | Haggen Div. #24</t>
        </is>
      </c>
      <c r="B20" s="42" t="inlineStr">
        <is>
          <t>Henry's</t>
        </is>
      </c>
      <c r="C20" s="36" t="inlineStr">
        <is>
          <t>Albertsons/Safeway</t>
        </is>
      </c>
      <c r="D20" s="36" t="inlineStr">
        <is>
          <t>Haggen Div. #24</t>
        </is>
      </c>
      <c r="E20" s="36" t="inlineStr">
        <is>
          <t>W. WA</t>
        </is>
      </c>
      <c r="F20" s="36" t="n"/>
      <c r="G20" s="36" t="n"/>
      <c r="H20" s="36" t="inlineStr">
        <is>
          <t>Root Beer, Orange Cream, Vanilla Cream; Black Cherry Cream select stores</t>
        </is>
      </c>
      <c r="I20" s="36" t="inlineStr">
        <is>
          <t>1 case of each flavor backstock</t>
        </is>
      </c>
      <c r="J20" s="36" t="inlineStr">
        <is>
          <t>Shelves merchandised; backstock</t>
        </is>
      </c>
      <c r="K20" s="36" t="n"/>
      <c r="L20" s="36" t="inlineStr">
        <is>
          <t>SRP $7.99</t>
        </is>
      </c>
      <c r="M20" s="37" t="n">
        <v>7.99</v>
      </c>
      <c r="N20" s="36" t="inlineStr">
        <is>
          <t>2025: 6/1-9/6, 10/5-1/3</t>
        </is>
      </c>
      <c r="O20" s="38">
        <f>IF($A20="","",IF(COUNTIFS('Promo Calendar'!$A$6:$A$400,$A20,'Promo Calendar'!$L$6:$L$400,"Active")=0,"None active",INDEX('Promo Calendar'!$F$6:$F$400,MATCH($A20,'Promo Calendar'!$O$6:$O$400,0))&amp;IF(COUNTIFS('Promo Calendar'!$A$6:$A$400,$A20,'Promo Calendar'!$L$6:$L$400,"Active")&gt;1," (+"&amp;(COUNTIFS('Promo Calendar'!$A$6:$A$400,$A20,'Promo Calendar'!$L$6:$L$400,"Active")-1)&amp;" more)","")))</f>
        <v/>
      </c>
      <c r="P20" s="39">
        <f>IF($A20="","",IF(COUNTIFS('Promo Calendar'!$A$6:$A$400,$A20,'Promo Calendar'!$L$6:$L$400,"Active",'Promo Calendar'!$G$6:$G$400,"&gt;0")&gt;0,_xlfn.MINIFS('Promo Calendar'!$G$6:$G$400,'Promo Calendar'!$A$6:$A$400,$A20,'Promo Calendar'!$L$6:$L$400,"Active",'Promo Calendar'!$G$6:$G$400,"&gt;0"),IF(M20="","Not set",M20)))</f>
        <v/>
      </c>
      <c r="Q20" s="40">
        <f>IF($A20="","",IF(COUNTIFS('Promo Calendar'!$A$6:$A$400,$A20,'Promo Calendar'!$I$6:$I$400,"&gt;"&amp;TODAY())=0,"None scheduled",_xlfn.MINIFS('Promo Calendar'!$I$6:$I$400,'Promo Calendar'!$A$6:$A$400,$A20,'Promo Calendar'!$I$6:$I$400,"&gt;"&amp;TODAY())))</f>
        <v/>
      </c>
      <c r="R20" s="36" t="inlineStr">
        <is>
          <t>Ensure shelves are merchandised. Sufficient inventory in backstock.</t>
        </is>
      </c>
      <c r="S20" s="36" t="n"/>
      <c r="T20" s="36" t="inlineStr">
        <is>
          <t>HW Hot Sheet 8/25/25</t>
        </is>
      </c>
      <c r="U20" s="36" t="inlineStr">
        <is>
          <t>Confirm for 2026</t>
        </is>
      </c>
      <c r="V20" s="41" t="n"/>
      <c r="W20" s="38">
        <f>IF($A20="","",COUNTIFS('Visit Log'!$C$6:$C$1005,$A20,'Visit Log'!$A$6:$A$1005,"&gt;="&amp;TODAY()-30))</f>
        <v/>
      </c>
      <c r="X20" s="38">
        <f>IF($A20="","",COUNTIFS('Visit Log'!$C$6:$C$1005,$A20,'Visit Log'!$T$6:$T$1005,"Open")+COUNTIFS('Visit Log'!$C$6:$C$1005,$A20,'Visit Log'!$T$6:$T$1005,"In Progress"))</f>
        <v/>
      </c>
      <c r="Y20" s="40">
        <f>IF($A20="","",IF(COUNTIFS('Visit Log'!$C$6:$C$1005,$A20)=0,"No visits",_xlfn.MAXIFS('Visit Log'!$A$6:$A$1005,'Visit Log'!$C$6:$C$1005,$A20)))</f>
        <v/>
      </c>
    </row>
    <row r="21">
      <c r="A21" s="34" t="inlineStr">
        <is>
          <t>Henry's | NorCal Div. #25 (incl. HI)</t>
        </is>
      </c>
      <c r="B21" s="42" t="inlineStr">
        <is>
          <t>Henry's</t>
        </is>
      </c>
      <c r="C21" s="36" t="inlineStr">
        <is>
          <t>Albertsons/Safeway</t>
        </is>
      </c>
      <c r="D21" s="36" t="inlineStr">
        <is>
          <t>NorCal Div. #25 (incl. HI)</t>
        </is>
      </c>
      <c r="E21" s="36" t="inlineStr">
        <is>
          <t>NorCal / HI</t>
        </is>
      </c>
      <c r="F21" s="36" t="n"/>
      <c r="G21" s="36" t="n"/>
      <c r="H21" s="36" t="inlineStr">
        <is>
          <t>Root Beer, Orange Cream, Vanilla Cream; Black Cherry Cream select stores</t>
        </is>
      </c>
      <c r="I21" s="36" t="inlineStr">
        <is>
          <t>1 case of each flavor backstock</t>
        </is>
      </c>
      <c r="J21" s="36" t="inlineStr">
        <is>
          <t>Shelves merchandised; backstock</t>
        </is>
      </c>
      <c r="K21" s="36" t="n"/>
      <c r="L21" s="36" t="inlineStr">
        <is>
          <t>SRP $7.99 (HI $8.99)</t>
        </is>
      </c>
      <c r="M21" s="37" t="n">
        <v>7.99</v>
      </c>
      <c r="N21" s="36" t="inlineStr">
        <is>
          <t>2025: 6/1-9/6, 10/5-1/3</t>
        </is>
      </c>
      <c r="O21" s="38">
        <f>IF($A21="","",IF(COUNTIFS('Promo Calendar'!$A$6:$A$400,$A21,'Promo Calendar'!$L$6:$L$400,"Active")=0,"None active",INDEX('Promo Calendar'!$F$6:$F$400,MATCH($A21,'Promo Calendar'!$O$6:$O$400,0))&amp;IF(COUNTIFS('Promo Calendar'!$A$6:$A$400,$A21,'Promo Calendar'!$L$6:$L$400,"Active")&gt;1," (+"&amp;(COUNTIFS('Promo Calendar'!$A$6:$A$400,$A21,'Promo Calendar'!$L$6:$L$400,"Active")-1)&amp;" more)","")))</f>
        <v/>
      </c>
      <c r="P21" s="39">
        <f>IF($A21="","",IF(COUNTIFS('Promo Calendar'!$A$6:$A$400,$A21,'Promo Calendar'!$L$6:$L$400,"Active",'Promo Calendar'!$G$6:$G$400,"&gt;0")&gt;0,_xlfn.MINIFS('Promo Calendar'!$G$6:$G$400,'Promo Calendar'!$A$6:$A$400,$A21,'Promo Calendar'!$L$6:$L$400,"Active",'Promo Calendar'!$G$6:$G$400,"&gt;0"),IF(M21="","Not set",M21)))</f>
        <v/>
      </c>
      <c r="Q21" s="40">
        <f>IF($A21="","",IF(COUNTIFS('Promo Calendar'!$A$6:$A$400,$A21,'Promo Calendar'!$I$6:$I$400,"&gt;"&amp;TODAY())=0,"None scheduled",_xlfn.MINIFS('Promo Calendar'!$I$6:$I$400,'Promo Calendar'!$A$6:$A$400,$A21,'Promo Calendar'!$I$6:$I$400,"&gt;"&amp;TODAY())))</f>
        <v/>
      </c>
      <c r="R21" s="36" t="inlineStr">
        <is>
          <t>Ensure shelves are merchandised. Sufficient inventory in backstock. Hawaii SRP $8.99 / TPR $7.99.</t>
        </is>
      </c>
      <c r="S21" s="36" t="n"/>
      <c r="T21" s="36" t="inlineStr">
        <is>
          <t>HW Hot Sheet 8/25/25</t>
        </is>
      </c>
      <c r="U21" s="36" t="inlineStr">
        <is>
          <t>Confirm for 2026</t>
        </is>
      </c>
      <c r="V21" s="41" t="n"/>
      <c r="W21" s="38">
        <f>IF($A21="","",COUNTIFS('Visit Log'!$C$6:$C$1005,$A21,'Visit Log'!$A$6:$A$1005,"&gt;="&amp;TODAY()-30))</f>
        <v/>
      </c>
      <c r="X21" s="38">
        <f>IF($A21="","",COUNTIFS('Visit Log'!$C$6:$C$1005,$A21,'Visit Log'!$T$6:$T$1005,"Open")+COUNTIFS('Visit Log'!$C$6:$C$1005,$A21,'Visit Log'!$T$6:$T$1005,"In Progress"))</f>
        <v/>
      </c>
      <c r="Y21" s="40">
        <f>IF($A21="","",IF(COUNTIFS('Visit Log'!$C$6:$C$1005,$A21)=0,"No visits",_xlfn.MAXIFS('Visit Log'!$A$6:$A$1005,'Visit Log'!$C$6:$C$1005,$A21)))</f>
        <v/>
      </c>
    </row>
    <row r="22">
      <c r="A22" s="34" t="inlineStr">
        <is>
          <t>Henry's | Seattle Div. #27</t>
        </is>
      </c>
      <c r="B22" s="42" t="inlineStr">
        <is>
          <t>Henry's</t>
        </is>
      </c>
      <c r="C22" s="36" t="inlineStr">
        <is>
          <t>Albertsons/Safeway</t>
        </is>
      </c>
      <c r="D22" s="36" t="inlineStr">
        <is>
          <t>Seattle Div. #27</t>
        </is>
      </c>
      <c r="E22" s="36" t="inlineStr">
        <is>
          <t>WA / AK</t>
        </is>
      </c>
      <c r="F22" s="36" t="n"/>
      <c r="G22" s="36" t="n"/>
      <c r="H22" s="36" t="inlineStr">
        <is>
          <t>Root Beer, Orange Cream, Vanilla Cream; Black Cherry Cream select stores</t>
        </is>
      </c>
      <c r="I22" s="36" t="inlineStr">
        <is>
          <t>1 case of each flavor backstock</t>
        </is>
      </c>
      <c r="J22" s="36" t="inlineStr">
        <is>
          <t>Shelves merchandised; backstock</t>
        </is>
      </c>
      <c r="K22" s="36" t="n"/>
      <c r="L22" s="36" t="inlineStr">
        <is>
          <t>SRP $7.99</t>
        </is>
      </c>
      <c r="M22" s="37" t="n">
        <v>7.99</v>
      </c>
      <c r="N22" s="36" t="inlineStr">
        <is>
          <t>2025: 6/1-9/6, 10/5-1/3</t>
        </is>
      </c>
      <c r="O22" s="38">
        <f>IF($A22="","",IF(COUNTIFS('Promo Calendar'!$A$6:$A$400,$A22,'Promo Calendar'!$L$6:$L$400,"Active")=0,"None active",INDEX('Promo Calendar'!$F$6:$F$400,MATCH($A22,'Promo Calendar'!$O$6:$O$400,0))&amp;IF(COUNTIFS('Promo Calendar'!$A$6:$A$400,$A22,'Promo Calendar'!$L$6:$L$400,"Active")&gt;1," (+"&amp;(COUNTIFS('Promo Calendar'!$A$6:$A$400,$A22,'Promo Calendar'!$L$6:$L$400,"Active")-1)&amp;" more)","")))</f>
        <v/>
      </c>
      <c r="P22" s="39">
        <f>IF($A22="","",IF(COUNTIFS('Promo Calendar'!$A$6:$A$400,$A22,'Promo Calendar'!$L$6:$L$400,"Active",'Promo Calendar'!$G$6:$G$400,"&gt;0")&gt;0,_xlfn.MINIFS('Promo Calendar'!$G$6:$G$400,'Promo Calendar'!$A$6:$A$400,$A22,'Promo Calendar'!$L$6:$L$400,"Active",'Promo Calendar'!$G$6:$G$400,"&gt;0"),IF(M22="","Not set",M22)))</f>
        <v/>
      </c>
      <c r="Q22" s="40">
        <f>IF($A22="","",IF(COUNTIFS('Promo Calendar'!$A$6:$A$400,$A22,'Promo Calendar'!$I$6:$I$400,"&gt;"&amp;TODAY())=0,"None scheduled",_xlfn.MINIFS('Promo Calendar'!$I$6:$I$400,'Promo Calendar'!$A$6:$A$400,$A22,'Promo Calendar'!$I$6:$I$400,"&gt;"&amp;TODAY())))</f>
        <v/>
      </c>
      <c r="R22" s="36" t="inlineStr">
        <is>
          <t>Ensure shelves are merchandised. Sufficient inventory in backstock.</t>
        </is>
      </c>
      <c r="S22" s="36" t="n"/>
      <c r="T22" s="36" t="inlineStr">
        <is>
          <t>HW Hot Sheet 8/25/25</t>
        </is>
      </c>
      <c r="U22" s="36" t="inlineStr">
        <is>
          <t>Confirm for 2026</t>
        </is>
      </c>
      <c r="V22" s="41" t="n"/>
      <c r="W22" s="38">
        <f>IF($A22="","",COUNTIFS('Visit Log'!$C$6:$C$1005,$A22,'Visit Log'!$A$6:$A$1005,"&gt;="&amp;TODAY()-30))</f>
        <v/>
      </c>
      <c r="X22" s="38">
        <f>IF($A22="","",COUNTIFS('Visit Log'!$C$6:$C$1005,$A22,'Visit Log'!$T$6:$T$1005,"Open")+COUNTIFS('Visit Log'!$C$6:$C$1005,$A22,'Visit Log'!$T$6:$T$1005,"In Progress"))</f>
        <v/>
      </c>
      <c r="Y22" s="40">
        <f>IF($A22="","",IF(COUNTIFS('Visit Log'!$C$6:$C$1005,$A22)=0,"No visits",_xlfn.MAXIFS('Visit Log'!$A$6:$A$1005,'Visit Log'!$C$6:$C$1005,$A22)))</f>
        <v/>
      </c>
    </row>
    <row r="23">
      <c r="A23" s="34" t="inlineStr">
        <is>
          <t>Henry's | SoCal Div. #29</t>
        </is>
      </c>
      <c r="B23" s="42" t="inlineStr">
        <is>
          <t>Henry's</t>
        </is>
      </c>
      <c r="C23" s="36" t="inlineStr">
        <is>
          <t>Albertsons/Safeway</t>
        </is>
      </c>
      <c r="D23" s="36" t="inlineStr">
        <is>
          <t>SoCal Div. #29</t>
        </is>
      </c>
      <c r="E23" s="36" t="inlineStr">
        <is>
          <t>SoCal</t>
        </is>
      </c>
      <c r="F23" s="36" t="n"/>
      <c r="G23" s="36" t="n"/>
      <c r="H23" s="36" t="inlineStr">
        <is>
          <t>Root Beer, Orange Cream, Vanilla Cream; Black Cherry Cream select stores</t>
        </is>
      </c>
      <c r="I23" s="36" t="inlineStr">
        <is>
          <t>1 case of each flavor backstock</t>
        </is>
      </c>
      <c r="J23" s="36" t="inlineStr">
        <is>
          <t>Shelves merchandised; backstock</t>
        </is>
      </c>
      <c r="K23" s="36" t="n"/>
      <c r="L23" s="36" t="inlineStr">
        <is>
          <t>SRP $7.99</t>
        </is>
      </c>
      <c r="M23" s="37" t="n">
        <v>7.99</v>
      </c>
      <c r="N23" s="36" t="inlineStr">
        <is>
          <t>2025: 6/1-9/6, 10/5-1/3</t>
        </is>
      </c>
      <c r="O23" s="38">
        <f>IF($A23="","",IF(COUNTIFS('Promo Calendar'!$A$6:$A$400,$A23,'Promo Calendar'!$L$6:$L$400,"Active")=0,"None active",INDEX('Promo Calendar'!$F$6:$F$400,MATCH($A23,'Promo Calendar'!$O$6:$O$400,0))&amp;IF(COUNTIFS('Promo Calendar'!$A$6:$A$400,$A23,'Promo Calendar'!$L$6:$L$400,"Active")&gt;1," (+"&amp;(COUNTIFS('Promo Calendar'!$A$6:$A$400,$A23,'Promo Calendar'!$L$6:$L$400,"Active")-1)&amp;" more)","")))</f>
        <v/>
      </c>
      <c r="P23" s="39">
        <f>IF($A23="","",IF(COUNTIFS('Promo Calendar'!$A$6:$A$400,$A23,'Promo Calendar'!$L$6:$L$400,"Active",'Promo Calendar'!$G$6:$G$400,"&gt;0")&gt;0,_xlfn.MINIFS('Promo Calendar'!$G$6:$G$400,'Promo Calendar'!$A$6:$A$400,$A23,'Promo Calendar'!$L$6:$L$400,"Active",'Promo Calendar'!$G$6:$G$400,"&gt;0"),IF(M23="","Not set",M23)))</f>
        <v/>
      </c>
      <c r="Q23" s="40">
        <f>IF($A23="","",IF(COUNTIFS('Promo Calendar'!$A$6:$A$400,$A23,'Promo Calendar'!$I$6:$I$400,"&gt;"&amp;TODAY())=0,"None scheduled",_xlfn.MINIFS('Promo Calendar'!$I$6:$I$400,'Promo Calendar'!$A$6:$A$400,$A23,'Promo Calendar'!$I$6:$I$400,"&gt;"&amp;TODAY())))</f>
        <v/>
      </c>
      <c r="R23" s="36" t="inlineStr">
        <is>
          <t>Ensure shelves are merchandised. Sufficient inventory in backstock.</t>
        </is>
      </c>
      <c r="S23" s="36" t="n"/>
      <c r="T23" s="36" t="inlineStr">
        <is>
          <t>HW Hot Sheet 8/25/25</t>
        </is>
      </c>
      <c r="U23" s="36" t="inlineStr">
        <is>
          <t>Confirm for 2026</t>
        </is>
      </c>
      <c r="V23" s="41" t="n"/>
      <c r="W23" s="38">
        <f>IF($A23="","",COUNTIFS('Visit Log'!$C$6:$C$1005,$A23,'Visit Log'!$A$6:$A$1005,"&gt;="&amp;TODAY()-30))</f>
        <v/>
      </c>
      <c r="X23" s="38">
        <f>IF($A23="","",COUNTIFS('Visit Log'!$C$6:$C$1005,$A23,'Visit Log'!$T$6:$T$1005,"Open")+COUNTIFS('Visit Log'!$C$6:$C$1005,$A23,'Visit Log'!$T$6:$T$1005,"In Progress"))</f>
        <v/>
      </c>
      <c r="Y23" s="40">
        <f>IF($A23="","",IF(COUNTIFS('Visit Log'!$C$6:$C$1005,$A23)=0,"No visits",_xlfn.MAXIFS('Visit Log'!$A$6:$A$1005,'Visit Log'!$C$6:$C$1005,$A23)))</f>
        <v/>
      </c>
    </row>
    <row r="24">
      <c r="A24" s="34" t="inlineStr">
        <is>
          <t>Henry's | Intermountain Div. #30</t>
        </is>
      </c>
      <c r="B24" s="42" t="inlineStr">
        <is>
          <t>Henry's</t>
        </is>
      </c>
      <c r="C24" s="36" t="inlineStr">
        <is>
          <t>Albertsons/Safeway</t>
        </is>
      </c>
      <c r="D24" s="36" t="inlineStr">
        <is>
          <t>Intermountain Div. #30</t>
        </is>
      </c>
      <c r="E24" s="36" t="inlineStr">
        <is>
          <t>ID / MT / UT / NV</t>
        </is>
      </c>
      <c r="F24" s="36" t="n"/>
      <c r="G24" s="36" t="n"/>
      <c r="H24" s="36" t="inlineStr">
        <is>
          <t>Root Beer, Orange Cream, Vanilla Cream; Black Cherry Cream select stores</t>
        </is>
      </c>
      <c r="I24" s="36" t="inlineStr">
        <is>
          <t>1 case of each flavor backstock</t>
        </is>
      </c>
      <c r="J24" s="36" t="inlineStr">
        <is>
          <t>Shelves merchandised; backstock</t>
        </is>
      </c>
      <c r="K24" s="36" t="n"/>
      <c r="L24" s="36" t="inlineStr">
        <is>
          <t>SRP $7.99</t>
        </is>
      </c>
      <c r="M24" s="37" t="n">
        <v>7.99</v>
      </c>
      <c r="N24" s="36" t="inlineStr">
        <is>
          <t>2025: 6/1-9/6, 10/5-1/3</t>
        </is>
      </c>
      <c r="O24" s="38">
        <f>IF($A24="","",IF(COUNTIFS('Promo Calendar'!$A$6:$A$400,$A24,'Promo Calendar'!$L$6:$L$400,"Active")=0,"None active",INDEX('Promo Calendar'!$F$6:$F$400,MATCH($A24,'Promo Calendar'!$O$6:$O$400,0))&amp;IF(COUNTIFS('Promo Calendar'!$A$6:$A$400,$A24,'Promo Calendar'!$L$6:$L$400,"Active")&gt;1," (+"&amp;(COUNTIFS('Promo Calendar'!$A$6:$A$400,$A24,'Promo Calendar'!$L$6:$L$400,"Active")-1)&amp;" more)","")))</f>
        <v/>
      </c>
      <c r="P24" s="39">
        <f>IF($A24="","",IF(COUNTIFS('Promo Calendar'!$A$6:$A$400,$A24,'Promo Calendar'!$L$6:$L$400,"Active",'Promo Calendar'!$G$6:$G$400,"&gt;0")&gt;0,_xlfn.MINIFS('Promo Calendar'!$G$6:$G$400,'Promo Calendar'!$A$6:$A$400,$A24,'Promo Calendar'!$L$6:$L$400,"Active",'Promo Calendar'!$G$6:$G$400,"&gt;0"),IF(M24="","Not set",M24)))</f>
        <v/>
      </c>
      <c r="Q24" s="40">
        <f>IF($A24="","",IF(COUNTIFS('Promo Calendar'!$A$6:$A$400,$A24,'Promo Calendar'!$I$6:$I$400,"&gt;"&amp;TODAY())=0,"None scheduled",_xlfn.MINIFS('Promo Calendar'!$I$6:$I$400,'Promo Calendar'!$A$6:$A$400,$A24,'Promo Calendar'!$I$6:$I$400,"&gt;"&amp;TODAY())))</f>
        <v/>
      </c>
      <c r="R24" s="36" t="inlineStr">
        <is>
          <t>Ensure shelves are merchandised. Sufficient inventory in backstock. Confirm whether this division is now covered by Mountain West North.</t>
        </is>
      </c>
      <c r="S24" s="36" t="n"/>
      <c r="T24" s="36" t="inlineStr">
        <is>
          <t>HW Hot Sheet 8/25/25</t>
        </is>
      </c>
      <c r="U24" s="36" t="inlineStr">
        <is>
          <t>Confirm for 2026</t>
        </is>
      </c>
      <c r="V24" s="41" t="n"/>
      <c r="W24" s="38">
        <f>IF($A24="","",COUNTIFS('Visit Log'!$C$6:$C$1005,$A24,'Visit Log'!$A$6:$A$1005,"&gt;="&amp;TODAY()-30))</f>
        <v/>
      </c>
      <c r="X24" s="38">
        <f>IF($A24="","",COUNTIFS('Visit Log'!$C$6:$C$1005,$A24,'Visit Log'!$T$6:$T$1005,"Open")+COUNTIFS('Visit Log'!$C$6:$C$1005,$A24,'Visit Log'!$T$6:$T$1005,"In Progress"))</f>
        <v/>
      </c>
      <c r="Y24" s="40">
        <f>IF($A24="","",IF(COUNTIFS('Visit Log'!$C$6:$C$1005,$A24)=0,"No visits",_xlfn.MAXIFS('Visit Log'!$A$6:$A$1005,'Visit Log'!$C$6:$C$1005,$A24)))</f>
        <v/>
      </c>
    </row>
    <row r="25">
      <c r="A25" s="34" t="inlineStr">
        <is>
          <t>Henry's | Bi-Mart</t>
        </is>
      </c>
      <c r="B25" s="42" t="inlineStr">
        <is>
          <t>Henry's</t>
        </is>
      </c>
      <c r="C25" s="36" t="inlineStr">
        <is>
          <t>Bi-Mart</t>
        </is>
      </c>
      <c r="D25" s="36" t="inlineStr">
        <is>
          <t>Bi-Mart</t>
        </is>
      </c>
      <c r="E25" s="36" t="inlineStr">
        <is>
          <t>OR / WA / ID</t>
        </is>
      </c>
      <c r="F25" s="36" t="inlineStr">
        <is>
          <t>MU-AK ID OR WA: 52</t>
        </is>
      </c>
      <c r="G25" s="36" t="n">
        <v>52</v>
      </c>
      <c r="H25" s="36" t="inlineStr">
        <is>
          <t>Root Beer, Black Cherry Cream, Orange Cream, Vanilla Cream</t>
        </is>
      </c>
      <c r="I25" s="36" t="inlineStr">
        <is>
          <t>1 case of each flavor backstock</t>
        </is>
      </c>
      <c r="J25" s="36" t="inlineStr">
        <is>
          <t>Per store planogram - confirm</t>
        </is>
      </c>
      <c r="K25" s="36" t="n"/>
      <c r="L25" s="36" t="inlineStr">
        <is>
          <t>SRP $6.49</t>
        </is>
      </c>
      <c r="M25" s="37" t="n">
        <v>6.49</v>
      </c>
      <c r="N25" s="36" t="inlineStr">
        <is>
          <t>2025: 9/28-1/3</t>
        </is>
      </c>
      <c r="O25" s="38">
        <f>IF($A25="","",IF(COUNTIFS('Promo Calendar'!$A$6:$A$400,$A25,'Promo Calendar'!$L$6:$L$400,"Active")=0,"None active",INDEX('Promo Calendar'!$F$6:$F$400,MATCH($A25,'Promo Calendar'!$O$6:$O$400,0))&amp;IF(COUNTIFS('Promo Calendar'!$A$6:$A$400,$A25,'Promo Calendar'!$L$6:$L$400,"Active")&gt;1," (+"&amp;(COUNTIFS('Promo Calendar'!$A$6:$A$400,$A25,'Promo Calendar'!$L$6:$L$400,"Active")-1)&amp;" more)","")))</f>
        <v/>
      </c>
      <c r="P25" s="39">
        <f>IF($A25="","",IF(COUNTIFS('Promo Calendar'!$A$6:$A$400,$A25,'Promo Calendar'!$L$6:$L$400,"Active",'Promo Calendar'!$G$6:$G$400,"&gt;0")&gt;0,_xlfn.MINIFS('Promo Calendar'!$G$6:$G$400,'Promo Calendar'!$A$6:$A$400,$A25,'Promo Calendar'!$L$6:$L$400,"Active",'Promo Calendar'!$G$6:$G$400,"&gt;0"),IF(M25="","Not set",M25)))</f>
        <v/>
      </c>
      <c r="Q25" s="40">
        <f>IF($A25="","",IF(COUNTIFS('Promo Calendar'!$A$6:$A$400,$A25,'Promo Calendar'!$I$6:$I$400,"&gt;"&amp;TODAY())=0,"None scheduled",_xlfn.MINIFS('Promo Calendar'!$I$6:$I$400,'Promo Calendar'!$A$6:$A$400,$A25,'Promo Calendar'!$I$6:$I$400,"&gt;"&amp;TODAY())))</f>
        <v/>
      </c>
      <c r="R25" s="36" t="inlineStr">
        <is>
          <t>Summer and fall price promotions accepted.</t>
        </is>
      </c>
      <c r="S25" s="36" t="n"/>
      <c r="T25" s="36" t="inlineStr">
        <is>
          <t>HW Hot Sheet 8/25/25</t>
        </is>
      </c>
      <c r="U25" s="36" t="inlineStr">
        <is>
          <t>Confirm for 2026</t>
        </is>
      </c>
      <c r="V25" s="41" t="n"/>
      <c r="W25" s="38">
        <f>IF($A25="","",COUNTIFS('Visit Log'!$C$6:$C$1005,$A25,'Visit Log'!$A$6:$A$1005,"&gt;="&amp;TODAY()-30))</f>
        <v/>
      </c>
      <c r="X25" s="38">
        <f>IF($A25="","",COUNTIFS('Visit Log'!$C$6:$C$1005,$A25,'Visit Log'!$T$6:$T$1005,"Open")+COUNTIFS('Visit Log'!$C$6:$C$1005,$A25,'Visit Log'!$T$6:$T$1005,"In Progress"))</f>
        <v/>
      </c>
      <c r="Y25" s="40">
        <f>IF($A25="","",IF(COUNTIFS('Visit Log'!$C$6:$C$1005,$A25)=0,"No visits",_xlfn.MAXIFS('Visit Log'!$A$6:$A$1005,'Visit Log'!$C$6:$C$1005,$A25)))</f>
        <v/>
      </c>
    </row>
    <row r="26">
      <c r="A26" s="34" t="inlineStr">
        <is>
          <t>Henry's | Bashas'</t>
        </is>
      </c>
      <c r="B26" s="42" t="inlineStr">
        <is>
          <t>Henry's</t>
        </is>
      </c>
      <c r="C26" s="36" t="inlineStr">
        <is>
          <t>Bashas'</t>
        </is>
      </c>
      <c r="D26" s="36" t="inlineStr">
        <is>
          <t>Bashas'</t>
        </is>
      </c>
      <c r="E26" s="36" t="inlineStr">
        <is>
          <t>AZ</t>
        </is>
      </c>
      <c r="F26" s="36" t="inlineStr">
        <is>
          <t>MU-AZ NM LAS VEGAS: 43</t>
        </is>
      </c>
      <c r="G26" s="36" t="n">
        <v>43</v>
      </c>
      <c r="H26" s="36" t="inlineStr">
        <is>
          <t>Root Beer, Black Cherry Cream, Orange Cream, Vanilla Cream</t>
        </is>
      </c>
      <c r="I26" s="36" t="inlineStr">
        <is>
          <t>1 case of each flavor backstock</t>
        </is>
      </c>
      <c r="J26" s="36" t="inlineStr">
        <is>
          <t>Shelf set + displays</t>
        </is>
      </c>
      <c r="K26" s="36" t="n"/>
      <c r="L26" s="36" t="inlineStr">
        <is>
          <t>SRP $6.49</t>
        </is>
      </c>
      <c r="M26" s="37" t="n">
        <v>6.49</v>
      </c>
      <c r="N26" s="36" t="inlineStr">
        <is>
          <t>2025: 5/18-9/6, 9/29-1/3</t>
        </is>
      </c>
      <c r="O26" s="38">
        <f>IF($A26="","",IF(COUNTIFS('Promo Calendar'!$A$6:$A$400,$A26,'Promo Calendar'!$L$6:$L$400,"Active")=0,"None active",INDEX('Promo Calendar'!$F$6:$F$400,MATCH($A26,'Promo Calendar'!$O$6:$O$400,0))&amp;IF(COUNTIFS('Promo Calendar'!$A$6:$A$400,$A26,'Promo Calendar'!$L$6:$L$400,"Active")&gt;1," (+"&amp;(COUNTIFS('Promo Calendar'!$A$6:$A$400,$A26,'Promo Calendar'!$L$6:$L$400,"Active")-1)&amp;" more)","")))</f>
        <v/>
      </c>
      <c r="P26" s="39">
        <f>IF($A26="","",IF(COUNTIFS('Promo Calendar'!$A$6:$A$400,$A26,'Promo Calendar'!$L$6:$L$400,"Active",'Promo Calendar'!$G$6:$G$400,"&gt;0")&gt;0,_xlfn.MINIFS('Promo Calendar'!$G$6:$G$400,'Promo Calendar'!$A$6:$A$400,$A26,'Promo Calendar'!$L$6:$L$400,"Active",'Promo Calendar'!$G$6:$G$400,"&gt;0"),IF(M26="","Not set",M26)))</f>
        <v/>
      </c>
      <c r="Q26" s="40">
        <f>IF($A26="","",IF(COUNTIFS('Promo Calendar'!$A$6:$A$400,$A26,'Promo Calendar'!$I$6:$I$400,"&gt;"&amp;TODAY())=0,"None scheduled",_xlfn.MINIFS('Promo Calendar'!$I$6:$I$400,'Promo Calendar'!$A$6:$A$400,$A26,'Promo Calendar'!$I$6:$I$400,"&gt;"&amp;TODAY())))</f>
        <v/>
      </c>
      <c r="R26" s="36" t="inlineStr">
        <is>
          <t>Priority to close gaps and hit 90%+ re-service rates. Sell in displays at store level to support promotional pricing.</t>
        </is>
      </c>
      <c r="S26" s="36" t="n"/>
      <c r="T26" s="36" t="inlineStr">
        <is>
          <t>HW Hot Sheet 8/25/25</t>
        </is>
      </c>
      <c r="U26" s="36" t="inlineStr">
        <is>
          <t>Confirm for 2026</t>
        </is>
      </c>
      <c r="V26" s="41" t="n"/>
      <c r="W26" s="38">
        <f>IF($A26="","",COUNTIFS('Visit Log'!$C$6:$C$1005,$A26,'Visit Log'!$A$6:$A$1005,"&gt;="&amp;TODAY()-30))</f>
        <v/>
      </c>
      <c r="X26" s="38">
        <f>IF($A26="","",COUNTIFS('Visit Log'!$C$6:$C$1005,$A26,'Visit Log'!$T$6:$T$1005,"Open")+COUNTIFS('Visit Log'!$C$6:$C$1005,$A26,'Visit Log'!$T$6:$T$1005,"In Progress"))</f>
        <v/>
      </c>
      <c r="Y26" s="40">
        <f>IF($A26="","",IF(COUNTIFS('Visit Log'!$C$6:$C$1005,$A26)=0,"No visits",_xlfn.MAXIFS('Visit Log'!$A$6:$A$1005,'Visit Log'!$C$6:$C$1005,$A26)))</f>
        <v/>
      </c>
    </row>
    <row r="27">
      <c r="A27" s="34" t="inlineStr">
        <is>
          <t>Henry's | C&amp;K / Ray's Food Place / Shop Smart</t>
        </is>
      </c>
      <c r="B27" s="42" t="inlineStr">
        <is>
          <t>Henry's</t>
        </is>
      </c>
      <c r="C27" s="36" t="inlineStr">
        <is>
          <t>C&amp;K Market</t>
        </is>
      </c>
      <c r="D27" s="36" t="inlineStr">
        <is>
          <t>C&amp;K / Ray's Food Place / Shop Smart</t>
        </is>
      </c>
      <c r="E27" s="36" t="inlineStr">
        <is>
          <t>OR / N. CA</t>
        </is>
      </c>
      <c r="F27" s="36" t="inlineStr">
        <is>
          <t>MU-AK ID OR WA: 26; MU-CA HI NORTH NV: 13</t>
        </is>
      </c>
      <c r="G27" s="36" t="n">
        <v>39</v>
      </c>
      <c r="H27" s="36" t="inlineStr">
        <is>
          <t>Root Beer, Black Cherry Cream, Orange Cream, Vanilla Cream</t>
        </is>
      </c>
      <c r="I27" s="36" t="inlineStr">
        <is>
          <t>1 case of each flavor backstock</t>
        </is>
      </c>
      <c r="J27" s="36" t="inlineStr">
        <is>
          <t>Shelf set + displays</t>
        </is>
      </c>
      <c r="K27" s="36" t="n"/>
      <c r="L27" s="36" t="inlineStr">
        <is>
          <t>SRP $6.49</t>
        </is>
      </c>
      <c r="M27" s="37" t="n">
        <v>6.49</v>
      </c>
      <c r="N27" s="36" t="inlineStr">
        <is>
          <t>2025: 10/8-11/4, 11/5-12/2, 12/3-12/30</t>
        </is>
      </c>
      <c r="O27" s="38">
        <f>IF($A27="","",IF(COUNTIFS('Promo Calendar'!$A$6:$A$400,$A27,'Promo Calendar'!$L$6:$L$400,"Active")=0,"None active",INDEX('Promo Calendar'!$F$6:$F$400,MATCH($A27,'Promo Calendar'!$O$6:$O$400,0))&amp;IF(COUNTIFS('Promo Calendar'!$A$6:$A$400,$A27,'Promo Calendar'!$L$6:$L$400,"Active")&gt;1," (+"&amp;(COUNTIFS('Promo Calendar'!$A$6:$A$400,$A27,'Promo Calendar'!$L$6:$L$400,"Active")-1)&amp;" more)","")))</f>
        <v/>
      </c>
      <c r="P27" s="39">
        <f>IF($A27="","",IF(COUNTIFS('Promo Calendar'!$A$6:$A$400,$A27,'Promo Calendar'!$L$6:$L$400,"Active",'Promo Calendar'!$G$6:$G$400,"&gt;0")&gt;0,_xlfn.MINIFS('Promo Calendar'!$G$6:$G$400,'Promo Calendar'!$A$6:$A$400,$A27,'Promo Calendar'!$L$6:$L$400,"Active",'Promo Calendar'!$G$6:$G$400,"&gt;0"),IF(M27="","Not set",M27)))</f>
        <v/>
      </c>
      <c r="Q27" s="40">
        <f>IF($A27="","",IF(COUNTIFS('Promo Calendar'!$A$6:$A$400,$A27,'Promo Calendar'!$I$6:$I$400,"&gt;"&amp;TODAY())=0,"None scheduled",_xlfn.MINIFS('Promo Calendar'!$I$6:$I$400,'Promo Calendar'!$A$6:$A$400,$A27,'Promo Calendar'!$I$6:$I$400,"&gt;"&amp;TODAY())))</f>
        <v/>
      </c>
      <c r="R27" s="36" t="inlineStr">
        <is>
          <t>Priority to close gaps and hit 90%+ re-service rates. Sell in displays at store level to support promotional pricing.</t>
        </is>
      </c>
      <c r="S27" s="36" t="n"/>
      <c r="T27" s="36" t="inlineStr">
        <is>
          <t>HW Hot Sheet 8/25/25</t>
        </is>
      </c>
      <c r="U27" s="36" t="inlineStr">
        <is>
          <t>Confirm for 2026</t>
        </is>
      </c>
      <c r="V27" s="41" t="n"/>
      <c r="W27" s="38">
        <f>IF($A27="","",COUNTIFS('Visit Log'!$C$6:$C$1005,$A27,'Visit Log'!$A$6:$A$1005,"&gt;="&amp;TODAY()-30))</f>
        <v/>
      </c>
      <c r="X27" s="38">
        <f>IF($A27="","",COUNTIFS('Visit Log'!$C$6:$C$1005,$A27,'Visit Log'!$T$6:$T$1005,"Open")+COUNTIFS('Visit Log'!$C$6:$C$1005,$A27,'Visit Log'!$T$6:$T$1005,"In Progress"))</f>
        <v/>
      </c>
      <c r="Y27" s="40">
        <f>IF($A27="","",IF(COUNTIFS('Visit Log'!$C$6:$C$1005,$A27)=0,"No visits",_xlfn.MAXIFS('Visit Log'!$A$6:$A$1005,'Visit Log'!$C$6:$C$1005,$A27)))</f>
        <v/>
      </c>
    </row>
    <row r="28">
      <c r="A28" s="34" t="inlineStr">
        <is>
          <t>Henry's | Fred Meyer (Div. 701)</t>
        </is>
      </c>
      <c r="B28" s="42" t="inlineStr">
        <is>
          <t>Henry's</t>
        </is>
      </c>
      <c r="C28" s="36" t="inlineStr">
        <is>
          <t>Kroger</t>
        </is>
      </c>
      <c r="D28" s="36" t="inlineStr">
        <is>
          <t>Fred Meyer (Div. 701)</t>
        </is>
      </c>
      <c r="E28" s="36" t="inlineStr">
        <is>
          <t>PNW</t>
        </is>
      </c>
      <c r="F28" s="36" t="inlineStr">
        <is>
          <t>Fred Meyer: 95</t>
        </is>
      </c>
      <c r="G28" s="36" t="n">
        <v>95</v>
      </c>
      <c r="H28" s="36" t="inlineStr">
        <is>
          <t>Root Beer, Black Cherry Cream, Orange Cream, Vanilla Cream</t>
        </is>
      </c>
      <c r="I28" s="36" t="inlineStr">
        <is>
          <t>1 case of each flavor backstock</t>
        </is>
      </c>
      <c r="J28" s="36" t="inlineStr">
        <is>
          <t>Per store planogram - confirm</t>
        </is>
      </c>
      <c r="K28" s="36" t="n"/>
      <c r="L28" s="36" t="inlineStr">
        <is>
          <t>SRP $7.99</t>
        </is>
      </c>
      <c r="M28" s="37" t="n">
        <v>7.99</v>
      </c>
      <c r="N28" s="36" t="inlineStr">
        <is>
          <t>2025: 10/15-1/3</t>
        </is>
      </c>
      <c r="O28" s="38">
        <f>IF($A28="","",IF(COUNTIFS('Promo Calendar'!$A$6:$A$400,$A28,'Promo Calendar'!$L$6:$L$400,"Active")=0,"None active",INDEX('Promo Calendar'!$F$6:$F$400,MATCH($A28,'Promo Calendar'!$O$6:$O$400,0))&amp;IF(COUNTIFS('Promo Calendar'!$A$6:$A$400,$A28,'Promo Calendar'!$L$6:$L$400,"Active")&gt;1," (+"&amp;(COUNTIFS('Promo Calendar'!$A$6:$A$400,$A28,'Promo Calendar'!$L$6:$L$400,"Active")-1)&amp;" more)","")))</f>
        <v/>
      </c>
      <c r="P28" s="39">
        <f>IF($A28="","",IF(COUNTIFS('Promo Calendar'!$A$6:$A$400,$A28,'Promo Calendar'!$L$6:$L$400,"Active",'Promo Calendar'!$G$6:$G$400,"&gt;0")&gt;0,_xlfn.MINIFS('Promo Calendar'!$G$6:$G$400,'Promo Calendar'!$A$6:$A$400,$A28,'Promo Calendar'!$L$6:$L$400,"Active",'Promo Calendar'!$G$6:$G$400,"&gt;0"),IF(M28="","Not set",M28)))</f>
        <v/>
      </c>
      <c r="Q28" s="40">
        <f>IF($A28="","",IF(COUNTIFS('Promo Calendar'!$A$6:$A$400,$A28,'Promo Calendar'!$I$6:$I$400,"&gt;"&amp;TODAY())=0,"None scheduled",_xlfn.MINIFS('Promo Calendar'!$I$6:$I$400,'Promo Calendar'!$A$6:$A$400,$A28,'Promo Calendar'!$I$6:$I$400,"&gt;"&amp;TODAY())))</f>
        <v/>
      </c>
      <c r="R28" s="36" t="inlineStr">
        <is>
          <t>Kroger Mega Buy 5 Save $5 ($1 off each when buying 5 participating items), 2025 timing P5W4-P6W2.</t>
        </is>
      </c>
      <c r="S28" s="36" t="n"/>
      <c r="T28" s="36" t="inlineStr">
        <is>
          <t>HW Hot Sheet 8/25/25</t>
        </is>
      </c>
      <c r="U28" s="36" t="inlineStr">
        <is>
          <t>Confirm for 2026</t>
        </is>
      </c>
      <c r="V28" s="41" t="n"/>
      <c r="W28" s="38">
        <f>IF($A28="","",COUNTIFS('Visit Log'!$C$6:$C$1005,$A28,'Visit Log'!$A$6:$A$1005,"&gt;="&amp;TODAY()-30))</f>
        <v/>
      </c>
      <c r="X28" s="38">
        <f>IF($A28="","",COUNTIFS('Visit Log'!$C$6:$C$1005,$A28,'Visit Log'!$T$6:$T$1005,"Open")+COUNTIFS('Visit Log'!$C$6:$C$1005,$A28,'Visit Log'!$T$6:$T$1005,"In Progress"))</f>
        <v/>
      </c>
      <c r="Y28" s="40">
        <f>IF($A28="","",IF(COUNTIFS('Visit Log'!$C$6:$C$1005,$A28)=0,"No visits",_xlfn.MAXIFS('Visit Log'!$A$6:$A$1005,'Visit Log'!$C$6:$C$1005,$A28)))</f>
        <v/>
      </c>
    </row>
    <row r="29">
      <c r="A29" s="34" t="inlineStr">
        <is>
          <t>Henry's | Fry's (Div. 660)</t>
        </is>
      </c>
      <c r="B29" s="42" t="inlineStr">
        <is>
          <t>Henry's</t>
        </is>
      </c>
      <c r="C29" s="36" t="inlineStr">
        <is>
          <t>Kroger</t>
        </is>
      </c>
      <c r="D29" s="36" t="inlineStr">
        <is>
          <t>Fry's (Div. 660)</t>
        </is>
      </c>
      <c r="E29" s="36" t="inlineStr">
        <is>
          <t>AZ</t>
        </is>
      </c>
      <c r="F29" s="36" t="inlineStr">
        <is>
          <t>Fry's: 126</t>
        </is>
      </c>
      <c r="G29" s="36" t="n">
        <v>126</v>
      </c>
      <c r="H29" s="36" t="inlineStr">
        <is>
          <t>Root Beer, Black Cherry Cream, Orange Cream, Vanilla Cream</t>
        </is>
      </c>
      <c r="I29" s="36" t="inlineStr">
        <is>
          <t>1 case of each flavor backstock</t>
        </is>
      </c>
      <c r="J29" s="36" t="inlineStr">
        <is>
          <t>Per store planogram - confirm</t>
        </is>
      </c>
      <c r="K29" s="36" t="n"/>
      <c r="L29" s="36" t="inlineStr">
        <is>
          <t>SRP $7.99</t>
        </is>
      </c>
      <c r="M29" s="37" t="n">
        <v>7.99</v>
      </c>
      <c r="N29" s="36" t="inlineStr">
        <is>
          <t>2025: 10/15-1/3</t>
        </is>
      </c>
      <c r="O29" s="38">
        <f>IF($A29="","",IF(COUNTIFS('Promo Calendar'!$A$6:$A$400,$A29,'Promo Calendar'!$L$6:$L$400,"Active")=0,"None active",INDEX('Promo Calendar'!$F$6:$F$400,MATCH($A29,'Promo Calendar'!$O$6:$O$400,0))&amp;IF(COUNTIFS('Promo Calendar'!$A$6:$A$400,$A29,'Promo Calendar'!$L$6:$L$400,"Active")&gt;1," (+"&amp;(COUNTIFS('Promo Calendar'!$A$6:$A$400,$A29,'Promo Calendar'!$L$6:$L$400,"Active")-1)&amp;" more)","")))</f>
        <v/>
      </c>
      <c r="P29" s="39">
        <f>IF($A29="","",IF(COUNTIFS('Promo Calendar'!$A$6:$A$400,$A29,'Promo Calendar'!$L$6:$L$400,"Active",'Promo Calendar'!$G$6:$G$400,"&gt;0")&gt;0,_xlfn.MINIFS('Promo Calendar'!$G$6:$G$400,'Promo Calendar'!$A$6:$A$400,$A29,'Promo Calendar'!$L$6:$L$400,"Active",'Promo Calendar'!$G$6:$G$400,"&gt;0"),IF(M29="","Not set",M29)))</f>
        <v/>
      </c>
      <c r="Q29" s="40">
        <f>IF($A29="","",IF(COUNTIFS('Promo Calendar'!$A$6:$A$400,$A29,'Promo Calendar'!$I$6:$I$400,"&gt;"&amp;TODAY())=0,"None scheduled",_xlfn.MINIFS('Promo Calendar'!$I$6:$I$400,'Promo Calendar'!$A$6:$A$400,$A29,'Promo Calendar'!$I$6:$I$400,"&gt;"&amp;TODAY())))</f>
        <v/>
      </c>
      <c r="R29" s="36" t="inlineStr">
        <is>
          <t>Kroger Mega Buy 5 Save $5, 2025 timing P5W4-P6W2.</t>
        </is>
      </c>
      <c r="S29" s="36" t="n"/>
      <c r="T29" s="36" t="inlineStr">
        <is>
          <t>HW Hot Sheet 8/25/25</t>
        </is>
      </c>
      <c r="U29" s="36" t="inlineStr">
        <is>
          <t>Confirm for 2026</t>
        </is>
      </c>
      <c r="V29" s="41" t="n"/>
      <c r="W29" s="38">
        <f>IF($A29="","",COUNTIFS('Visit Log'!$C$6:$C$1005,$A29,'Visit Log'!$A$6:$A$1005,"&gt;="&amp;TODAY()-30))</f>
        <v/>
      </c>
      <c r="X29" s="38">
        <f>IF($A29="","",COUNTIFS('Visit Log'!$C$6:$C$1005,$A29,'Visit Log'!$T$6:$T$1005,"Open")+COUNTIFS('Visit Log'!$C$6:$C$1005,$A29,'Visit Log'!$T$6:$T$1005,"In Progress"))</f>
        <v/>
      </c>
      <c r="Y29" s="40">
        <f>IF($A29="","",IF(COUNTIFS('Visit Log'!$C$6:$C$1005,$A29)=0,"No visits",_xlfn.MAXIFS('Visit Log'!$A$6:$A$1005,'Visit Log'!$C$6:$C$1005,$A29)))</f>
        <v/>
      </c>
    </row>
    <row r="30">
      <c r="A30" s="34" t="inlineStr">
        <is>
          <t>Henry's | QFC (Div. 705)</t>
        </is>
      </c>
      <c r="B30" s="42" t="inlineStr">
        <is>
          <t>Henry's</t>
        </is>
      </c>
      <c r="C30" s="36" t="inlineStr">
        <is>
          <t>Kroger</t>
        </is>
      </c>
      <c r="D30" s="36" t="inlineStr">
        <is>
          <t>QFC (Div. 705)</t>
        </is>
      </c>
      <c r="E30" s="36" t="inlineStr">
        <is>
          <t>W. WA / OR</t>
        </is>
      </c>
      <c r="F30" s="36" t="inlineStr">
        <is>
          <t>QFC: 58</t>
        </is>
      </c>
      <c r="G30" s="36" t="n">
        <v>58</v>
      </c>
      <c r="H30" s="36" t="inlineStr">
        <is>
          <t>Root Beer, Black Cherry Cream, Orange Cream, Vanilla Cream</t>
        </is>
      </c>
      <c r="I30" s="36" t="inlineStr">
        <is>
          <t>1 case of each flavor backstock</t>
        </is>
      </c>
      <c r="J30" s="36" t="inlineStr">
        <is>
          <t>Per store planogram - confirm</t>
        </is>
      </c>
      <c r="K30" s="36" t="n"/>
      <c r="L30" s="36" t="inlineStr">
        <is>
          <t>SRP $7.99</t>
        </is>
      </c>
      <c r="M30" s="37" t="n">
        <v>7.99</v>
      </c>
      <c r="N30" s="36" t="inlineStr">
        <is>
          <t>2025: 10/15-1/3</t>
        </is>
      </c>
      <c r="O30" s="38">
        <f>IF($A30="","",IF(COUNTIFS('Promo Calendar'!$A$6:$A$400,$A30,'Promo Calendar'!$L$6:$L$400,"Active")=0,"None active",INDEX('Promo Calendar'!$F$6:$F$400,MATCH($A30,'Promo Calendar'!$O$6:$O$400,0))&amp;IF(COUNTIFS('Promo Calendar'!$A$6:$A$400,$A30,'Promo Calendar'!$L$6:$L$400,"Active")&gt;1," (+"&amp;(COUNTIFS('Promo Calendar'!$A$6:$A$400,$A30,'Promo Calendar'!$L$6:$L$400,"Active")-1)&amp;" more)","")))</f>
        <v/>
      </c>
      <c r="P30" s="39">
        <f>IF($A30="","",IF(COUNTIFS('Promo Calendar'!$A$6:$A$400,$A30,'Promo Calendar'!$L$6:$L$400,"Active",'Promo Calendar'!$G$6:$G$400,"&gt;0")&gt;0,_xlfn.MINIFS('Promo Calendar'!$G$6:$G$400,'Promo Calendar'!$A$6:$A$400,$A30,'Promo Calendar'!$L$6:$L$400,"Active",'Promo Calendar'!$G$6:$G$400,"&gt;0"),IF(M30="","Not set",M30)))</f>
        <v/>
      </c>
      <c r="Q30" s="40">
        <f>IF($A30="","",IF(COUNTIFS('Promo Calendar'!$A$6:$A$400,$A30,'Promo Calendar'!$I$6:$I$400,"&gt;"&amp;TODAY())=0,"None scheduled",_xlfn.MINIFS('Promo Calendar'!$I$6:$I$400,'Promo Calendar'!$A$6:$A$400,$A30,'Promo Calendar'!$I$6:$I$400,"&gt;"&amp;TODAY())))</f>
        <v/>
      </c>
      <c r="R30" s="36" t="inlineStr">
        <is>
          <t>Kroger Mega Buy 5 Save $5, 2025 timing P5W4-P6W2.</t>
        </is>
      </c>
      <c r="S30" s="36" t="n"/>
      <c r="T30" s="36" t="inlineStr">
        <is>
          <t>HW Hot Sheet 8/25/25</t>
        </is>
      </c>
      <c r="U30" s="36" t="inlineStr">
        <is>
          <t>Confirm for 2026</t>
        </is>
      </c>
      <c r="V30" s="41" t="n"/>
      <c r="W30" s="38">
        <f>IF($A30="","",COUNTIFS('Visit Log'!$C$6:$C$1005,$A30,'Visit Log'!$A$6:$A$1005,"&gt;="&amp;TODAY()-30))</f>
        <v/>
      </c>
      <c r="X30" s="38">
        <f>IF($A30="","",COUNTIFS('Visit Log'!$C$6:$C$1005,$A30,'Visit Log'!$T$6:$T$1005,"Open")+COUNTIFS('Visit Log'!$C$6:$C$1005,$A30,'Visit Log'!$T$6:$T$1005,"In Progress"))</f>
        <v/>
      </c>
      <c r="Y30" s="40">
        <f>IF($A30="","",IF(COUNTIFS('Visit Log'!$C$6:$C$1005,$A30)=0,"No visits",_xlfn.MAXIFS('Visit Log'!$A$6:$A$1005,'Visit Log'!$C$6:$C$1005,$A30)))</f>
        <v/>
      </c>
    </row>
    <row r="31">
      <c r="A31" s="34" t="inlineStr">
        <is>
          <t>Henry's | Ralphs SoCal (Div. 703)</t>
        </is>
      </c>
      <c r="B31" s="42" t="inlineStr">
        <is>
          <t>Henry's</t>
        </is>
      </c>
      <c r="C31" s="36" t="inlineStr">
        <is>
          <t>Kroger</t>
        </is>
      </c>
      <c r="D31" s="36" t="inlineStr">
        <is>
          <t>Ralphs SoCal (Div. 703)</t>
        </is>
      </c>
      <c r="E31" s="36" t="inlineStr">
        <is>
          <t>SoCal</t>
        </is>
      </c>
      <c r="F31" s="36" t="inlineStr">
        <is>
          <t>Ralphs: 153</t>
        </is>
      </c>
      <c r="G31" s="36" t="n">
        <v>153</v>
      </c>
      <c r="H31" s="36" t="inlineStr">
        <is>
          <t>Root Beer, Black Cherry Cream, Orange Cream, Vanilla Cream</t>
        </is>
      </c>
      <c r="I31" s="36" t="inlineStr">
        <is>
          <t>1 case of each flavor backstock</t>
        </is>
      </c>
      <c r="J31" s="36" t="inlineStr">
        <is>
          <t>Per store planogram - confirm</t>
        </is>
      </c>
      <c r="K31" s="36" t="n"/>
      <c r="L31" s="36" t="inlineStr">
        <is>
          <t>SRP $7.99</t>
        </is>
      </c>
      <c r="M31" s="37" t="n">
        <v>7.99</v>
      </c>
      <c r="N31" s="36" t="inlineStr">
        <is>
          <t>2025: 10/15-1/3</t>
        </is>
      </c>
      <c r="O31" s="38">
        <f>IF($A31="","",IF(COUNTIFS('Promo Calendar'!$A$6:$A$400,$A31,'Promo Calendar'!$L$6:$L$400,"Active")=0,"None active",INDEX('Promo Calendar'!$F$6:$F$400,MATCH($A31,'Promo Calendar'!$O$6:$O$400,0))&amp;IF(COUNTIFS('Promo Calendar'!$A$6:$A$400,$A31,'Promo Calendar'!$L$6:$L$400,"Active")&gt;1," (+"&amp;(COUNTIFS('Promo Calendar'!$A$6:$A$400,$A31,'Promo Calendar'!$L$6:$L$400,"Active")-1)&amp;" more)","")))</f>
        <v/>
      </c>
      <c r="P31" s="39">
        <f>IF($A31="","",IF(COUNTIFS('Promo Calendar'!$A$6:$A$400,$A31,'Promo Calendar'!$L$6:$L$400,"Active",'Promo Calendar'!$G$6:$G$400,"&gt;0")&gt;0,_xlfn.MINIFS('Promo Calendar'!$G$6:$G$400,'Promo Calendar'!$A$6:$A$400,$A31,'Promo Calendar'!$L$6:$L$400,"Active",'Promo Calendar'!$G$6:$G$400,"&gt;0"),IF(M31="","Not set",M31)))</f>
        <v/>
      </c>
      <c r="Q31" s="40">
        <f>IF($A31="","",IF(COUNTIFS('Promo Calendar'!$A$6:$A$400,$A31,'Promo Calendar'!$I$6:$I$400,"&gt;"&amp;TODAY())=0,"None scheduled",_xlfn.MINIFS('Promo Calendar'!$I$6:$I$400,'Promo Calendar'!$A$6:$A$400,$A31,'Promo Calendar'!$I$6:$I$400,"&gt;"&amp;TODAY())))</f>
        <v/>
      </c>
      <c r="R31" s="36" t="inlineStr">
        <is>
          <t>Kroger Mega Buy 5 Save $5, 2025 timing P5W4-P6W2.</t>
        </is>
      </c>
      <c r="S31" s="36" t="n"/>
      <c r="T31" s="36" t="inlineStr">
        <is>
          <t>HW Hot Sheet 8/25/25</t>
        </is>
      </c>
      <c r="U31" s="36" t="inlineStr">
        <is>
          <t>Confirm for 2026</t>
        </is>
      </c>
      <c r="V31" s="41" t="n"/>
      <c r="W31" s="38">
        <f>IF($A31="","",COUNTIFS('Visit Log'!$C$6:$C$1005,$A31,'Visit Log'!$A$6:$A$1005,"&gt;="&amp;TODAY()-30))</f>
        <v/>
      </c>
      <c r="X31" s="38">
        <f>IF($A31="","",COUNTIFS('Visit Log'!$C$6:$C$1005,$A31,'Visit Log'!$T$6:$T$1005,"Open")+COUNTIFS('Visit Log'!$C$6:$C$1005,$A31,'Visit Log'!$T$6:$T$1005,"In Progress"))</f>
        <v/>
      </c>
      <c r="Y31" s="40">
        <f>IF($A31="","",IF(COUNTIFS('Visit Log'!$C$6:$C$1005,$A31)=0,"No visits",_xlfn.MAXIFS('Visit Log'!$A$6:$A$1005,'Visit Log'!$C$6:$C$1005,$A31)))</f>
        <v/>
      </c>
    </row>
    <row r="32">
      <c r="A32" s="34" t="inlineStr">
        <is>
          <t>Henry's | Smith's</t>
        </is>
      </c>
      <c r="B32" s="42" t="inlineStr">
        <is>
          <t>Henry's</t>
        </is>
      </c>
      <c r="C32" s="36" t="inlineStr">
        <is>
          <t>Kroger</t>
        </is>
      </c>
      <c r="D32" s="36" t="inlineStr">
        <is>
          <t>Smith's</t>
        </is>
      </c>
      <c r="E32" s="36" t="inlineStr">
        <is>
          <t>UT / NV</t>
        </is>
      </c>
      <c r="F32" s="36" t="inlineStr">
        <is>
          <t>Smith's: 67</t>
        </is>
      </c>
      <c r="G32" s="36" t="n">
        <v>67</v>
      </c>
      <c r="H32" s="36" t="inlineStr">
        <is>
          <t>Root Beer, Black Cherry Cream, Orange Cream, Vanilla Cream</t>
        </is>
      </c>
      <c r="I32" s="36" t="inlineStr">
        <is>
          <t>1 case of each flavor backstock</t>
        </is>
      </c>
      <c r="J32" s="36" t="inlineStr">
        <is>
          <t>Per store planogram - confirm</t>
        </is>
      </c>
      <c r="K32" s="36" t="n"/>
      <c r="L32" s="36" t="inlineStr">
        <is>
          <t>SRP $7.99</t>
        </is>
      </c>
      <c r="M32" s="37" t="n">
        <v>7.99</v>
      </c>
      <c r="N32" s="36" t="inlineStr">
        <is>
          <t>2025: 10/15-1/3</t>
        </is>
      </c>
      <c r="O32" s="38">
        <f>IF($A32="","",IF(COUNTIFS('Promo Calendar'!$A$6:$A$400,$A32,'Promo Calendar'!$L$6:$L$400,"Active")=0,"None active",INDEX('Promo Calendar'!$F$6:$F$400,MATCH($A32,'Promo Calendar'!$O$6:$O$400,0))&amp;IF(COUNTIFS('Promo Calendar'!$A$6:$A$400,$A32,'Promo Calendar'!$L$6:$L$400,"Active")&gt;1," (+"&amp;(COUNTIFS('Promo Calendar'!$A$6:$A$400,$A32,'Promo Calendar'!$L$6:$L$400,"Active")-1)&amp;" more)","")))</f>
        <v/>
      </c>
      <c r="P32" s="39">
        <f>IF($A32="","",IF(COUNTIFS('Promo Calendar'!$A$6:$A$400,$A32,'Promo Calendar'!$L$6:$L$400,"Active",'Promo Calendar'!$G$6:$G$400,"&gt;0")&gt;0,_xlfn.MINIFS('Promo Calendar'!$G$6:$G$400,'Promo Calendar'!$A$6:$A$400,$A32,'Promo Calendar'!$L$6:$L$400,"Active",'Promo Calendar'!$G$6:$G$400,"&gt;0"),IF(M32="","Not set",M32)))</f>
        <v/>
      </c>
      <c r="Q32" s="40">
        <f>IF($A32="","",IF(COUNTIFS('Promo Calendar'!$A$6:$A$400,$A32,'Promo Calendar'!$I$6:$I$400,"&gt;"&amp;TODAY())=0,"None scheduled",_xlfn.MINIFS('Promo Calendar'!$I$6:$I$400,'Promo Calendar'!$A$6:$A$400,$A32,'Promo Calendar'!$I$6:$I$400,"&gt;"&amp;TODAY())))</f>
        <v/>
      </c>
      <c r="R32" s="36" t="inlineStr">
        <is>
          <t>Kroger Mega Buy 5 Save $5, 2025 timing P5W4-P6W2. King Soopers also listed as a division (no outlet count).</t>
        </is>
      </c>
      <c r="S32" s="36" t="n"/>
      <c r="T32" s="36" t="inlineStr">
        <is>
          <t>HW Hot Sheet 8/25/25</t>
        </is>
      </c>
      <c r="U32" s="36" t="inlineStr">
        <is>
          <t>Confirm for 2026</t>
        </is>
      </c>
      <c r="V32" s="41" t="n"/>
      <c r="W32" s="38">
        <f>IF($A32="","",COUNTIFS('Visit Log'!$C$6:$C$1005,$A32,'Visit Log'!$A$6:$A$1005,"&gt;="&amp;TODAY()-30))</f>
        <v/>
      </c>
      <c r="X32" s="38">
        <f>IF($A32="","",COUNTIFS('Visit Log'!$C$6:$C$1005,$A32,'Visit Log'!$T$6:$T$1005,"Open")+COUNTIFS('Visit Log'!$C$6:$C$1005,$A32,'Visit Log'!$T$6:$T$1005,"In Progress"))</f>
        <v/>
      </c>
      <c r="Y32" s="40">
        <f>IF($A32="","",IF(COUNTIFS('Visit Log'!$C$6:$C$1005,$A32)=0,"No visits",_xlfn.MAXIFS('Visit Log'!$A$6:$A$1005,'Visit Log'!$C$6:$C$1005,$A32)))</f>
        <v/>
      </c>
    </row>
    <row r="33">
      <c r="A33" s="34" t="inlineStr">
        <is>
          <t>Henry's | Nugget Markets</t>
        </is>
      </c>
      <c r="B33" s="42" t="inlineStr">
        <is>
          <t>Henry's</t>
        </is>
      </c>
      <c r="C33" s="36" t="inlineStr">
        <is>
          <t>Nugget Markets</t>
        </is>
      </c>
      <c r="D33" s="36" t="inlineStr">
        <is>
          <t>Nugget Markets</t>
        </is>
      </c>
      <c r="E33" s="36" t="inlineStr">
        <is>
          <t>NorCal</t>
        </is>
      </c>
      <c r="F33" s="36" t="inlineStr">
        <is>
          <t>MU-CA HI NORTH NV: 15</t>
        </is>
      </c>
      <c r="G33" s="36" t="n">
        <v>15</v>
      </c>
      <c r="H33" s="36" t="inlineStr">
        <is>
          <t>Root Beer, Black Cherry Cream, Orange Cream, Vanilla Cream</t>
        </is>
      </c>
      <c r="I33" s="36" t="inlineStr">
        <is>
          <t>1 case of each flavor backstock</t>
        </is>
      </c>
      <c r="J33" s="36" t="inlineStr">
        <is>
          <t>Shelf set + displays</t>
        </is>
      </c>
      <c r="K33" s="36" t="n"/>
      <c r="L33" s="36" t="inlineStr">
        <is>
          <t>SRP $6.49</t>
        </is>
      </c>
      <c r="M33" s="37" t="n">
        <v>6.49</v>
      </c>
      <c r="N33" s="36" t="inlineStr">
        <is>
          <t>2025: 9/29-1/3</t>
        </is>
      </c>
      <c r="O33" s="38">
        <f>IF($A33="","",IF(COUNTIFS('Promo Calendar'!$A$6:$A$400,$A33,'Promo Calendar'!$L$6:$L$400,"Active")=0,"None active",INDEX('Promo Calendar'!$F$6:$F$400,MATCH($A33,'Promo Calendar'!$O$6:$O$400,0))&amp;IF(COUNTIFS('Promo Calendar'!$A$6:$A$400,$A33,'Promo Calendar'!$L$6:$L$400,"Active")&gt;1," (+"&amp;(COUNTIFS('Promo Calendar'!$A$6:$A$400,$A33,'Promo Calendar'!$L$6:$L$400,"Active")-1)&amp;" more)","")))</f>
        <v/>
      </c>
      <c r="P33" s="39">
        <f>IF($A33="","",IF(COUNTIFS('Promo Calendar'!$A$6:$A$400,$A33,'Promo Calendar'!$L$6:$L$400,"Active",'Promo Calendar'!$G$6:$G$400,"&gt;0")&gt;0,_xlfn.MINIFS('Promo Calendar'!$G$6:$G$400,'Promo Calendar'!$A$6:$A$400,$A33,'Promo Calendar'!$L$6:$L$400,"Active",'Promo Calendar'!$G$6:$G$400,"&gt;0"),IF(M33="","Not set",M33)))</f>
        <v/>
      </c>
      <c r="Q33" s="40">
        <f>IF($A33="","",IF(COUNTIFS('Promo Calendar'!$A$6:$A$400,$A33,'Promo Calendar'!$I$6:$I$400,"&gt;"&amp;TODAY())=0,"None scheduled",_xlfn.MINIFS('Promo Calendar'!$I$6:$I$400,'Promo Calendar'!$A$6:$A$400,$A33,'Promo Calendar'!$I$6:$I$400,"&gt;"&amp;TODAY())))</f>
        <v/>
      </c>
      <c r="R33" s="36" t="inlineStr">
        <is>
          <t>Priority to close gaps and hit 90%+ re-service rates. Sell in displays at store level to support promotional pricing.</t>
        </is>
      </c>
      <c r="S33" s="36" t="n"/>
      <c r="T33" s="36" t="inlineStr">
        <is>
          <t>HW Hot Sheet 8/25/25</t>
        </is>
      </c>
      <c r="U33" s="36" t="inlineStr">
        <is>
          <t>Confirm for 2026</t>
        </is>
      </c>
      <c r="V33" s="41" t="n"/>
      <c r="W33" s="38">
        <f>IF($A33="","",COUNTIFS('Visit Log'!$C$6:$C$1005,$A33,'Visit Log'!$A$6:$A$1005,"&gt;="&amp;TODAY()-30))</f>
        <v/>
      </c>
      <c r="X33" s="38">
        <f>IF($A33="","",COUNTIFS('Visit Log'!$C$6:$C$1005,$A33,'Visit Log'!$T$6:$T$1005,"Open")+COUNTIFS('Visit Log'!$C$6:$C$1005,$A33,'Visit Log'!$T$6:$T$1005,"In Progress"))</f>
        <v/>
      </c>
      <c r="Y33" s="40">
        <f>IF($A33="","",IF(COUNTIFS('Visit Log'!$C$6:$C$1005,$A33)=0,"No visits",_xlfn.MAXIFS('Visit Log'!$A$6:$A$1005,'Visit Log'!$C$6:$C$1005,$A33)))</f>
        <v/>
      </c>
    </row>
    <row r="34">
      <c r="A34" s="34" t="inlineStr">
        <is>
          <t>Henry's | Stater Bros.</t>
        </is>
      </c>
      <c r="B34" s="42" t="inlineStr">
        <is>
          <t>Henry's</t>
        </is>
      </c>
      <c r="C34" s="36" t="inlineStr">
        <is>
          <t>Stater Bros.</t>
        </is>
      </c>
      <c r="D34" s="36" t="inlineStr">
        <is>
          <t>Stater Bros.</t>
        </is>
      </c>
      <c r="E34" s="36" t="inlineStr">
        <is>
          <t>SoCal</t>
        </is>
      </c>
      <c r="F34" s="36" t="inlineStr">
        <is>
          <t>MU-CA HI NORTH NV: 163</t>
        </is>
      </c>
      <c r="G34" s="36" t="n">
        <v>163</v>
      </c>
      <c r="H34" s="36" t="inlineStr">
        <is>
          <t>Root Beer, Black Cherry Cream, Orange Cream, Vanilla Cream (54 stores carry 3 - no Orange Cream)</t>
        </is>
      </c>
      <c r="I34" s="36" t="inlineStr">
        <is>
          <t>1 case of each flavor backstock</t>
        </is>
      </c>
      <c r="J34" s="36" t="inlineStr">
        <is>
          <t>Shelf set + displays for promo and key holidays</t>
        </is>
      </c>
      <c r="K34" s="36" t="n"/>
      <c r="L34" s="36" t="inlineStr">
        <is>
          <t>SRP $6.99</t>
        </is>
      </c>
      <c r="M34" s="37" t="n">
        <v>6.99</v>
      </c>
      <c r="N34" s="36" t="inlineStr">
        <is>
          <t>2025: 9/29-1/3</t>
        </is>
      </c>
      <c r="O34" s="38">
        <f>IF($A34="","",IF(COUNTIFS('Promo Calendar'!$A$6:$A$400,$A34,'Promo Calendar'!$L$6:$L$400,"Active")=0,"None active",INDEX('Promo Calendar'!$F$6:$F$400,MATCH($A34,'Promo Calendar'!$O$6:$O$400,0))&amp;IF(COUNTIFS('Promo Calendar'!$A$6:$A$400,$A34,'Promo Calendar'!$L$6:$L$400,"Active")&gt;1," (+"&amp;(COUNTIFS('Promo Calendar'!$A$6:$A$400,$A34,'Promo Calendar'!$L$6:$L$400,"Active")-1)&amp;" more)","")))</f>
        <v/>
      </c>
      <c r="P34" s="39">
        <f>IF($A34="","",IF(COUNTIFS('Promo Calendar'!$A$6:$A$400,$A34,'Promo Calendar'!$L$6:$L$400,"Active",'Promo Calendar'!$G$6:$G$400,"&gt;0")&gt;0,_xlfn.MINIFS('Promo Calendar'!$G$6:$G$400,'Promo Calendar'!$A$6:$A$400,$A34,'Promo Calendar'!$L$6:$L$400,"Active",'Promo Calendar'!$G$6:$G$400,"&gt;0"),IF(M34="","Not set",M34)))</f>
        <v/>
      </c>
      <c r="Q34" s="40">
        <f>IF($A34="","",IF(COUNTIFS('Promo Calendar'!$A$6:$A$400,$A34,'Promo Calendar'!$I$6:$I$400,"&gt;"&amp;TODAY())=0,"None scheduled",_xlfn.MINIFS('Promo Calendar'!$I$6:$I$400,'Promo Calendar'!$A$6:$A$400,$A34,'Promo Calendar'!$I$6:$I$400,"&gt;"&amp;TODAY())))</f>
        <v/>
      </c>
      <c r="R34" s="36" t="inlineStr">
        <is>
          <t>Priority to close gaps and hit 90%+ re-service rates. Sell in displays at store level to support promotional pricing. Close Orange Cream gap in 54 stores.</t>
        </is>
      </c>
      <c r="S34" s="36" t="n"/>
      <c r="T34" s="36" t="inlineStr">
        <is>
          <t>HW Hot Sheet 8/25/25</t>
        </is>
      </c>
      <c r="U34" s="36" t="inlineStr">
        <is>
          <t>Confirm for 2026</t>
        </is>
      </c>
      <c r="V34" s="41" t="n"/>
      <c r="W34" s="38">
        <f>IF($A34="","",COUNTIFS('Visit Log'!$C$6:$C$1005,$A34,'Visit Log'!$A$6:$A$1005,"&gt;="&amp;TODAY()-30))</f>
        <v/>
      </c>
      <c r="X34" s="38">
        <f>IF($A34="","",COUNTIFS('Visit Log'!$C$6:$C$1005,$A34,'Visit Log'!$T$6:$T$1005,"Open")+COUNTIFS('Visit Log'!$C$6:$C$1005,$A34,'Visit Log'!$T$6:$T$1005,"In Progress"))</f>
        <v/>
      </c>
      <c r="Y34" s="40">
        <f>IF($A34="","",IF(COUNTIFS('Visit Log'!$C$6:$C$1005,$A34)=0,"No visits",_xlfn.MAXIFS('Visit Log'!$A$6:$A$1005,'Visit Log'!$C$6:$C$1005,$A34)))</f>
        <v/>
      </c>
    </row>
    <row r="35">
      <c r="A35" s="34" t="inlineStr">
        <is>
          <t>Henry's | Plaid Pantry</t>
        </is>
      </c>
      <c r="B35" s="42" t="inlineStr">
        <is>
          <t>Henry's</t>
        </is>
      </c>
      <c r="C35" s="36" t="inlineStr">
        <is>
          <t>Plaid Pantry</t>
        </is>
      </c>
      <c r="D35" s="36" t="inlineStr">
        <is>
          <t>Plaid Pantry</t>
        </is>
      </c>
      <c r="E35" s="36" t="inlineStr">
        <is>
          <t>OR / WA</t>
        </is>
      </c>
      <c r="F35" s="36" t="inlineStr">
        <is>
          <t>MU-AK ID OR WA: 74</t>
        </is>
      </c>
      <c r="G35" s="36" t="n">
        <v>74</v>
      </c>
      <c r="H35" s="36" t="inlineStr">
        <is>
          <t>Root Beer, Black Cherry Cream, Orange Cream, Vanilla Cream (singles)</t>
        </is>
      </c>
      <c r="I35" s="36" t="inlineStr">
        <is>
          <t>1 case of each flavor backstock</t>
        </is>
      </c>
      <c r="J35" s="36" t="inlineStr">
        <is>
          <t>Cold vault / single-serve set - confirm</t>
        </is>
      </c>
      <c r="K35" s="36" t="n"/>
      <c r="L35" s="36" t="inlineStr">
        <is>
          <t>SRP $1.50 single</t>
        </is>
      </c>
      <c r="M35" s="37" t="n">
        <v>1.5</v>
      </c>
      <c r="N35" s="36" t="inlineStr">
        <is>
          <t>2025: 10/5-11/1, 11/2-11/29, 11/30-1/3</t>
        </is>
      </c>
      <c r="O35" s="38">
        <f>IF($A35="","",IF(COUNTIFS('Promo Calendar'!$A$6:$A$400,$A35,'Promo Calendar'!$L$6:$L$400,"Active")=0,"None active",INDEX('Promo Calendar'!$F$6:$F$400,MATCH($A35,'Promo Calendar'!$O$6:$O$400,0))&amp;IF(COUNTIFS('Promo Calendar'!$A$6:$A$400,$A35,'Promo Calendar'!$L$6:$L$400,"Active")&gt;1," (+"&amp;(COUNTIFS('Promo Calendar'!$A$6:$A$400,$A35,'Promo Calendar'!$L$6:$L$400,"Active")-1)&amp;" more)","")))</f>
        <v/>
      </c>
      <c r="P35" s="39">
        <f>IF($A35="","",IF(COUNTIFS('Promo Calendar'!$A$6:$A$400,$A35,'Promo Calendar'!$L$6:$L$400,"Active",'Promo Calendar'!$G$6:$G$400,"&gt;0")&gt;0,_xlfn.MINIFS('Promo Calendar'!$G$6:$G$400,'Promo Calendar'!$A$6:$A$400,$A35,'Promo Calendar'!$L$6:$L$400,"Active",'Promo Calendar'!$G$6:$G$400,"&gt;0"),IF(M35="","Not set",M35)))</f>
        <v/>
      </c>
      <c r="Q35" s="40">
        <f>IF($A35="","",IF(COUNTIFS('Promo Calendar'!$A$6:$A$400,$A35,'Promo Calendar'!$I$6:$I$400,"&gt;"&amp;TODAY())=0,"None scheduled",_xlfn.MINIFS('Promo Calendar'!$I$6:$I$400,'Promo Calendar'!$A$6:$A$400,$A35,'Promo Calendar'!$I$6:$I$400,"&gt;"&amp;TODAY())))</f>
        <v/>
      </c>
      <c r="R35" s="36" t="inlineStr">
        <is>
          <t>Priority to close gaps and hit 90%+ re-service rates.</t>
        </is>
      </c>
      <c r="S35" s="36" t="n"/>
      <c r="T35" s="36" t="inlineStr">
        <is>
          <t>HW Hot Sheet 8/25/25</t>
        </is>
      </c>
      <c r="U35" s="36" t="inlineStr">
        <is>
          <t>Confirm for 2026</t>
        </is>
      </c>
      <c r="V35" s="41" t="n"/>
      <c r="W35" s="38">
        <f>IF($A35="","",COUNTIFS('Visit Log'!$C$6:$C$1005,$A35,'Visit Log'!$A$6:$A$1005,"&gt;="&amp;TODAY()-30))</f>
        <v/>
      </c>
      <c r="X35" s="38">
        <f>IF($A35="","",COUNTIFS('Visit Log'!$C$6:$C$1005,$A35,'Visit Log'!$T$6:$T$1005,"Open")+COUNTIFS('Visit Log'!$C$6:$C$1005,$A35,'Visit Log'!$T$6:$T$1005,"In Progress"))</f>
        <v/>
      </c>
      <c r="Y35" s="40">
        <f>IF($A35="","",IF(COUNTIFS('Visit Log'!$C$6:$C$1005,$A35)=0,"No visits",_xlfn.MAXIFS('Visit Log'!$A$6:$A$1005,'Visit Log'!$C$6:$C$1005,$A35)))</f>
        <v/>
      </c>
    </row>
    <row r="36">
      <c r="A36" s="34" t="inlineStr">
        <is>
          <t>Henry's | Metropolitan Market</t>
        </is>
      </c>
      <c r="B36" s="42" t="inlineStr">
        <is>
          <t>Henry's</t>
        </is>
      </c>
      <c r="C36" s="36" t="inlineStr">
        <is>
          <t>Metropolitan Market</t>
        </is>
      </c>
      <c r="D36" s="36" t="inlineStr">
        <is>
          <t>Metropolitan Market</t>
        </is>
      </c>
      <c r="E36" s="36" t="inlineStr">
        <is>
          <t>Seattle / Tacoma</t>
        </is>
      </c>
      <c r="F36" s="36" t="inlineStr">
        <is>
          <t>MU-AK ID OR WA: 10</t>
        </is>
      </c>
      <c r="G36" s="36" t="n">
        <v>10</v>
      </c>
      <c r="H36" s="36" t="inlineStr">
        <is>
          <t>Root Beer, Orange Cream, Vanilla Cream (no Black Cherry Cream)</t>
        </is>
      </c>
      <c r="I36" s="36" t="inlineStr">
        <is>
          <t>1 case of each flavor backstock</t>
        </is>
      </c>
      <c r="J36" s="36" t="inlineStr">
        <is>
          <t>Per store planogram - confirm</t>
        </is>
      </c>
      <c r="K36" s="36" t="n"/>
      <c r="L36" s="36" t="inlineStr">
        <is>
          <t>SRP $6.49</t>
        </is>
      </c>
      <c r="M36" s="37" t="n">
        <v>6.49</v>
      </c>
      <c r="N36" s="36" t="inlineStr">
        <is>
          <t>2025: 9/28-1/3</t>
        </is>
      </c>
      <c r="O36" s="38">
        <f>IF($A36="","",IF(COUNTIFS('Promo Calendar'!$A$6:$A$400,$A36,'Promo Calendar'!$L$6:$L$400,"Active")=0,"None active",INDEX('Promo Calendar'!$F$6:$F$400,MATCH($A36,'Promo Calendar'!$O$6:$O$400,0))&amp;IF(COUNTIFS('Promo Calendar'!$A$6:$A$400,$A36,'Promo Calendar'!$L$6:$L$400,"Active")&gt;1," (+"&amp;(COUNTIFS('Promo Calendar'!$A$6:$A$400,$A36,'Promo Calendar'!$L$6:$L$400,"Active")-1)&amp;" more)","")))</f>
        <v/>
      </c>
      <c r="P36" s="39">
        <f>IF($A36="","",IF(COUNTIFS('Promo Calendar'!$A$6:$A$400,$A36,'Promo Calendar'!$L$6:$L$400,"Active",'Promo Calendar'!$G$6:$G$400,"&gt;0")&gt;0,_xlfn.MINIFS('Promo Calendar'!$G$6:$G$400,'Promo Calendar'!$A$6:$A$400,$A36,'Promo Calendar'!$L$6:$L$400,"Active",'Promo Calendar'!$G$6:$G$400,"&gt;0"),IF(M36="","Not set",M36)))</f>
        <v/>
      </c>
      <c r="Q36" s="40">
        <f>IF($A36="","",IF(COUNTIFS('Promo Calendar'!$A$6:$A$400,$A36,'Promo Calendar'!$I$6:$I$400,"&gt;"&amp;TODAY())=0,"None scheduled",_xlfn.MINIFS('Promo Calendar'!$I$6:$I$400,'Promo Calendar'!$A$6:$A$400,$A36,'Promo Calendar'!$I$6:$I$400,"&gt;"&amp;TODAY())))</f>
        <v/>
      </c>
      <c r="R36" s="36" t="inlineStr">
        <is>
          <t>Account lead: Chris Armstrong.</t>
        </is>
      </c>
      <c r="S36" s="36" t="inlineStr">
        <is>
          <t>Chris Armstrong</t>
        </is>
      </c>
      <c r="T36" s="36" t="inlineStr">
        <is>
          <t>HW Hot Sheet 8/25/25</t>
        </is>
      </c>
      <c r="U36" s="36" t="inlineStr">
        <is>
          <t>Confirm for 2026</t>
        </is>
      </c>
      <c r="V36" s="41" t="n"/>
      <c r="W36" s="38">
        <f>IF($A36="","",COUNTIFS('Visit Log'!$C$6:$C$1005,$A36,'Visit Log'!$A$6:$A$1005,"&gt;="&amp;TODAY()-30))</f>
        <v/>
      </c>
      <c r="X36" s="38">
        <f>IF($A36="","",COUNTIFS('Visit Log'!$C$6:$C$1005,$A36,'Visit Log'!$T$6:$T$1005,"Open")+COUNTIFS('Visit Log'!$C$6:$C$1005,$A36,'Visit Log'!$T$6:$T$1005,"In Progress"))</f>
        <v/>
      </c>
      <c r="Y36" s="40">
        <f>IF($A36="","",IF(COUNTIFS('Visit Log'!$C$6:$C$1005,$A36)=0,"No visits",_xlfn.MAXIFS('Visit Log'!$A$6:$A$1005,'Visit Log'!$C$6:$C$1005,$A36)))</f>
        <v/>
      </c>
    </row>
    <row r="37">
      <c r="A37" s="34" t="inlineStr">
        <is>
          <t>Henry's | Northwest Grocers (NWG)</t>
        </is>
      </c>
      <c r="B37" s="42" t="inlineStr">
        <is>
          <t>Henry's</t>
        </is>
      </c>
      <c r="C37" s="36" t="inlineStr">
        <is>
          <t>Northwest Grocers (NWG)</t>
        </is>
      </c>
      <c r="D37" s="36" t="inlineStr">
        <is>
          <t>Northwest Grocers (NWG)</t>
        </is>
      </c>
      <c r="E37" s="36" t="inlineStr">
        <is>
          <t>PNW</t>
        </is>
      </c>
      <c r="F37" s="36" t="inlineStr">
        <is>
          <t>MU-AK ID OR WA: (count blank)</t>
        </is>
      </c>
      <c r="G37" s="36" t="n"/>
      <c r="H37" s="36" t="inlineStr">
        <is>
          <t>Root Beer, Black Cherry Cream, Orange Cream, Vanilla Cream</t>
        </is>
      </c>
      <c r="I37" s="36" t="inlineStr">
        <is>
          <t>1 case of each flavor backstock</t>
        </is>
      </c>
      <c r="J37" s="36" t="inlineStr">
        <is>
          <t>Per store planogram - confirm</t>
        </is>
      </c>
      <c r="K37" s="36" t="n"/>
      <c r="L37" s="36" t="inlineStr">
        <is>
          <t>SRP $7.99</t>
        </is>
      </c>
      <c r="M37" s="37" t="n">
        <v>7.99</v>
      </c>
      <c r="N37" s="36" t="inlineStr">
        <is>
          <t>2025: 9/29-1/3</t>
        </is>
      </c>
      <c r="O37" s="38">
        <f>IF($A37="","",IF(COUNTIFS('Promo Calendar'!$A$6:$A$400,$A37,'Promo Calendar'!$L$6:$L$400,"Active")=0,"None active",INDEX('Promo Calendar'!$F$6:$F$400,MATCH($A37,'Promo Calendar'!$O$6:$O$400,0))&amp;IF(COUNTIFS('Promo Calendar'!$A$6:$A$400,$A37,'Promo Calendar'!$L$6:$L$400,"Active")&gt;1," (+"&amp;(COUNTIFS('Promo Calendar'!$A$6:$A$400,$A37,'Promo Calendar'!$L$6:$L$400,"Active")-1)&amp;" more)","")))</f>
        <v/>
      </c>
      <c r="P37" s="39">
        <f>IF($A37="","",IF(COUNTIFS('Promo Calendar'!$A$6:$A$400,$A37,'Promo Calendar'!$L$6:$L$400,"Active",'Promo Calendar'!$G$6:$G$400,"&gt;0")&gt;0,_xlfn.MINIFS('Promo Calendar'!$G$6:$G$400,'Promo Calendar'!$A$6:$A$400,$A37,'Promo Calendar'!$L$6:$L$400,"Active",'Promo Calendar'!$G$6:$G$400,"&gt;0"),IF(M37="","Not set",M37)))</f>
        <v/>
      </c>
      <c r="Q37" s="40">
        <f>IF($A37="","",IF(COUNTIFS('Promo Calendar'!$A$6:$A$400,$A37,'Promo Calendar'!$I$6:$I$400,"&gt;"&amp;TODAY())=0,"None scheduled",_xlfn.MINIFS('Promo Calendar'!$I$6:$I$400,'Promo Calendar'!$A$6:$A$400,$A37,'Promo Calendar'!$I$6:$I$400,"&gt;"&amp;TODAY())))</f>
        <v/>
      </c>
      <c r="R37" s="36" t="inlineStr">
        <is>
          <t>Account lead: Chris Armstrong. Outlet count missing.</t>
        </is>
      </c>
      <c r="S37" s="36" t="inlineStr">
        <is>
          <t>Chris Armstrong</t>
        </is>
      </c>
      <c r="T37" s="36" t="inlineStr">
        <is>
          <t>HW Hot Sheet 8/25/25</t>
        </is>
      </c>
      <c r="U37" s="36" t="inlineStr">
        <is>
          <t>Confirm for 2026</t>
        </is>
      </c>
      <c r="V37" s="41" t="n"/>
      <c r="W37" s="38">
        <f>IF($A37="","",COUNTIFS('Visit Log'!$C$6:$C$1005,$A37,'Visit Log'!$A$6:$A$1005,"&gt;="&amp;TODAY()-30))</f>
        <v/>
      </c>
      <c r="X37" s="38">
        <f>IF($A37="","",COUNTIFS('Visit Log'!$C$6:$C$1005,$A37,'Visit Log'!$T$6:$T$1005,"Open")+COUNTIFS('Visit Log'!$C$6:$C$1005,$A37,'Visit Log'!$T$6:$T$1005,"In Progress"))</f>
        <v/>
      </c>
      <c r="Y37" s="40">
        <f>IF($A37="","",IF(COUNTIFS('Visit Log'!$C$6:$C$1005,$A37)=0,"No visits",_xlfn.MAXIFS('Visit Log'!$A$6:$A$1005,'Visit Log'!$C$6:$C$1005,$A37)))</f>
        <v/>
      </c>
    </row>
    <row r="38">
      <c r="A38" s="34" t="inlineStr">
        <is>
          <t>Henry's | Town &amp; Country Markets</t>
        </is>
      </c>
      <c r="B38" s="42" t="inlineStr">
        <is>
          <t>Henry's</t>
        </is>
      </c>
      <c r="C38" s="36" t="inlineStr">
        <is>
          <t>Town &amp; Country Markets</t>
        </is>
      </c>
      <c r="D38" s="36" t="inlineStr">
        <is>
          <t>Town &amp; Country Markets</t>
        </is>
      </c>
      <c r="E38" s="36" t="inlineStr">
        <is>
          <t>Puget Sound</t>
        </is>
      </c>
      <c r="F38" s="36" t="inlineStr">
        <is>
          <t>MU-AK ID OR WA: 6</t>
        </is>
      </c>
      <c r="G38" s="36" t="n">
        <v>6</v>
      </c>
      <c r="H38" s="36" t="inlineStr">
        <is>
          <t>Root Beer, Black Cherry Cream, Orange Cream, Vanilla Cream</t>
        </is>
      </c>
      <c r="I38" s="36" t="inlineStr">
        <is>
          <t>1 case of each flavor backstock</t>
        </is>
      </c>
      <c r="J38" s="36" t="inlineStr">
        <is>
          <t>Per store planogram - confirm</t>
        </is>
      </c>
      <c r="K38" s="36" t="n"/>
      <c r="L38" s="36" t="inlineStr">
        <is>
          <t>SRP $6.49</t>
        </is>
      </c>
      <c r="M38" s="37" t="n">
        <v>6.49</v>
      </c>
      <c r="N38" s="36" t="inlineStr">
        <is>
          <t>2025: 9/28-1/3</t>
        </is>
      </c>
      <c r="O38" s="38">
        <f>IF($A38="","",IF(COUNTIFS('Promo Calendar'!$A$6:$A$400,$A38,'Promo Calendar'!$L$6:$L$400,"Active")=0,"None active",INDEX('Promo Calendar'!$F$6:$F$400,MATCH($A38,'Promo Calendar'!$O$6:$O$400,0))&amp;IF(COUNTIFS('Promo Calendar'!$A$6:$A$400,$A38,'Promo Calendar'!$L$6:$L$400,"Active")&gt;1," (+"&amp;(COUNTIFS('Promo Calendar'!$A$6:$A$400,$A38,'Promo Calendar'!$L$6:$L$400,"Active")-1)&amp;" more)","")))</f>
        <v/>
      </c>
      <c r="P38" s="39">
        <f>IF($A38="","",IF(COUNTIFS('Promo Calendar'!$A$6:$A$400,$A38,'Promo Calendar'!$L$6:$L$400,"Active",'Promo Calendar'!$G$6:$G$400,"&gt;0")&gt;0,_xlfn.MINIFS('Promo Calendar'!$G$6:$G$400,'Promo Calendar'!$A$6:$A$400,$A38,'Promo Calendar'!$L$6:$L$400,"Active",'Promo Calendar'!$G$6:$G$400,"&gt;0"),IF(M38="","Not set",M38)))</f>
        <v/>
      </c>
      <c r="Q38" s="40">
        <f>IF($A38="","",IF(COUNTIFS('Promo Calendar'!$A$6:$A$400,$A38,'Promo Calendar'!$I$6:$I$400,"&gt;"&amp;TODAY())=0,"None scheduled",_xlfn.MINIFS('Promo Calendar'!$I$6:$I$400,'Promo Calendar'!$A$6:$A$400,$A38,'Promo Calendar'!$I$6:$I$400,"&gt;"&amp;TODAY())))</f>
        <v/>
      </c>
      <c r="R38" s="36" t="inlineStr">
        <is>
          <t>Account lead: Chris Armstrong.</t>
        </is>
      </c>
      <c r="S38" s="36" t="inlineStr">
        <is>
          <t>Chris Armstrong</t>
        </is>
      </c>
      <c r="T38" s="36" t="inlineStr">
        <is>
          <t>HW Hot Sheet 8/25/25</t>
        </is>
      </c>
      <c r="U38" s="36" t="inlineStr">
        <is>
          <t>Confirm for 2026</t>
        </is>
      </c>
      <c r="V38" s="41" t="n"/>
      <c r="W38" s="38">
        <f>IF($A38="","",COUNTIFS('Visit Log'!$C$6:$C$1005,$A38,'Visit Log'!$A$6:$A$1005,"&gt;="&amp;TODAY()-30))</f>
        <v/>
      </c>
      <c r="X38" s="38">
        <f>IF($A38="","",COUNTIFS('Visit Log'!$C$6:$C$1005,$A38,'Visit Log'!$T$6:$T$1005,"Open")+COUNTIFS('Visit Log'!$C$6:$C$1005,$A38,'Visit Log'!$T$6:$T$1005,"In Progress"))</f>
        <v/>
      </c>
      <c r="Y38" s="40">
        <f>IF($A38="","",IF(COUNTIFS('Visit Log'!$C$6:$C$1005,$A38)=0,"No visits",_xlfn.MAXIFS('Visit Log'!$A$6:$A$1005,'Visit Log'!$C$6:$C$1005,$A38)))</f>
        <v/>
      </c>
    </row>
    <row r="39">
      <c r="A39" s="34" t="inlineStr">
        <is>
          <t>Henry's | Harvest Foods</t>
        </is>
      </c>
      <c r="B39" s="42" t="inlineStr">
        <is>
          <t>Henry's</t>
        </is>
      </c>
      <c r="C39" s="36" t="inlineStr">
        <is>
          <t>Harvest Foods</t>
        </is>
      </c>
      <c r="D39" s="36" t="inlineStr">
        <is>
          <t>Harvest Foods</t>
        </is>
      </c>
      <c r="E39" s="36" t="inlineStr">
        <is>
          <t>ID / WA / OR</t>
        </is>
      </c>
      <c r="F39" s="36" t="inlineStr">
        <is>
          <t>MU-AK ID OR WA: 22</t>
        </is>
      </c>
      <c r="G39" s="36" t="n">
        <v>22</v>
      </c>
      <c r="H39" s="36" t="inlineStr">
        <is>
          <t>Root Beer, Black Cherry Cream, Orange Cream, Vanilla Cream</t>
        </is>
      </c>
      <c r="I39" s="36" t="inlineStr">
        <is>
          <t>1 case of each flavor backstock</t>
        </is>
      </c>
      <c r="J39" s="36" t="inlineStr">
        <is>
          <t>Shelf set + displays</t>
        </is>
      </c>
      <c r="K39" s="36" t="n"/>
      <c r="L39" s="36" t="inlineStr">
        <is>
          <t>SRP $6.49</t>
        </is>
      </c>
      <c r="M39" s="37" t="n">
        <v>6.49</v>
      </c>
      <c r="N39" s="36" t="inlineStr">
        <is>
          <t>2025: 11/29-1/3</t>
        </is>
      </c>
      <c r="O39" s="38">
        <f>IF($A39="","",IF(COUNTIFS('Promo Calendar'!$A$6:$A$400,$A39,'Promo Calendar'!$L$6:$L$400,"Active")=0,"None active",INDEX('Promo Calendar'!$F$6:$F$400,MATCH($A39,'Promo Calendar'!$O$6:$O$400,0))&amp;IF(COUNTIFS('Promo Calendar'!$A$6:$A$400,$A39,'Promo Calendar'!$L$6:$L$400,"Active")&gt;1," (+"&amp;(COUNTIFS('Promo Calendar'!$A$6:$A$400,$A39,'Promo Calendar'!$L$6:$L$400,"Active")-1)&amp;" more)","")))</f>
        <v/>
      </c>
      <c r="P39" s="39">
        <f>IF($A39="","",IF(COUNTIFS('Promo Calendar'!$A$6:$A$400,$A39,'Promo Calendar'!$L$6:$L$400,"Active",'Promo Calendar'!$G$6:$G$400,"&gt;0")&gt;0,_xlfn.MINIFS('Promo Calendar'!$G$6:$G$400,'Promo Calendar'!$A$6:$A$400,$A39,'Promo Calendar'!$L$6:$L$400,"Active",'Promo Calendar'!$G$6:$G$400,"&gt;0"),IF(M39="","Not set",M39)))</f>
        <v/>
      </c>
      <c r="Q39" s="40">
        <f>IF($A39="","",IF(COUNTIFS('Promo Calendar'!$A$6:$A$400,$A39,'Promo Calendar'!$I$6:$I$400,"&gt;"&amp;TODAY())=0,"None scheduled",_xlfn.MINIFS('Promo Calendar'!$I$6:$I$400,'Promo Calendar'!$A$6:$A$400,$A39,'Promo Calendar'!$I$6:$I$400,"&gt;"&amp;TODAY())))</f>
        <v/>
      </c>
      <c r="R39" s="36" t="inlineStr">
        <is>
          <t>Henry's continued in the July and August savings guides (2025). Sell in displays at store level to support promotional pricing.</t>
        </is>
      </c>
      <c r="S39" s="36" t="n"/>
      <c r="T39" s="36" t="inlineStr">
        <is>
          <t>HW Hot Sheet 8/25/25</t>
        </is>
      </c>
      <c r="U39" s="36" t="inlineStr">
        <is>
          <t>Confirm for 2026</t>
        </is>
      </c>
      <c r="V39" s="41" t="n"/>
      <c r="W39" s="38">
        <f>IF($A39="","",COUNTIFS('Visit Log'!$C$6:$C$1005,$A39,'Visit Log'!$A$6:$A$1005,"&gt;="&amp;TODAY()-30))</f>
        <v/>
      </c>
      <c r="X39" s="38">
        <f>IF($A39="","",COUNTIFS('Visit Log'!$C$6:$C$1005,$A39,'Visit Log'!$T$6:$T$1005,"Open")+COUNTIFS('Visit Log'!$C$6:$C$1005,$A39,'Visit Log'!$T$6:$T$1005,"In Progress"))</f>
        <v/>
      </c>
      <c r="Y39" s="40">
        <f>IF($A39="","",IF(COUNTIFS('Visit Log'!$C$6:$C$1005,$A39)=0,"No visits",_xlfn.MAXIFS('Visit Log'!$A$6:$A$1005,'Visit Log'!$C$6:$C$1005,$A39)))</f>
        <v/>
      </c>
    </row>
    <row r="40">
      <c r="A40" s="34" t="inlineStr">
        <is>
          <t>Henry's | Ridley's Family Markets</t>
        </is>
      </c>
      <c r="B40" s="42" t="inlineStr">
        <is>
          <t>Henry's</t>
        </is>
      </c>
      <c r="C40" s="36" t="inlineStr">
        <is>
          <t>Ridley's Family Markets</t>
        </is>
      </c>
      <c r="D40" s="36" t="inlineStr">
        <is>
          <t>Ridley's Family Markets</t>
        </is>
      </c>
      <c r="E40" s="36" t="inlineStr">
        <is>
          <t>ID / UT / WY / NV</t>
        </is>
      </c>
      <c r="F40" s="36" t="inlineStr">
        <is>
          <t>MU-AK ID OR WA: 13; MU-CA HI NORTH NV: 4</t>
        </is>
      </c>
      <c r="G40" s="36" t="n">
        <v>17</v>
      </c>
      <c r="H40" s="36" t="inlineStr">
        <is>
          <t>Root Beer, Black Cherry Cream, Orange Cream, Vanilla Cream</t>
        </is>
      </c>
      <c r="I40" s="36" t="inlineStr">
        <is>
          <t>1 case of each flavor backstock</t>
        </is>
      </c>
      <c r="J40" s="36" t="inlineStr">
        <is>
          <t>Shelf set + displays</t>
        </is>
      </c>
      <c r="K40" s="36" t="n"/>
      <c r="L40" s="36" t="inlineStr">
        <is>
          <t>SRP $6.49</t>
        </is>
      </c>
      <c r="M40" s="37" t="n">
        <v>6.49</v>
      </c>
      <c r="N40" s="36" t="inlineStr">
        <is>
          <t>2025: 11/30-1/3</t>
        </is>
      </c>
      <c r="O40" s="38">
        <f>IF($A40="","",IF(COUNTIFS('Promo Calendar'!$A$6:$A$400,$A40,'Promo Calendar'!$L$6:$L$400,"Active")=0,"None active",INDEX('Promo Calendar'!$F$6:$F$400,MATCH($A40,'Promo Calendar'!$O$6:$O$400,0))&amp;IF(COUNTIFS('Promo Calendar'!$A$6:$A$400,$A40,'Promo Calendar'!$L$6:$L$400,"Active")&gt;1," (+"&amp;(COUNTIFS('Promo Calendar'!$A$6:$A$400,$A40,'Promo Calendar'!$L$6:$L$400,"Active")-1)&amp;" more)","")))</f>
        <v/>
      </c>
      <c r="P40" s="39">
        <f>IF($A40="","",IF(COUNTIFS('Promo Calendar'!$A$6:$A$400,$A40,'Promo Calendar'!$L$6:$L$400,"Active",'Promo Calendar'!$G$6:$G$400,"&gt;0")&gt;0,_xlfn.MINIFS('Promo Calendar'!$G$6:$G$400,'Promo Calendar'!$A$6:$A$400,$A40,'Promo Calendar'!$L$6:$L$400,"Active",'Promo Calendar'!$G$6:$G$400,"&gt;0"),IF(M40="","Not set",M40)))</f>
        <v/>
      </c>
      <c r="Q40" s="40">
        <f>IF($A40="","",IF(COUNTIFS('Promo Calendar'!$A$6:$A$400,$A40,'Promo Calendar'!$I$6:$I$400,"&gt;"&amp;TODAY())=0,"None scheduled",_xlfn.MINIFS('Promo Calendar'!$I$6:$I$400,'Promo Calendar'!$A$6:$A$400,$A40,'Promo Calendar'!$I$6:$I$400,"&gt;"&amp;TODAY())))</f>
        <v/>
      </c>
      <c r="R40" s="36" t="inlineStr">
        <is>
          <t>Priority to close gaps and hit 90%+ re-service rates. Sell in displays at store level to support promotional pricing.</t>
        </is>
      </c>
      <c r="S40" s="36" t="n"/>
      <c r="T40" s="36" t="inlineStr">
        <is>
          <t>HW Hot Sheet 8/25/25</t>
        </is>
      </c>
      <c r="U40" s="36" t="inlineStr">
        <is>
          <t>Confirm for 2026</t>
        </is>
      </c>
      <c r="V40" s="41" t="n"/>
      <c r="W40" s="38">
        <f>IF($A40="","",COUNTIFS('Visit Log'!$C$6:$C$1005,$A40,'Visit Log'!$A$6:$A$1005,"&gt;="&amp;TODAY()-30))</f>
        <v/>
      </c>
      <c r="X40" s="38">
        <f>IF($A40="","",COUNTIFS('Visit Log'!$C$6:$C$1005,$A40,'Visit Log'!$T$6:$T$1005,"Open")+COUNTIFS('Visit Log'!$C$6:$C$1005,$A40,'Visit Log'!$T$6:$T$1005,"In Progress"))</f>
        <v/>
      </c>
      <c r="Y40" s="40">
        <f>IF($A40="","",IF(COUNTIFS('Visit Log'!$C$6:$C$1005,$A40)=0,"No visits",_xlfn.MAXIFS('Visit Log'!$A$6:$A$1005,'Visit Log'!$C$6:$C$1005,$A40)))</f>
        <v/>
      </c>
    </row>
    <row r="41">
      <c r="A41" s="34" t="inlineStr">
        <is>
          <t>Henry's | Rosauers</t>
        </is>
      </c>
      <c r="B41" s="42" t="inlineStr">
        <is>
          <t>Henry's</t>
        </is>
      </c>
      <c r="C41" s="36" t="inlineStr">
        <is>
          <t>Rosauers</t>
        </is>
      </c>
      <c r="D41" s="36" t="inlineStr">
        <is>
          <t>Rosauers</t>
        </is>
      </c>
      <c r="E41" s="36" t="inlineStr">
        <is>
          <t>E. WA / N. ID / MT</t>
        </is>
      </c>
      <c r="F41" s="36" t="inlineStr">
        <is>
          <t>MU-AK ID OR WA: 19</t>
        </is>
      </c>
      <c r="G41" s="36" t="n">
        <v>19</v>
      </c>
      <c r="H41" s="36" t="inlineStr">
        <is>
          <t>Root Beer, Black Cherry Cream, Orange Cream, Vanilla Cream</t>
        </is>
      </c>
      <c r="I41" s="36" t="inlineStr">
        <is>
          <t>1 case of each flavor backstock</t>
        </is>
      </c>
      <c r="J41" s="36" t="inlineStr">
        <is>
          <t>Shelf set + displays</t>
        </is>
      </c>
      <c r="K41" s="36" t="n"/>
      <c r="L41" s="36" t="inlineStr">
        <is>
          <t>SRP $6.49</t>
        </is>
      </c>
      <c r="M41" s="37" t="n">
        <v>6.49</v>
      </c>
      <c r="N41" s="36" t="inlineStr">
        <is>
          <t>2025: 5/19-9/6, 8/30-9/12 (deep), 9/29-1/3</t>
        </is>
      </c>
      <c r="O41" s="38">
        <f>IF($A41="","",IF(COUNTIFS('Promo Calendar'!$A$6:$A$400,$A41,'Promo Calendar'!$L$6:$L$400,"Active")=0,"None active",INDEX('Promo Calendar'!$F$6:$F$400,MATCH($A41,'Promo Calendar'!$O$6:$O$400,0))&amp;IF(COUNTIFS('Promo Calendar'!$A$6:$A$400,$A41,'Promo Calendar'!$L$6:$L$400,"Active")&gt;1," (+"&amp;(COUNTIFS('Promo Calendar'!$A$6:$A$400,$A41,'Promo Calendar'!$L$6:$L$400,"Active")-1)&amp;" more)","")))</f>
        <v/>
      </c>
      <c r="P41" s="39">
        <f>IF($A41="","",IF(COUNTIFS('Promo Calendar'!$A$6:$A$400,$A41,'Promo Calendar'!$L$6:$L$400,"Active",'Promo Calendar'!$G$6:$G$400,"&gt;0")&gt;0,_xlfn.MINIFS('Promo Calendar'!$G$6:$G$400,'Promo Calendar'!$A$6:$A$400,$A41,'Promo Calendar'!$L$6:$L$400,"Active",'Promo Calendar'!$G$6:$G$400,"&gt;0"),IF(M41="","Not set",M41)))</f>
        <v/>
      </c>
      <c r="Q41" s="40">
        <f>IF($A41="","",IF(COUNTIFS('Promo Calendar'!$A$6:$A$400,$A41,'Promo Calendar'!$I$6:$I$400,"&gt;"&amp;TODAY())=0,"None scheduled",_xlfn.MINIFS('Promo Calendar'!$I$6:$I$400,'Promo Calendar'!$A$6:$A$400,$A41,'Promo Calendar'!$I$6:$I$400,"&gt;"&amp;TODAY())))</f>
        <v/>
      </c>
      <c r="R41" s="36" t="inlineStr">
        <is>
          <t>Priority to close gaps and hit 90%+ re-service rates. Sell in displays at store level to support promotional pricing.</t>
        </is>
      </c>
      <c r="S41" s="36" t="n"/>
      <c r="T41" s="36" t="inlineStr">
        <is>
          <t>HW Hot Sheet 8/25/25</t>
        </is>
      </c>
      <c r="U41" s="36" t="inlineStr">
        <is>
          <t>Confirm for 2026</t>
        </is>
      </c>
      <c r="V41" s="41" t="n"/>
      <c r="W41" s="38">
        <f>IF($A41="","",COUNTIFS('Visit Log'!$C$6:$C$1005,$A41,'Visit Log'!$A$6:$A$1005,"&gt;="&amp;TODAY()-30))</f>
        <v/>
      </c>
      <c r="X41" s="38">
        <f>IF($A41="","",COUNTIFS('Visit Log'!$C$6:$C$1005,$A41,'Visit Log'!$T$6:$T$1005,"Open")+COUNTIFS('Visit Log'!$C$6:$C$1005,$A41,'Visit Log'!$T$6:$T$1005,"In Progress"))</f>
        <v/>
      </c>
      <c r="Y41" s="40">
        <f>IF($A41="","",IF(COUNTIFS('Visit Log'!$C$6:$C$1005,$A41)=0,"No visits",_xlfn.MAXIFS('Visit Log'!$A$6:$A$1005,'Visit Log'!$C$6:$C$1005,$A41)))</f>
        <v/>
      </c>
    </row>
    <row r="42">
      <c r="A42" s="34" t="inlineStr">
        <is>
          <t>Fever-Tree | Safeway NorCal</t>
        </is>
      </c>
      <c r="B42" s="43" t="inlineStr">
        <is>
          <t>Fever-Tree</t>
        </is>
      </c>
      <c r="C42" s="36" t="inlineStr">
        <is>
          <t>Albertsons/Safeway</t>
        </is>
      </c>
      <c r="D42" s="36" t="inlineStr">
        <is>
          <t>Safeway NorCal</t>
        </is>
      </c>
      <c r="E42" s="36" t="inlineStr">
        <is>
          <t>NorCal</t>
        </is>
      </c>
      <c r="F42" s="36" t="n"/>
      <c r="G42" s="36" t="n"/>
      <c r="H42" s="36" t="inlineStr">
        <is>
          <t>Fever-Tree authorized set</t>
        </is>
      </c>
      <c r="I42" s="36" t="n"/>
      <c r="J42" s="36" t="inlineStr">
        <is>
          <t>Shelf presence + display opportunities</t>
        </is>
      </c>
      <c r="K42" s="36" t="n"/>
      <c r="L42" s="36" t="inlineStr">
        <is>
          <t>Not listed</t>
        </is>
      </c>
      <c r="M42" s="37" t="n"/>
      <c r="N42" s="36" t="inlineStr">
        <is>
          <t>KEHE-to-DSD transition</t>
        </is>
      </c>
      <c r="O42" s="38">
        <f>IF($A42="","",IF(COUNTIFS('Promo Calendar'!$A$6:$A$400,$A42,'Promo Calendar'!$L$6:$L$400,"Active")=0,"None active",INDEX('Promo Calendar'!$F$6:$F$400,MATCH($A42,'Promo Calendar'!$O$6:$O$400,0))&amp;IF(COUNTIFS('Promo Calendar'!$A$6:$A$400,$A42,'Promo Calendar'!$L$6:$L$400,"Active")&gt;1," (+"&amp;(COUNTIFS('Promo Calendar'!$A$6:$A$400,$A42,'Promo Calendar'!$L$6:$L$400,"Active")-1)&amp;" more)","")))</f>
        <v/>
      </c>
      <c r="P42" s="39">
        <f>IF($A42="","",IF(COUNTIFS('Promo Calendar'!$A$6:$A$400,$A42,'Promo Calendar'!$L$6:$L$400,"Active",'Promo Calendar'!$G$6:$G$400,"&gt;0")&gt;0,_xlfn.MINIFS('Promo Calendar'!$G$6:$G$400,'Promo Calendar'!$A$6:$A$400,$A42,'Promo Calendar'!$L$6:$L$400,"Active",'Promo Calendar'!$G$6:$G$400,"&gt;0"),IF(M42="","Not set",M42)))</f>
        <v/>
      </c>
      <c r="Q42" s="40">
        <f>IF($A42="","",IF(COUNTIFS('Promo Calendar'!$A$6:$A$400,$A42,'Promo Calendar'!$I$6:$I$400,"&gt;"&amp;TODAY())=0,"None scheduled",_xlfn.MINIFS('Promo Calendar'!$I$6:$I$400,'Promo Calendar'!$A$6:$A$400,$A42,'Promo Calendar'!$I$6:$I$400,"&gt;"&amp;TODAY())))</f>
        <v/>
      </c>
      <c r="R42" s="36" t="inlineStr">
        <is>
          <t>Support KEHE-to-DSD transition. Protect inventory, shelf presence and merchandising. Pursue display opportunities.</t>
        </is>
      </c>
      <c r="S42" s="36" t="n"/>
      <c r="T42" s="36" t="inlineStr">
        <is>
          <t>Non-Alc Chain 9/8/26</t>
        </is>
      </c>
      <c r="U42" s="36" t="inlineStr">
        <is>
          <t>Current (2026)</t>
        </is>
      </c>
      <c r="V42" s="41" t="n"/>
      <c r="W42" s="38">
        <f>IF($A42="","",COUNTIFS('Visit Log'!$C$6:$C$1005,$A42,'Visit Log'!$A$6:$A$1005,"&gt;="&amp;TODAY()-30))</f>
        <v/>
      </c>
      <c r="X42" s="38">
        <f>IF($A42="","",COUNTIFS('Visit Log'!$C$6:$C$1005,$A42,'Visit Log'!$T$6:$T$1005,"Open")+COUNTIFS('Visit Log'!$C$6:$C$1005,$A42,'Visit Log'!$T$6:$T$1005,"In Progress"))</f>
        <v/>
      </c>
      <c r="Y42" s="40">
        <f>IF($A42="","",IF(COUNTIFS('Visit Log'!$C$6:$C$1005,$A42)=0,"No visits",_xlfn.MAXIFS('Visit Log'!$A$6:$A$1005,'Visit Log'!$C$6:$C$1005,$A42)))</f>
        <v/>
      </c>
    </row>
    <row r="43">
      <c r="A43" s="34" t="inlineStr">
        <is>
          <t>Fever-Tree | BevMo!</t>
        </is>
      </c>
      <c r="B43" s="43" t="inlineStr">
        <is>
          <t>Fever-Tree</t>
        </is>
      </c>
      <c r="C43" s="36" t="inlineStr">
        <is>
          <t>BevMo!</t>
        </is>
      </c>
      <c r="D43" s="36" t="inlineStr">
        <is>
          <t>BevMo!</t>
        </is>
      </c>
      <c r="E43" s="36" t="inlineStr">
        <is>
          <t>Authorized stores</t>
        </is>
      </c>
      <c r="F43" s="36" t="n"/>
      <c r="G43" s="36" t="n"/>
      <c r="H43" s="36" t="inlineStr">
        <is>
          <t>~23 SKUs per authorized store</t>
        </is>
      </c>
      <c r="I43" s="36" t="n"/>
      <c r="J43" s="36" t="inlineStr">
        <is>
          <t>Fully merchandised mixer set</t>
        </is>
      </c>
      <c r="K43" s="36" t="n"/>
      <c r="L43" s="36" t="inlineStr">
        <is>
          <t>Not listed</t>
        </is>
      </c>
      <c r="M43" s="37" t="n"/>
      <c r="N43" s="36" t="inlineStr">
        <is>
          <t>Ongoing</t>
        </is>
      </c>
      <c r="O43" s="38">
        <f>IF($A43="","",IF(COUNTIFS('Promo Calendar'!$A$6:$A$400,$A43,'Promo Calendar'!$L$6:$L$400,"Active")=0,"None active",INDEX('Promo Calendar'!$F$6:$F$400,MATCH($A43,'Promo Calendar'!$O$6:$O$400,0))&amp;IF(COUNTIFS('Promo Calendar'!$A$6:$A$400,$A43,'Promo Calendar'!$L$6:$L$400,"Active")&gt;1," (+"&amp;(COUNTIFS('Promo Calendar'!$A$6:$A$400,$A43,'Promo Calendar'!$L$6:$L$400,"Active")-1)&amp;" more)","")))</f>
        <v/>
      </c>
      <c r="P43" s="39">
        <f>IF($A43="","",IF(COUNTIFS('Promo Calendar'!$A$6:$A$400,$A43,'Promo Calendar'!$L$6:$L$400,"Active",'Promo Calendar'!$G$6:$G$400,"&gt;0")&gt;0,_xlfn.MINIFS('Promo Calendar'!$G$6:$G$400,'Promo Calendar'!$A$6:$A$400,$A43,'Promo Calendar'!$L$6:$L$400,"Active",'Promo Calendar'!$G$6:$G$400,"&gt;0"),IF(M43="","Not set",M43)))</f>
        <v/>
      </c>
      <c r="Q43" s="40">
        <f>IF($A43="","",IF(COUNTIFS('Promo Calendar'!$A$6:$A$400,$A43,'Promo Calendar'!$I$6:$I$400,"&gt;"&amp;TODAY())=0,"None scheduled",_xlfn.MINIFS('Promo Calendar'!$I$6:$I$400,'Promo Calendar'!$A$6:$A$400,$A43,'Promo Calendar'!$I$6:$I$400,"&gt;"&amp;TODAY())))</f>
        <v/>
      </c>
      <c r="R43" s="36" t="inlineStr">
        <is>
          <t>Keep Fever-Tree fully merchandised and maintain approximately 23 SKUs per store where authorized.</t>
        </is>
      </c>
      <c r="S43" s="36" t="n"/>
      <c r="T43" s="36" t="inlineStr">
        <is>
          <t>Non-Alc Chain 9/8/26</t>
        </is>
      </c>
      <c r="U43" s="36" t="inlineStr">
        <is>
          <t>Current (2026)</t>
        </is>
      </c>
      <c r="V43" s="41" t="n"/>
      <c r="W43" s="38">
        <f>IF($A43="","",COUNTIFS('Visit Log'!$C$6:$C$1005,$A43,'Visit Log'!$A$6:$A$1005,"&gt;="&amp;TODAY()-30))</f>
        <v/>
      </c>
      <c r="X43" s="38">
        <f>IF($A43="","",COUNTIFS('Visit Log'!$C$6:$C$1005,$A43,'Visit Log'!$T$6:$T$1005,"Open")+COUNTIFS('Visit Log'!$C$6:$C$1005,$A43,'Visit Log'!$T$6:$T$1005,"In Progress"))</f>
        <v/>
      </c>
      <c r="Y43" s="40">
        <f>IF($A43="","",IF(COUNTIFS('Visit Log'!$C$6:$C$1005,$A43)=0,"No visits",_xlfn.MAXIFS('Visit Log'!$A$6:$A$1005,'Visit Log'!$C$6:$C$1005,$A43)))</f>
        <v/>
      </c>
    </row>
    <row r="44">
      <c r="A44" s="34" t="inlineStr">
        <is>
          <t>Fever-Tree | C&amp;K / Ray's</t>
        </is>
      </c>
      <c r="B44" s="43" t="inlineStr">
        <is>
          <t>Fever-Tree</t>
        </is>
      </c>
      <c r="C44" s="36" t="inlineStr">
        <is>
          <t>C&amp;K Market</t>
        </is>
      </c>
      <c r="D44" s="36" t="inlineStr">
        <is>
          <t>C&amp;K / Ray's</t>
        </is>
      </c>
      <c r="E44" s="36" t="inlineStr">
        <is>
          <t>Oregon</t>
        </is>
      </c>
      <c r="F44" s="36" t="n"/>
      <c r="G44" s="36" t="n"/>
      <c r="H44" s="36" t="inlineStr">
        <is>
          <t>Fever-Tree DSD set</t>
        </is>
      </c>
      <c r="I44" s="36" t="n"/>
      <c r="J44" s="36" t="inlineStr">
        <is>
          <t>Per store planogram - confirm</t>
        </is>
      </c>
      <c r="K44" s="36" t="n"/>
      <c r="L44" s="36" t="inlineStr">
        <is>
          <t>Not listed</t>
        </is>
      </c>
      <c r="M44" s="37" t="n"/>
      <c r="N44" s="36" t="inlineStr">
        <is>
          <t>Ongoing</t>
        </is>
      </c>
      <c r="O44" s="38">
        <f>IF($A44="","",IF(COUNTIFS('Promo Calendar'!$A$6:$A$400,$A44,'Promo Calendar'!$L$6:$L$400,"Active")=0,"None active",INDEX('Promo Calendar'!$F$6:$F$400,MATCH($A44,'Promo Calendar'!$O$6:$O$400,0))&amp;IF(COUNTIFS('Promo Calendar'!$A$6:$A$400,$A44,'Promo Calendar'!$L$6:$L$400,"Active")&gt;1," (+"&amp;(COUNTIFS('Promo Calendar'!$A$6:$A$400,$A44,'Promo Calendar'!$L$6:$L$400,"Active")-1)&amp;" more)","")))</f>
        <v/>
      </c>
      <c r="P44" s="39">
        <f>IF($A44="","",IF(COUNTIFS('Promo Calendar'!$A$6:$A$400,$A44,'Promo Calendar'!$L$6:$L$400,"Active",'Promo Calendar'!$G$6:$G$400,"&gt;0")&gt;0,_xlfn.MINIFS('Promo Calendar'!$G$6:$G$400,'Promo Calendar'!$A$6:$A$400,$A44,'Promo Calendar'!$L$6:$L$400,"Active",'Promo Calendar'!$G$6:$G$400,"&gt;0"),IF(M44="","Not set",M44)))</f>
        <v/>
      </c>
      <c r="Q44" s="40">
        <f>IF($A44="","",IF(COUNTIFS('Promo Calendar'!$A$6:$A$400,$A44,'Promo Calendar'!$I$6:$I$400,"&gt;"&amp;TODAY())=0,"None scheduled",_xlfn.MINIFS('Promo Calendar'!$I$6:$I$400,'Promo Calendar'!$A$6:$A$400,$A44,'Promo Calendar'!$I$6:$I$400,"&gt;"&amp;TODAY())))</f>
        <v/>
      </c>
      <c r="R44" s="36" t="inlineStr">
        <is>
          <t>Support new DSD distribution and drive incremental distribution opportunities.</t>
        </is>
      </c>
      <c r="S44" s="36" t="n"/>
      <c r="T44" s="36" t="inlineStr">
        <is>
          <t>Non-Alc Chain 9/8/26</t>
        </is>
      </c>
      <c r="U44" s="36" t="inlineStr">
        <is>
          <t>Current (2026)</t>
        </is>
      </c>
      <c r="V44" s="41" t="n"/>
      <c r="W44" s="38">
        <f>IF($A44="","",COUNTIFS('Visit Log'!$C$6:$C$1005,$A44,'Visit Log'!$A$6:$A$1005,"&gt;="&amp;TODAY()-30))</f>
        <v/>
      </c>
      <c r="X44" s="38">
        <f>IF($A44="","",COUNTIFS('Visit Log'!$C$6:$C$1005,$A44,'Visit Log'!$T$6:$T$1005,"Open")+COUNTIFS('Visit Log'!$C$6:$C$1005,$A44,'Visit Log'!$T$6:$T$1005,"In Progress"))</f>
        <v/>
      </c>
      <c r="Y44" s="40">
        <f>IF($A44="","",IF(COUNTIFS('Visit Log'!$C$6:$C$1005,$A44)=0,"No visits",_xlfn.MAXIFS('Visit Log'!$A$6:$A$1005,'Visit Log'!$C$6:$C$1005,$A44)))</f>
        <v/>
      </c>
    </row>
    <row r="45">
      <c r="A45" s="34" t="inlineStr">
        <is>
          <t>Fever-Tree | Harmons</t>
        </is>
      </c>
      <c r="B45" s="43" t="inlineStr">
        <is>
          <t>Fever-Tree</t>
        </is>
      </c>
      <c r="C45" s="36" t="inlineStr">
        <is>
          <t>Harmons</t>
        </is>
      </c>
      <c r="D45" s="36" t="inlineStr">
        <is>
          <t>Harmons</t>
        </is>
      </c>
      <c r="E45" s="36" t="inlineStr">
        <is>
          <t>Utah</t>
        </is>
      </c>
      <c r="F45" s="36" t="n"/>
      <c r="G45" s="36" t="n"/>
      <c r="H45" s="36" t="inlineStr">
        <is>
          <t>4pk, 8pk, 500mL</t>
        </is>
      </c>
      <c r="I45" s="36" t="inlineStr">
        <is>
          <t>Est. 50 cases per store for display</t>
        </is>
      </c>
      <c r="J45" s="36" t="inlineStr">
        <is>
          <t>Ad feature + 4-week endcap; display 3 months (Aug / Nov / Dec)</t>
        </is>
      </c>
      <c r="K45" s="36" t="n"/>
      <c r="L45" s="36" t="inlineStr">
        <is>
          <t>TPR: 4pk $4.99, 8pk $5.99, 500mL 2 for $5</t>
        </is>
      </c>
      <c r="M45" s="37" t="n"/>
      <c r="N45" s="36" t="inlineStr">
        <is>
          <t>Aug / Nov / Dec 2026</t>
        </is>
      </c>
      <c r="O45" s="38">
        <f>IF($A45="","",IF(COUNTIFS('Promo Calendar'!$A$6:$A$400,$A45,'Promo Calendar'!$L$6:$L$400,"Active")=0,"None active",INDEX('Promo Calendar'!$F$6:$F$400,MATCH($A45,'Promo Calendar'!$O$6:$O$400,0))&amp;IF(COUNTIFS('Promo Calendar'!$A$6:$A$400,$A45,'Promo Calendar'!$L$6:$L$400,"Active")&gt;1," (+"&amp;(COUNTIFS('Promo Calendar'!$A$6:$A$400,$A45,'Promo Calendar'!$L$6:$L$400,"Active")-1)&amp;" more)","")))</f>
        <v/>
      </c>
      <c r="P45" s="39">
        <f>IF($A45="","",IF(COUNTIFS('Promo Calendar'!$A$6:$A$400,$A45,'Promo Calendar'!$L$6:$L$400,"Active",'Promo Calendar'!$G$6:$G$400,"&gt;0")&gt;0,_xlfn.MINIFS('Promo Calendar'!$G$6:$G$400,'Promo Calendar'!$A$6:$A$400,$A45,'Promo Calendar'!$L$6:$L$400,"Active",'Promo Calendar'!$G$6:$G$400,"&gt;0"),IF(M45="","Not set",M45)))</f>
        <v/>
      </c>
      <c r="Q45" s="40">
        <f>IF($A45="","",IF(COUNTIFS('Promo Calendar'!$A$6:$A$400,$A45,'Promo Calendar'!$I$6:$I$400,"&gt;"&amp;TODAY())=0,"None scheduled",_xlfn.MINIFS('Promo Calendar'!$I$6:$I$400,'Promo Calendar'!$A$6:$A$400,$A45,'Promo Calendar'!$I$6:$I$400,"&gt;"&amp;TODAY())))</f>
        <v/>
      </c>
      <c r="R45" s="36" t="inlineStr">
        <is>
          <t>Display three months. Estimate 50 cases per store. Ad feature + 4-week endcap.</t>
        </is>
      </c>
      <c r="S45" s="36" t="n"/>
      <c r="T45" s="36" t="inlineStr">
        <is>
          <t>Non-Alc Chain 9/8/26</t>
        </is>
      </c>
      <c r="U45" s="36" t="inlineStr">
        <is>
          <t>Current (2026)</t>
        </is>
      </c>
      <c r="V45" s="41" t="n"/>
      <c r="W45" s="38">
        <f>IF($A45="","",COUNTIFS('Visit Log'!$C$6:$C$1005,$A45,'Visit Log'!$A$6:$A$1005,"&gt;="&amp;TODAY()-30))</f>
        <v/>
      </c>
      <c r="X45" s="38">
        <f>IF($A45="","",COUNTIFS('Visit Log'!$C$6:$C$1005,$A45,'Visit Log'!$T$6:$T$1005,"Open")+COUNTIFS('Visit Log'!$C$6:$C$1005,$A45,'Visit Log'!$T$6:$T$1005,"In Progress"))</f>
        <v/>
      </c>
      <c r="Y45" s="40">
        <f>IF($A45="","",IF(COUNTIFS('Visit Log'!$C$6:$C$1005,$A45)=0,"No visits",_xlfn.MAXIFS('Visit Log'!$A$6:$A$1005,'Visit Log'!$C$6:$C$1005,$A45)))</f>
        <v/>
      </c>
    </row>
    <row r="46">
      <c r="A46" s="34" t="inlineStr">
        <is>
          <t>Fever-Tree | Kroger (proposed plan)</t>
        </is>
      </c>
      <c r="B46" s="43" t="inlineStr">
        <is>
          <t>Fever-Tree</t>
        </is>
      </c>
      <c r="C46" s="36" t="inlineStr">
        <is>
          <t>Kroger</t>
        </is>
      </c>
      <c r="D46" s="36" t="inlineStr">
        <is>
          <t>Kroger (proposed plan)</t>
        </is>
      </c>
      <c r="E46" s="36" t="inlineStr">
        <is>
          <t>Kroger divisions</t>
        </is>
      </c>
      <c r="F46" s="36" t="n"/>
      <c r="G46" s="36" t="n"/>
      <c r="H46" s="36" t="inlineStr">
        <is>
          <t>Fever-Tree Kroger set</t>
        </is>
      </c>
      <c r="I46" s="36" t="n"/>
      <c r="J46" s="36" t="inlineStr">
        <is>
          <t>Merchandising / display per plan</t>
        </is>
      </c>
      <c r="K46" s="36" t="n"/>
      <c r="L46" s="36" t="inlineStr">
        <is>
          <t>Promotional scans + digital offers</t>
        </is>
      </c>
      <c r="M46" s="37" t="n"/>
      <c r="N46" s="36" t="inlineStr">
        <is>
          <t>P10-P13</t>
        </is>
      </c>
      <c r="O46" s="38">
        <f>IF($A46="","",IF(COUNTIFS('Promo Calendar'!$A$6:$A$400,$A46,'Promo Calendar'!$L$6:$L$400,"Active")=0,"None active",INDEX('Promo Calendar'!$F$6:$F$400,MATCH($A46,'Promo Calendar'!$O$6:$O$400,0))&amp;IF(COUNTIFS('Promo Calendar'!$A$6:$A$400,$A46,'Promo Calendar'!$L$6:$L$400,"Active")&gt;1," (+"&amp;(COUNTIFS('Promo Calendar'!$A$6:$A$400,$A46,'Promo Calendar'!$L$6:$L$400,"Active")-1)&amp;" more)","")))</f>
        <v/>
      </c>
      <c r="P46" s="39">
        <f>IF($A46="","",IF(COUNTIFS('Promo Calendar'!$A$6:$A$400,$A46,'Promo Calendar'!$L$6:$L$400,"Active",'Promo Calendar'!$G$6:$G$400,"&gt;0")&gt;0,_xlfn.MINIFS('Promo Calendar'!$G$6:$G$400,'Promo Calendar'!$A$6:$A$400,$A46,'Promo Calendar'!$L$6:$L$400,"Active",'Promo Calendar'!$G$6:$G$400,"&gt;0"),IF(M46="","Not set",M46)))</f>
        <v/>
      </c>
      <c r="Q46" s="40">
        <f>IF($A46="","",IF(COUNTIFS('Promo Calendar'!$A$6:$A$400,$A46,'Promo Calendar'!$I$6:$I$400,"&gt;"&amp;TODAY())=0,"None scheduled",_xlfn.MINIFS('Promo Calendar'!$I$6:$I$400,'Promo Calendar'!$A$6:$A$400,$A46,'Promo Calendar'!$I$6:$I$400,"&gt;"&amp;TODAY())))</f>
        <v/>
      </c>
      <c r="R46" s="36" t="inlineStr">
        <is>
          <t>Promotional scans, merchandising/display, digital offers and paid media. Detailed proposed plan remains in the source PowerPoint.</t>
        </is>
      </c>
      <c r="S46" s="36" t="n"/>
      <c r="T46" s="36" t="inlineStr">
        <is>
          <t>Non-Alc Chain 9/8/26</t>
        </is>
      </c>
      <c r="U46" s="36" t="inlineStr">
        <is>
          <t>Confirm for 2026</t>
        </is>
      </c>
      <c r="V46" s="41" t="n"/>
      <c r="W46" s="38">
        <f>IF($A46="","",COUNTIFS('Visit Log'!$C$6:$C$1005,$A46,'Visit Log'!$A$6:$A$1005,"&gt;="&amp;TODAY()-30))</f>
        <v/>
      </c>
      <c r="X46" s="38">
        <f>IF($A46="","",COUNTIFS('Visit Log'!$C$6:$C$1005,$A46,'Visit Log'!$T$6:$T$1005,"Open")+COUNTIFS('Visit Log'!$C$6:$C$1005,$A46,'Visit Log'!$T$6:$T$1005,"In Progress"))</f>
        <v/>
      </c>
      <c r="Y46" s="40">
        <f>IF($A46="","",IF(COUNTIFS('Visit Log'!$C$6:$C$1005,$A46)=0,"No visits",_xlfn.MAXIFS('Visit Log'!$A$6:$A$1005,'Visit Log'!$C$6:$C$1005,$A46)))</f>
        <v/>
      </c>
    </row>
    <row r="47">
      <c r="A47" s="34" t="inlineStr">
        <is>
          <t>Naked Life | WFM September Feature</t>
        </is>
      </c>
      <c r="B47" s="44" t="inlineStr">
        <is>
          <t>Naked Life</t>
        </is>
      </c>
      <c r="C47" s="36" t="inlineStr">
        <is>
          <t>Whole Foods Market</t>
        </is>
      </c>
      <c r="D47" s="36" t="inlineStr">
        <is>
          <t>WFM September Feature</t>
        </is>
      </c>
      <c r="E47" s="36" t="inlineStr">
        <is>
          <t>DSD: WA, OR, CA, TX | Broadliner: FL; MA/NJ/MD dry stores only</t>
        </is>
      </c>
      <c r="F47" s="36" t="n"/>
      <c r="G47" s="36" t="n"/>
      <c r="H47" s="36" t="inlineStr">
        <is>
          <t>Margarita 4pk 12oz cans; Mojito 4pk 12oz cans</t>
        </is>
      </c>
      <c r="I47" s="36" t="inlineStr">
        <is>
          <t>Initial 1-case shelf placement; reorders allowed during feature</t>
        </is>
      </c>
      <c r="J47" s="36" t="inlineStr">
        <is>
          <t>Shelf feature; Gouda case stack: CA 1 dry store (Laguna Beach), MA/NJ/MD half of dry stores</t>
        </is>
      </c>
      <c r="K47" s="36" t="inlineStr">
        <is>
          <t>Cost to WFM: $33.03 promo / $38.25 everyday</t>
        </is>
      </c>
      <c r="L47" s="36" t="inlineStr">
        <is>
          <t>Everyday SRP $10.99; promo $9.49</t>
        </is>
      </c>
      <c r="M47" s="37" t="n">
        <v>10.99</v>
      </c>
      <c r="N47" s="36" t="inlineStr">
        <is>
          <t>Orders week of 8/24; feature 9/2-10/6/2026 (5 weeks)</t>
        </is>
      </c>
      <c r="O47" s="38">
        <f>IF($A47="","",IF(COUNTIFS('Promo Calendar'!$A$6:$A$400,$A47,'Promo Calendar'!$L$6:$L$400,"Active")=0,"None active",INDEX('Promo Calendar'!$F$6:$F$400,MATCH($A47,'Promo Calendar'!$O$6:$O$400,0))&amp;IF(COUNTIFS('Promo Calendar'!$A$6:$A$400,$A47,'Promo Calendar'!$L$6:$L$400,"Active")&gt;1," (+"&amp;(COUNTIFS('Promo Calendar'!$A$6:$A$400,$A47,'Promo Calendar'!$L$6:$L$400,"Active")-1)&amp;" more)","")))</f>
        <v/>
      </c>
      <c r="P47" s="39">
        <f>IF($A47="","",IF(COUNTIFS('Promo Calendar'!$A$6:$A$400,$A47,'Promo Calendar'!$L$6:$L$400,"Active",'Promo Calendar'!$G$6:$G$400,"&gt;0")&gt;0,_xlfn.MINIFS('Promo Calendar'!$G$6:$G$400,'Promo Calendar'!$A$6:$A$400,$A47,'Promo Calendar'!$L$6:$L$400,"Active",'Promo Calendar'!$G$6:$G$400,"&gt;0"),IF(M47="","Not set",M47)))</f>
        <v/>
      </c>
      <c r="Q47" s="40">
        <f>IF($A47="","",IF(COUNTIFS('Promo Calendar'!$A$6:$A$400,$A47,'Promo Calendar'!$I$6:$I$400,"&gt;"&amp;TODAY())=0,"None scheduled",_xlfn.MINIFS('Promo Calendar'!$I$6:$I$400,'Promo Calendar'!$A$6:$A$400,$A47,'Promo Calendar'!$I$6:$I$400,"&gt;"&amp;TODAY())))</f>
        <v/>
      </c>
      <c r="R47" s="36" t="inlineStr">
        <is>
          <t>Execution success = initial order quantity delivered. Confirm promo costing is entered in WFM VIP. Support: influencer + media campaign, 50 WFM sampling demos. Items may remain in flex stores after program.</t>
        </is>
      </c>
      <c r="S47" s="36" t="n"/>
      <c r="T47" s="36" t="inlineStr">
        <is>
          <t>Non-Alc Chain 9/8/26</t>
        </is>
      </c>
      <c r="U47" s="36" t="inlineStr">
        <is>
          <t>Current (2026)</t>
        </is>
      </c>
      <c r="V47" s="41" t="n"/>
      <c r="W47" s="38">
        <f>IF($A47="","",COUNTIFS('Visit Log'!$C$6:$C$1005,$A47,'Visit Log'!$A$6:$A$1005,"&gt;="&amp;TODAY()-30))</f>
        <v/>
      </c>
      <c r="X47" s="38">
        <f>IF($A47="","",COUNTIFS('Visit Log'!$C$6:$C$1005,$A47,'Visit Log'!$T$6:$T$1005,"Open")+COUNTIFS('Visit Log'!$C$6:$C$1005,$A47,'Visit Log'!$T$6:$T$1005,"In Progress"))</f>
        <v/>
      </c>
      <c r="Y47" s="40">
        <f>IF($A47="","",IF(COUNTIFS('Visit Log'!$C$6:$C$1005,$A47)=0,"No visits",_xlfn.MAXIFS('Visit Log'!$A$6:$A$1005,'Visit Log'!$C$6:$C$1005,$A47)))</f>
        <v/>
      </c>
    </row>
    <row r="48">
      <c r="O48" s="38">
        <f>IF($A48="","",IF(COUNTIFS('Promo Calendar'!$A$6:$A$400,$A48,'Promo Calendar'!$L$6:$L$400,"Active")=0,"None active",INDEX('Promo Calendar'!$F$6:$F$400,MATCH($A48,'Promo Calendar'!$O$6:$O$400,0))&amp;IF(COUNTIFS('Promo Calendar'!$A$6:$A$400,$A48,'Promo Calendar'!$L$6:$L$400,"Active")&gt;1," (+"&amp;(COUNTIFS('Promo Calendar'!$A$6:$A$400,$A48,'Promo Calendar'!$L$6:$L$400,"Active")-1)&amp;" more)","")))</f>
        <v/>
      </c>
      <c r="P48" s="39">
        <f>IF($A48="","",IF(COUNTIFS('Promo Calendar'!$A$6:$A$400,$A48,'Promo Calendar'!$L$6:$L$400,"Active",'Promo Calendar'!$G$6:$G$400,"&gt;0")&gt;0,_xlfn.MINIFS('Promo Calendar'!$G$6:$G$400,'Promo Calendar'!$A$6:$A$400,$A48,'Promo Calendar'!$L$6:$L$400,"Active",'Promo Calendar'!$G$6:$G$400,"&gt;0"),IF(M48="","Not set",M48)))</f>
        <v/>
      </c>
      <c r="Q48" s="40">
        <f>IF($A48="","",IF(COUNTIFS('Promo Calendar'!$A$6:$A$400,$A48,'Promo Calendar'!$I$6:$I$400,"&gt;"&amp;TODAY())=0,"None scheduled",_xlfn.MINIFS('Promo Calendar'!$I$6:$I$400,'Promo Calendar'!$A$6:$A$400,$A48,'Promo Calendar'!$I$6:$I$400,"&gt;"&amp;TODAY())))</f>
        <v/>
      </c>
      <c r="W48" s="38">
        <f>IF($A48="","",COUNTIFS('Visit Log'!$C$6:$C$1005,$A48,'Visit Log'!$A$6:$A$1005,"&gt;="&amp;TODAY()-30))</f>
        <v/>
      </c>
      <c r="X48" s="38">
        <f>IF($A48="","",COUNTIFS('Visit Log'!$C$6:$C$1005,$A48,'Visit Log'!$T$6:$T$1005,"Open")+COUNTIFS('Visit Log'!$C$6:$C$1005,$A48,'Visit Log'!$T$6:$T$1005,"In Progress"))</f>
        <v/>
      </c>
      <c r="Y48" s="40">
        <f>IF($A48="","",IF(COUNTIFS('Visit Log'!$C$6:$C$1005,$A48)=0,"No visits",_xlfn.MAXIFS('Visit Log'!$A$6:$A$1005,'Visit Log'!$C$6:$C$1005,$A48)))</f>
        <v/>
      </c>
    </row>
    <row r="49">
      <c r="O49" s="38">
        <f>IF($A49="","",IF(COUNTIFS('Promo Calendar'!$A$6:$A$400,$A49,'Promo Calendar'!$L$6:$L$400,"Active")=0,"None active",INDEX('Promo Calendar'!$F$6:$F$400,MATCH($A49,'Promo Calendar'!$O$6:$O$400,0))&amp;IF(COUNTIFS('Promo Calendar'!$A$6:$A$400,$A49,'Promo Calendar'!$L$6:$L$400,"Active")&gt;1," (+"&amp;(COUNTIFS('Promo Calendar'!$A$6:$A$400,$A49,'Promo Calendar'!$L$6:$L$400,"Active")-1)&amp;" more)","")))</f>
        <v/>
      </c>
      <c r="P49" s="39">
        <f>IF($A49="","",IF(COUNTIFS('Promo Calendar'!$A$6:$A$400,$A49,'Promo Calendar'!$L$6:$L$400,"Active",'Promo Calendar'!$G$6:$G$400,"&gt;0")&gt;0,_xlfn.MINIFS('Promo Calendar'!$G$6:$G$400,'Promo Calendar'!$A$6:$A$400,$A49,'Promo Calendar'!$L$6:$L$400,"Active",'Promo Calendar'!$G$6:$G$400,"&gt;0"),IF(M49="","Not set",M49)))</f>
        <v/>
      </c>
      <c r="Q49" s="40">
        <f>IF($A49="","",IF(COUNTIFS('Promo Calendar'!$A$6:$A$400,$A49,'Promo Calendar'!$I$6:$I$400,"&gt;"&amp;TODAY())=0,"None scheduled",_xlfn.MINIFS('Promo Calendar'!$I$6:$I$400,'Promo Calendar'!$A$6:$A$400,$A49,'Promo Calendar'!$I$6:$I$400,"&gt;"&amp;TODAY())))</f>
        <v/>
      </c>
      <c r="W49" s="38">
        <f>IF($A49="","",COUNTIFS('Visit Log'!$C$6:$C$1005,$A49,'Visit Log'!$A$6:$A$1005,"&gt;="&amp;TODAY()-30))</f>
        <v/>
      </c>
      <c r="X49" s="38">
        <f>IF($A49="","",COUNTIFS('Visit Log'!$C$6:$C$1005,$A49,'Visit Log'!$T$6:$T$1005,"Open")+COUNTIFS('Visit Log'!$C$6:$C$1005,$A49,'Visit Log'!$T$6:$T$1005,"In Progress"))</f>
        <v/>
      </c>
      <c r="Y49" s="40">
        <f>IF($A49="","",IF(COUNTIFS('Visit Log'!$C$6:$C$1005,$A49)=0,"No visits",_xlfn.MAXIFS('Visit Log'!$A$6:$A$1005,'Visit Log'!$C$6:$C$1005,$A49)))</f>
        <v/>
      </c>
    </row>
    <row r="50">
      <c r="O50" s="38">
        <f>IF($A50="","",IF(COUNTIFS('Promo Calendar'!$A$6:$A$400,$A50,'Promo Calendar'!$L$6:$L$400,"Active")=0,"None active",INDEX('Promo Calendar'!$F$6:$F$400,MATCH($A50,'Promo Calendar'!$O$6:$O$400,0))&amp;IF(COUNTIFS('Promo Calendar'!$A$6:$A$400,$A50,'Promo Calendar'!$L$6:$L$400,"Active")&gt;1," (+"&amp;(COUNTIFS('Promo Calendar'!$A$6:$A$400,$A50,'Promo Calendar'!$L$6:$L$400,"Active")-1)&amp;" more)","")))</f>
        <v/>
      </c>
      <c r="P50" s="39">
        <f>IF($A50="","",IF(COUNTIFS('Promo Calendar'!$A$6:$A$400,$A50,'Promo Calendar'!$L$6:$L$400,"Active",'Promo Calendar'!$G$6:$G$400,"&gt;0")&gt;0,_xlfn.MINIFS('Promo Calendar'!$G$6:$G$400,'Promo Calendar'!$A$6:$A$400,$A50,'Promo Calendar'!$L$6:$L$400,"Active",'Promo Calendar'!$G$6:$G$400,"&gt;0"),IF(M50="","Not set",M50)))</f>
        <v/>
      </c>
      <c r="Q50" s="40">
        <f>IF($A50="","",IF(COUNTIFS('Promo Calendar'!$A$6:$A$400,$A50,'Promo Calendar'!$I$6:$I$400,"&gt;"&amp;TODAY())=0,"None scheduled",_xlfn.MINIFS('Promo Calendar'!$I$6:$I$400,'Promo Calendar'!$A$6:$A$400,$A50,'Promo Calendar'!$I$6:$I$400,"&gt;"&amp;TODAY())))</f>
        <v/>
      </c>
      <c r="W50" s="38">
        <f>IF($A50="","",COUNTIFS('Visit Log'!$C$6:$C$1005,$A50,'Visit Log'!$A$6:$A$1005,"&gt;="&amp;TODAY()-30))</f>
        <v/>
      </c>
      <c r="X50" s="38">
        <f>IF($A50="","",COUNTIFS('Visit Log'!$C$6:$C$1005,$A50,'Visit Log'!$T$6:$T$1005,"Open")+COUNTIFS('Visit Log'!$C$6:$C$1005,$A50,'Visit Log'!$T$6:$T$1005,"In Progress"))</f>
        <v/>
      </c>
      <c r="Y50" s="40">
        <f>IF($A50="","",IF(COUNTIFS('Visit Log'!$C$6:$C$1005,$A50)=0,"No visits",_xlfn.MAXIFS('Visit Log'!$A$6:$A$1005,'Visit Log'!$C$6:$C$1005,$A50)))</f>
        <v/>
      </c>
    </row>
    <row r="51">
      <c r="O51" s="38">
        <f>IF($A51="","",IF(COUNTIFS('Promo Calendar'!$A$6:$A$400,$A51,'Promo Calendar'!$L$6:$L$400,"Active")=0,"None active",INDEX('Promo Calendar'!$F$6:$F$400,MATCH($A51,'Promo Calendar'!$O$6:$O$400,0))&amp;IF(COUNTIFS('Promo Calendar'!$A$6:$A$400,$A51,'Promo Calendar'!$L$6:$L$400,"Active")&gt;1," (+"&amp;(COUNTIFS('Promo Calendar'!$A$6:$A$400,$A51,'Promo Calendar'!$L$6:$L$400,"Active")-1)&amp;" more)","")))</f>
        <v/>
      </c>
      <c r="P51" s="39">
        <f>IF($A51="","",IF(COUNTIFS('Promo Calendar'!$A$6:$A$400,$A51,'Promo Calendar'!$L$6:$L$400,"Active",'Promo Calendar'!$G$6:$G$400,"&gt;0")&gt;0,_xlfn.MINIFS('Promo Calendar'!$G$6:$G$400,'Promo Calendar'!$A$6:$A$400,$A51,'Promo Calendar'!$L$6:$L$400,"Active",'Promo Calendar'!$G$6:$G$400,"&gt;0"),IF(M51="","Not set",M51)))</f>
        <v/>
      </c>
      <c r="Q51" s="40">
        <f>IF($A51="","",IF(COUNTIFS('Promo Calendar'!$A$6:$A$400,$A51,'Promo Calendar'!$I$6:$I$400,"&gt;"&amp;TODAY())=0,"None scheduled",_xlfn.MINIFS('Promo Calendar'!$I$6:$I$400,'Promo Calendar'!$A$6:$A$400,$A51,'Promo Calendar'!$I$6:$I$400,"&gt;"&amp;TODAY())))</f>
        <v/>
      </c>
      <c r="W51" s="38">
        <f>IF($A51="","",COUNTIFS('Visit Log'!$C$6:$C$1005,$A51,'Visit Log'!$A$6:$A$1005,"&gt;="&amp;TODAY()-30))</f>
        <v/>
      </c>
      <c r="X51" s="38">
        <f>IF($A51="","",COUNTIFS('Visit Log'!$C$6:$C$1005,$A51,'Visit Log'!$T$6:$T$1005,"Open")+COUNTIFS('Visit Log'!$C$6:$C$1005,$A51,'Visit Log'!$T$6:$T$1005,"In Progress"))</f>
        <v/>
      </c>
      <c r="Y51" s="40">
        <f>IF($A51="","",IF(COUNTIFS('Visit Log'!$C$6:$C$1005,$A51)=0,"No visits",_xlfn.MAXIFS('Visit Log'!$A$6:$A$1005,'Visit Log'!$C$6:$C$1005,$A51)))</f>
        <v/>
      </c>
    </row>
    <row r="52">
      <c r="O52" s="38">
        <f>IF($A52="","",IF(COUNTIFS('Promo Calendar'!$A$6:$A$400,$A52,'Promo Calendar'!$L$6:$L$400,"Active")=0,"None active",INDEX('Promo Calendar'!$F$6:$F$400,MATCH($A52,'Promo Calendar'!$O$6:$O$400,0))&amp;IF(COUNTIFS('Promo Calendar'!$A$6:$A$400,$A52,'Promo Calendar'!$L$6:$L$400,"Active")&gt;1," (+"&amp;(COUNTIFS('Promo Calendar'!$A$6:$A$400,$A52,'Promo Calendar'!$L$6:$L$400,"Active")-1)&amp;" more)","")))</f>
        <v/>
      </c>
      <c r="P52" s="39">
        <f>IF($A52="","",IF(COUNTIFS('Promo Calendar'!$A$6:$A$400,$A52,'Promo Calendar'!$L$6:$L$400,"Active",'Promo Calendar'!$G$6:$G$400,"&gt;0")&gt;0,_xlfn.MINIFS('Promo Calendar'!$G$6:$G$400,'Promo Calendar'!$A$6:$A$400,$A52,'Promo Calendar'!$L$6:$L$400,"Active",'Promo Calendar'!$G$6:$G$400,"&gt;0"),IF(M52="","Not set",M52)))</f>
        <v/>
      </c>
      <c r="Q52" s="40">
        <f>IF($A52="","",IF(COUNTIFS('Promo Calendar'!$A$6:$A$400,$A52,'Promo Calendar'!$I$6:$I$400,"&gt;"&amp;TODAY())=0,"None scheduled",_xlfn.MINIFS('Promo Calendar'!$I$6:$I$400,'Promo Calendar'!$A$6:$A$400,$A52,'Promo Calendar'!$I$6:$I$400,"&gt;"&amp;TODAY())))</f>
        <v/>
      </c>
      <c r="W52" s="38">
        <f>IF($A52="","",COUNTIFS('Visit Log'!$C$6:$C$1005,$A52,'Visit Log'!$A$6:$A$1005,"&gt;="&amp;TODAY()-30))</f>
        <v/>
      </c>
      <c r="X52" s="38">
        <f>IF($A52="","",COUNTIFS('Visit Log'!$C$6:$C$1005,$A52,'Visit Log'!$T$6:$T$1005,"Open")+COUNTIFS('Visit Log'!$C$6:$C$1005,$A52,'Visit Log'!$T$6:$T$1005,"In Progress"))</f>
        <v/>
      </c>
      <c r="Y52" s="40">
        <f>IF($A52="","",IF(COUNTIFS('Visit Log'!$C$6:$C$1005,$A52)=0,"No visits",_xlfn.MAXIFS('Visit Log'!$A$6:$A$1005,'Visit Log'!$C$6:$C$1005,$A52)))</f>
        <v/>
      </c>
    </row>
    <row r="53">
      <c r="O53" s="38">
        <f>IF($A53="","",IF(COUNTIFS('Promo Calendar'!$A$6:$A$400,$A53,'Promo Calendar'!$L$6:$L$400,"Active")=0,"None active",INDEX('Promo Calendar'!$F$6:$F$400,MATCH($A53,'Promo Calendar'!$O$6:$O$400,0))&amp;IF(COUNTIFS('Promo Calendar'!$A$6:$A$400,$A53,'Promo Calendar'!$L$6:$L$400,"Active")&gt;1," (+"&amp;(COUNTIFS('Promo Calendar'!$A$6:$A$400,$A53,'Promo Calendar'!$L$6:$L$400,"Active")-1)&amp;" more)","")))</f>
        <v/>
      </c>
      <c r="P53" s="39">
        <f>IF($A53="","",IF(COUNTIFS('Promo Calendar'!$A$6:$A$400,$A53,'Promo Calendar'!$L$6:$L$400,"Active",'Promo Calendar'!$G$6:$G$400,"&gt;0")&gt;0,_xlfn.MINIFS('Promo Calendar'!$G$6:$G$400,'Promo Calendar'!$A$6:$A$400,$A53,'Promo Calendar'!$L$6:$L$400,"Active",'Promo Calendar'!$G$6:$G$400,"&gt;0"),IF(M53="","Not set",M53)))</f>
        <v/>
      </c>
      <c r="Q53" s="40">
        <f>IF($A53="","",IF(COUNTIFS('Promo Calendar'!$A$6:$A$400,$A53,'Promo Calendar'!$I$6:$I$400,"&gt;"&amp;TODAY())=0,"None scheduled",_xlfn.MINIFS('Promo Calendar'!$I$6:$I$400,'Promo Calendar'!$A$6:$A$400,$A53,'Promo Calendar'!$I$6:$I$400,"&gt;"&amp;TODAY())))</f>
        <v/>
      </c>
      <c r="W53" s="38">
        <f>IF($A53="","",COUNTIFS('Visit Log'!$C$6:$C$1005,$A53,'Visit Log'!$A$6:$A$1005,"&gt;="&amp;TODAY()-30))</f>
        <v/>
      </c>
      <c r="X53" s="38">
        <f>IF($A53="","",COUNTIFS('Visit Log'!$C$6:$C$1005,$A53,'Visit Log'!$T$6:$T$1005,"Open")+COUNTIFS('Visit Log'!$C$6:$C$1005,$A53,'Visit Log'!$T$6:$T$1005,"In Progress"))</f>
        <v/>
      </c>
      <c r="Y53" s="40">
        <f>IF($A53="","",IF(COUNTIFS('Visit Log'!$C$6:$C$1005,$A53)=0,"No visits",_xlfn.MAXIFS('Visit Log'!$A$6:$A$1005,'Visit Log'!$C$6:$C$1005,$A53)))</f>
        <v/>
      </c>
    </row>
    <row r="54">
      <c r="O54" s="38">
        <f>IF($A54="","",IF(COUNTIFS('Promo Calendar'!$A$6:$A$400,$A54,'Promo Calendar'!$L$6:$L$400,"Active")=0,"None active",INDEX('Promo Calendar'!$F$6:$F$400,MATCH($A54,'Promo Calendar'!$O$6:$O$400,0))&amp;IF(COUNTIFS('Promo Calendar'!$A$6:$A$400,$A54,'Promo Calendar'!$L$6:$L$400,"Active")&gt;1," (+"&amp;(COUNTIFS('Promo Calendar'!$A$6:$A$400,$A54,'Promo Calendar'!$L$6:$L$400,"Active")-1)&amp;" more)","")))</f>
        <v/>
      </c>
      <c r="P54" s="39">
        <f>IF($A54="","",IF(COUNTIFS('Promo Calendar'!$A$6:$A$400,$A54,'Promo Calendar'!$L$6:$L$400,"Active",'Promo Calendar'!$G$6:$G$400,"&gt;0")&gt;0,_xlfn.MINIFS('Promo Calendar'!$G$6:$G$400,'Promo Calendar'!$A$6:$A$400,$A54,'Promo Calendar'!$L$6:$L$400,"Active",'Promo Calendar'!$G$6:$G$400,"&gt;0"),IF(M54="","Not set",M54)))</f>
        <v/>
      </c>
      <c r="Q54" s="40">
        <f>IF($A54="","",IF(COUNTIFS('Promo Calendar'!$A$6:$A$400,$A54,'Promo Calendar'!$I$6:$I$400,"&gt;"&amp;TODAY())=0,"None scheduled",_xlfn.MINIFS('Promo Calendar'!$I$6:$I$400,'Promo Calendar'!$A$6:$A$400,$A54,'Promo Calendar'!$I$6:$I$400,"&gt;"&amp;TODAY())))</f>
        <v/>
      </c>
      <c r="W54" s="38">
        <f>IF($A54="","",COUNTIFS('Visit Log'!$C$6:$C$1005,$A54,'Visit Log'!$A$6:$A$1005,"&gt;="&amp;TODAY()-30))</f>
        <v/>
      </c>
      <c r="X54" s="38">
        <f>IF($A54="","",COUNTIFS('Visit Log'!$C$6:$C$1005,$A54,'Visit Log'!$T$6:$T$1005,"Open")+COUNTIFS('Visit Log'!$C$6:$C$1005,$A54,'Visit Log'!$T$6:$T$1005,"In Progress"))</f>
        <v/>
      </c>
      <c r="Y54" s="40">
        <f>IF($A54="","",IF(COUNTIFS('Visit Log'!$C$6:$C$1005,$A54)=0,"No visits",_xlfn.MAXIFS('Visit Log'!$A$6:$A$1005,'Visit Log'!$C$6:$C$1005,$A54)))</f>
        <v/>
      </c>
    </row>
    <row r="55">
      <c r="O55" s="38">
        <f>IF($A55="","",IF(COUNTIFS('Promo Calendar'!$A$6:$A$400,$A55,'Promo Calendar'!$L$6:$L$400,"Active")=0,"None active",INDEX('Promo Calendar'!$F$6:$F$400,MATCH($A55,'Promo Calendar'!$O$6:$O$400,0))&amp;IF(COUNTIFS('Promo Calendar'!$A$6:$A$400,$A55,'Promo Calendar'!$L$6:$L$400,"Active")&gt;1," (+"&amp;(COUNTIFS('Promo Calendar'!$A$6:$A$400,$A55,'Promo Calendar'!$L$6:$L$400,"Active")-1)&amp;" more)","")))</f>
        <v/>
      </c>
      <c r="P55" s="39">
        <f>IF($A55="","",IF(COUNTIFS('Promo Calendar'!$A$6:$A$400,$A55,'Promo Calendar'!$L$6:$L$400,"Active",'Promo Calendar'!$G$6:$G$400,"&gt;0")&gt;0,_xlfn.MINIFS('Promo Calendar'!$G$6:$G$400,'Promo Calendar'!$A$6:$A$400,$A55,'Promo Calendar'!$L$6:$L$400,"Active",'Promo Calendar'!$G$6:$G$400,"&gt;0"),IF(M55="","Not set",M55)))</f>
        <v/>
      </c>
      <c r="Q55" s="40">
        <f>IF($A55="","",IF(COUNTIFS('Promo Calendar'!$A$6:$A$400,$A55,'Promo Calendar'!$I$6:$I$400,"&gt;"&amp;TODAY())=0,"None scheduled",_xlfn.MINIFS('Promo Calendar'!$I$6:$I$400,'Promo Calendar'!$A$6:$A$400,$A55,'Promo Calendar'!$I$6:$I$400,"&gt;"&amp;TODAY())))</f>
        <v/>
      </c>
      <c r="W55" s="38">
        <f>IF($A55="","",COUNTIFS('Visit Log'!$C$6:$C$1005,$A55,'Visit Log'!$A$6:$A$1005,"&gt;="&amp;TODAY()-30))</f>
        <v/>
      </c>
      <c r="X55" s="38">
        <f>IF($A55="","",COUNTIFS('Visit Log'!$C$6:$C$1005,$A55,'Visit Log'!$T$6:$T$1005,"Open")+COUNTIFS('Visit Log'!$C$6:$C$1005,$A55,'Visit Log'!$T$6:$T$1005,"In Progress"))</f>
        <v/>
      </c>
      <c r="Y55" s="40">
        <f>IF($A55="","",IF(COUNTIFS('Visit Log'!$C$6:$C$1005,$A55)=0,"No visits",_xlfn.MAXIFS('Visit Log'!$A$6:$A$1005,'Visit Log'!$C$6:$C$1005,$A55)))</f>
        <v/>
      </c>
    </row>
    <row r="56">
      <c r="O56" s="38">
        <f>IF($A56="","",IF(COUNTIFS('Promo Calendar'!$A$6:$A$400,$A56,'Promo Calendar'!$L$6:$L$400,"Active")=0,"None active",INDEX('Promo Calendar'!$F$6:$F$400,MATCH($A56,'Promo Calendar'!$O$6:$O$400,0))&amp;IF(COUNTIFS('Promo Calendar'!$A$6:$A$400,$A56,'Promo Calendar'!$L$6:$L$400,"Active")&gt;1," (+"&amp;(COUNTIFS('Promo Calendar'!$A$6:$A$400,$A56,'Promo Calendar'!$L$6:$L$400,"Active")-1)&amp;" more)","")))</f>
        <v/>
      </c>
      <c r="P56" s="39">
        <f>IF($A56="","",IF(COUNTIFS('Promo Calendar'!$A$6:$A$400,$A56,'Promo Calendar'!$L$6:$L$400,"Active",'Promo Calendar'!$G$6:$G$400,"&gt;0")&gt;0,_xlfn.MINIFS('Promo Calendar'!$G$6:$G$400,'Promo Calendar'!$A$6:$A$400,$A56,'Promo Calendar'!$L$6:$L$400,"Active",'Promo Calendar'!$G$6:$G$400,"&gt;0"),IF(M56="","Not set",M56)))</f>
        <v/>
      </c>
      <c r="Q56" s="40">
        <f>IF($A56="","",IF(COUNTIFS('Promo Calendar'!$A$6:$A$400,$A56,'Promo Calendar'!$I$6:$I$400,"&gt;"&amp;TODAY())=0,"None scheduled",_xlfn.MINIFS('Promo Calendar'!$I$6:$I$400,'Promo Calendar'!$A$6:$A$400,$A56,'Promo Calendar'!$I$6:$I$400,"&gt;"&amp;TODAY())))</f>
        <v/>
      </c>
      <c r="W56" s="38">
        <f>IF($A56="","",COUNTIFS('Visit Log'!$C$6:$C$1005,$A56,'Visit Log'!$A$6:$A$1005,"&gt;="&amp;TODAY()-30))</f>
        <v/>
      </c>
      <c r="X56" s="38">
        <f>IF($A56="","",COUNTIFS('Visit Log'!$C$6:$C$1005,$A56,'Visit Log'!$T$6:$T$1005,"Open")+COUNTIFS('Visit Log'!$C$6:$C$1005,$A56,'Visit Log'!$T$6:$T$1005,"In Progress"))</f>
        <v/>
      </c>
      <c r="Y56" s="40">
        <f>IF($A56="","",IF(COUNTIFS('Visit Log'!$C$6:$C$1005,$A56)=0,"No visits",_xlfn.MAXIFS('Visit Log'!$A$6:$A$1005,'Visit Log'!$C$6:$C$1005,$A56)))</f>
        <v/>
      </c>
    </row>
    <row r="57">
      <c r="O57" s="38">
        <f>IF($A57="","",IF(COUNTIFS('Promo Calendar'!$A$6:$A$400,$A57,'Promo Calendar'!$L$6:$L$400,"Active")=0,"None active",INDEX('Promo Calendar'!$F$6:$F$400,MATCH($A57,'Promo Calendar'!$O$6:$O$400,0))&amp;IF(COUNTIFS('Promo Calendar'!$A$6:$A$400,$A57,'Promo Calendar'!$L$6:$L$400,"Active")&gt;1," (+"&amp;(COUNTIFS('Promo Calendar'!$A$6:$A$400,$A57,'Promo Calendar'!$L$6:$L$400,"Active")-1)&amp;" more)","")))</f>
        <v/>
      </c>
      <c r="P57" s="39">
        <f>IF($A57="","",IF(COUNTIFS('Promo Calendar'!$A$6:$A$400,$A57,'Promo Calendar'!$L$6:$L$400,"Active",'Promo Calendar'!$G$6:$G$400,"&gt;0")&gt;0,_xlfn.MINIFS('Promo Calendar'!$G$6:$G$400,'Promo Calendar'!$A$6:$A$400,$A57,'Promo Calendar'!$L$6:$L$400,"Active",'Promo Calendar'!$G$6:$G$400,"&gt;0"),IF(M57="","Not set",M57)))</f>
        <v/>
      </c>
      <c r="Q57" s="40">
        <f>IF($A57="","",IF(COUNTIFS('Promo Calendar'!$A$6:$A$400,$A57,'Promo Calendar'!$I$6:$I$400,"&gt;"&amp;TODAY())=0,"None scheduled",_xlfn.MINIFS('Promo Calendar'!$I$6:$I$400,'Promo Calendar'!$A$6:$A$400,$A57,'Promo Calendar'!$I$6:$I$400,"&gt;"&amp;TODAY())))</f>
        <v/>
      </c>
      <c r="W57" s="38">
        <f>IF($A57="","",COUNTIFS('Visit Log'!$C$6:$C$1005,$A57,'Visit Log'!$A$6:$A$1005,"&gt;="&amp;TODAY()-30))</f>
        <v/>
      </c>
      <c r="X57" s="38">
        <f>IF($A57="","",COUNTIFS('Visit Log'!$C$6:$C$1005,$A57,'Visit Log'!$T$6:$T$1005,"Open")+COUNTIFS('Visit Log'!$C$6:$C$1005,$A57,'Visit Log'!$T$6:$T$1005,"In Progress"))</f>
        <v/>
      </c>
      <c r="Y57" s="40">
        <f>IF($A57="","",IF(COUNTIFS('Visit Log'!$C$6:$C$1005,$A57)=0,"No visits",_xlfn.MAXIFS('Visit Log'!$A$6:$A$1005,'Visit Log'!$C$6:$C$1005,$A57)))</f>
        <v/>
      </c>
    </row>
    <row r="58">
      <c r="O58" s="38">
        <f>IF($A58="","",IF(COUNTIFS('Promo Calendar'!$A$6:$A$400,$A58,'Promo Calendar'!$L$6:$L$400,"Active")=0,"None active",INDEX('Promo Calendar'!$F$6:$F$400,MATCH($A58,'Promo Calendar'!$O$6:$O$400,0))&amp;IF(COUNTIFS('Promo Calendar'!$A$6:$A$400,$A58,'Promo Calendar'!$L$6:$L$400,"Active")&gt;1," (+"&amp;(COUNTIFS('Promo Calendar'!$A$6:$A$400,$A58,'Promo Calendar'!$L$6:$L$400,"Active")-1)&amp;" more)","")))</f>
        <v/>
      </c>
      <c r="P58" s="39">
        <f>IF($A58="","",IF(COUNTIFS('Promo Calendar'!$A$6:$A$400,$A58,'Promo Calendar'!$L$6:$L$400,"Active",'Promo Calendar'!$G$6:$G$400,"&gt;0")&gt;0,_xlfn.MINIFS('Promo Calendar'!$G$6:$G$400,'Promo Calendar'!$A$6:$A$400,$A58,'Promo Calendar'!$L$6:$L$400,"Active",'Promo Calendar'!$G$6:$G$400,"&gt;0"),IF(M58="","Not set",M58)))</f>
        <v/>
      </c>
      <c r="Q58" s="40">
        <f>IF($A58="","",IF(COUNTIFS('Promo Calendar'!$A$6:$A$400,$A58,'Promo Calendar'!$I$6:$I$400,"&gt;"&amp;TODAY())=0,"None scheduled",_xlfn.MINIFS('Promo Calendar'!$I$6:$I$400,'Promo Calendar'!$A$6:$A$400,$A58,'Promo Calendar'!$I$6:$I$400,"&gt;"&amp;TODAY())))</f>
        <v/>
      </c>
      <c r="W58" s="38">
        <f>IF($A58="","",COUNTIFS('Visit Log'!$C$6:$C$1005,$A58,'Visit Log'!$A$6:$A$1005,"&gt;="&amp;TODAY()-30))</f>
        <v/>
      </c>
      <c r="X58" s="38">
        <f>IF($A58="","",COUNTIFS('Visit Log'!$C$6:$C$1005,$A58,'Visit Log'!$T$6:$T$1005,"Open")+COUNTIFS('Visit Log'!$C$6:$C$1005,$A58,'Visit Log'!$T$6:$T$1005,"In Progress"))</f>
        <v/>
      </c>
      <c r="Y58" s="40">
        <f>IF($A58="","",IF(COUNTIFS('Visit Log'!$C$6:$C$1005,$A58)=0,"No visits",_xlfn.MAXIFS('Visit Log'!$A$6:$A$1005,'Visit Log'!$C$6:$C$1005,$A58)))</f>
        <v/>
      </c>
    </row>
    <row r="59">
      <c r="O59" s="38">
        <f>IF($A59="","",IF(COUNTIFS('Promo Calendar'!$A$6:$A$400,$A59,'Promo Calendar'!$L$6:$L$400,"Active")=0,"None active",INDEX('Promo Calendar'!$F$6:$F$400,MATCH($A59,'Promo Calendar'!$O$6:$O$400,0))&amp;IF(COUNTIFS('Promo Calendar'!$A$6:$A$400,$A59,'Promo Calendar'!$L$6:$L$400,"Active")&gt;1," (+"&amp;(COUNTIFS('Promo Calendar'!$A$6:$A$400,$A59,'Promo Calendar'!$L$6:$L$400,"Active")-1)&amp;" more)","")))</f>
        <v/>
      </c>
      <c r="P59" s="39">
        <f>IF($A59="","",IF(COUNTIFS('Promo Calendar'!$A$6:$A$400,$A59,'Promo Calendar'!$L$6:$L$400,"Active",'Promo Calendar'!$G$6:$G$400,"&gt;0")&gt;0,_xlfn.MINIFS('Promo Calendar'!$G$6:$G$400,'Promo Calendar'!$A$6:$A$400,$A59,'Promo Calendar'!$L$6:$L$400,"Active",'Promo Calendar'!$G$6:$G$400,"&gt;0"),IF(M59="","Not set",M59)))</f>
        <v/>
      </c>
      <c r="Q59" s="40">
        <f>IF($A59="","",IF(COUNTIFS('Promo Calendar'!$A$6:$A$400,$A59,'Promo Calendar'!$I$6:$I$400,"&gt;"&amp;TODAY())=0,"None scheduled",_xlfn.MINIFS('Promo Calendar'!$I$6:$I$400,'Promo Calendar'!$A$6:$A$400,$A59,'Promo Calendar'!$I$6:$I$400,"&gt;"&amp;TODAY())))</f>
        <v/>
      </c>
      <c r="W59" s="38">
        <f>IF($A59="","",COUNTIFS('Visit Log'!$C$6:$C$1005,$A59,'Visit Log'!$A$6:$A$1005,"&gt;="&amp;TODAY()-30))</f>
        <v/>
      </c>
      <c r="X59" s="38">
        <f>IF($A59="","",COUNTIFS('Visit Log'!$C$6:$C$1005,$A59,'Visit Log'!$T$6:$T$1005,"Open")+COUNTIFS('Visit Log'!$C$6:$C$1005,$A59,'Visit Log'!$T$6:$T$1005,"In Progress"))</f>
        <v/>
      </c>
      <c r="Y59" s="40">
        <f>IF($A59="","",IF(COUNTIFS('Visit Log'!$C$6:$C$1005,$A59)=0,"No visits",_xlfn.MAXIFS('Visit Log'!$A$6:$A$1005,'Visit Log'!$C$6:$C$1005,$A59)))</f>
        <v/>
      </c>
    </row>
    <row r="60">
      <c r="O60" s="38">
        <f>IF($A60="","",IF(COUNTIFS('Promo Calendar'!$A$6:$A$400,$A60,'Promo Calendar'!$L$6:$L$400,"Active")=0,"None active",INDEX('Promo Calendar'!$F$6:$F$400,MATCH($A60,'Promo Calendar'!$O$6:$O$400,0))&amp;IF(COUNTIFS('Promo Calendar'!$A$6:$A$400,$A60,'Promo Calendar'!$L$6:$L$400,"Active")&gt;1," (+"&amp;(COUNTIFS('Promo Calendar'!$A$6:$A$400,$A60,'Promo Calendar'!$L$6:$L$400,"Active")-1)&amp;" more)","")))</f>
        <v/>
      </c>
      <c r="P60" s="39">
        <f>IF($A60="","",IF(COUNTIFS('Promo Calendar'!$A$6:$A$400,$A60,'Promo Calendar'!$L$6:$L$400,"Active",'Promo Calendar'!$G$6:$G$400,"&gt;0")&gt;0,_xlfn.MINIFS('Promo Calendar'!$G$6:$G$400,'Promo Calendar'!$A$6:$A$400,$A60,'Promo Calendar'!$L$6:$L$400,"Active",'Promo Calendar'!$G$6:$G$400,"&gt;0"),IF(M60="","Not set",M60)))</f>
        <v/>
      </c>
      <c r="Q60" s="40">
        <f>IF($A60="","",IF(COUNTIFS('Promo Calendar'!$A$6:$A$400,$A60,'Promo Calendar'!$I$6:$I$400,"&gt;"&amp;TODAY())=0,"None scheduled",_xlfn.MINIFS('Promo Calendar'!$I$6:$I$400,'Promo Calendar'!$A$6:$A$400,$A60,'Promo Calendar'!$I$6:$I$400,"&gt;"&amp;TODAY())))</f>
        <v/>
      </c>
      <c r="W60" s="38">
        <f>IF($A60="","",COUNTIFS('Visit Log'!$C$6:$C$1005,$A60,'Visit Log'!$A$6:$A$1005,"&gt;="&amp;TODAY()-30))</f>
        <v/>
      </c>
      <c r="X60" s="38">
        <f>IF($A60="","",COUNTIFS('Visit Log'!$C$6:$C$1005,$A60,'Visit Log'!$T$6:$T$1005,"Open")+COUNTIFS('Visit Log'!$C$6:$C$1005,$A60,'Visit Log'!$T$6:$T$1005,"In Progress"))</f>
        <v/>
      </c>
      <c r="Y60" s="40">
        <f>IF($A60="","",IF(COUNTIFS('Visit Log'!$C$6:$C$1005,$A60)=0,"No visits",_xlfn.MAXIFS('Visit Log'!$A$6:$A$1005,'Visit Log'!$C$6:$C$1005,$A60)))</f>
        <v/>
      </c>
    </row>
    <row r="61">
      <c r="O61" s="38">
        <f>IF($A61="","",IF(COUNTIFS('Promo Calendar'!$A$6:$A$400,$A61,'Promo Calendar'!$L$6:$L$400,"Active")=0,"None active",INDEX('Promo Calendar'!$F$6:$F$400,MATCH($A61,'Promo Calendar'!$O$6:$O$400,0))&amp;IF(COUNTIFS('Promo Calendar'!$A$6:$A$400,$A61,'Promo Calendar'!$L$6:$L$400,"Active")&gt;1," (+"&amp;(COUNTIFS('Promo Calendar'!$A$6:$A$400,$A61,'Promo Calendar'!$L$6:$L$400,"Active")-1)&amp;" more)","")))</f>
        <v/>
      </c>
      <c r="P61" s="39">
        <f>IF($A61="","",IF(COUNTIFS('Promo Calendar'!$A$6:$A$400,$A61,'Promo Calendar'!$L$6:$L$400,"Active",'Promo Calendar'!$G$6:$G$400,"&gt;0")&gt;0,_xlfn.MINIFS('Promo Calendar'!$G$6:$G$400,'Promo Calendar'!$A$6:$A$400,$A61,'Promo Calendar'!$L$6:$L$400,"Active",'Promo Calendar'!$G$6:$G$400,"&gt;0"),IF(M61="","Not set",M61)))</f>
        <v/>
      </c>
      <c r="Q61" s="40">
        <f>IF($A61="","",IF(COUNTIFS('Promo Calendar'!$A$6:$A$400,$A61,'Promo Calendar'!$I$6:$I$400,"&gt;"&amp;TODAY())=0,"None scheduled",_xlfn.MINIFS('Promo Calendar'!$I$6:$I$400,'Promo Calendar'!$A$6:$A$400,$A61,'Promo Calendar'!$I$6:$I$400,"&gt;"&amp;TODAY())))</f>
        <v/>
      </c>
      <c r="W61" s="38">
        <f>IF($A61="","",COUNTIFS('Visit Log'!$C$6:$C$1005,$A61,'Visit Log'!$A$6:$A$1005,"&gt;="&amp;TODAY()-30))</f>
        <v/>
      </c>
      <c r="X61" s="38">
        <f>IF($A61="","",COUNTIFS('Visit Log'!$C$6:$C$1005,$A61,'Visit Log'!$T$6:$T$1005,"Open")+COUNTIFS('Visit Log'!$C$6:$C$1005,$A61,'Visit Log'!$T$6:$T$1005,"In Progress"))</f>
        <v/>
      </c>
      <c r="Y61" s="40">
        <f>IF($A61="","",IF(COUNTIFS('Visit Log'!$C$6:$C$1005,$A61)=0,"No visits",_xlfn.MAXIFS('Visit Log'!$A$6:$A$1005,'Visit Log'!$C$6:$C$1005,$A61)))</f>
        <v/>
      </c>
    </row>
    <row r="62">
      <c r="O62" s="38">
        <f>IF($A62="","",IF(COUNTIFS('Promo Calendar'!$A$6:$A$400,$A62,'Promo Calendar'!$L$6:$L$400,"Active")=0,"None active",INDEX('Promo Calendar'!$F$6:$F$400,MATCH($A62,'Promo Calendar'!$O$6:$O$400,0))&amp;IF(COUNTIFS('Promo Calendar'!$A$6:$A$400,$A62,'Promo Calendar'!$L$6:$L$400,"Active")&gt;1," (+"&amp;(COUNTIFS('Promo Calendar'!$A$6:$A$400,$A62,'Promo Calendar'!$L$6:$L$400,"Active")-1)&amp;" more)","")))</f>
        <v/>
      </c>
      <c r="P62" s="39">
        <f>IF($A62="","",IF(COUNTIFS('Promo Calendar'!$A$6:$A$400,$A62,'Promo Calendar'!$L$6:$L$400,"Active",'Promo Calendar'!$G$6:$G$400,"&gt;0")&gt;0,_xlfn.MINIFS('Promo Calendar'!$G$6:$G$400,'Promo Calendar'!$A$6:$A$400,$A62,'Promo Calendar'!$L$6:$L$400,"Active",'Promo Calendar'!$G$6:$G$400,"&gt;0"),IF(M62="","Not set",M62)))</f>
        <v/>
      </c>
      <c r="Q62" s="40">
        <f>IF($A62="","",IF(COUNTIFS('Promo Calendar'!$A$6:$A$400,$A62,'Promo Calendar'!$I$6:$I$400,"&gt;"&amp;TODAY())=0,"None scheduled",_xlfn.MINIFS('Promo Calendar'!$I$6:$I$400,'Promo Calendar'!$A$6:$A$400,$A62,'Promo Calendar'!$I$6:$I$400,"&gt;"&amp;TODAY())))</f>
        <v/>
      </c>
      <c r="W62" s="38">
        <f>IF($A62="","",COUNTIFS('Visit Log'!$C$6:$C$1005,$A62,'Visit Log'!$A$6:$A$1005,"&gt;="&amp;TODAY()-30))</f>
        <v/>
      </c>
      <c r="X62" s="38">
        <f>IF($A62="","",COUNTIFS('Visit Log'!$C$6:$C$1005,$A62,'Visit Log'!$T$6:$T$1005,"Open")+COUNTIFS('Visit Log'!$C$6:$C$1005,$A62,'Visit Log'!$T$6:$T$1005,"In Progress"))</f>
        <v/>
      </c>
      <c r="Y62" s="40">
        <f>IF($A62="","",IF(COUNTIFS('Visit Log'!$C$6:$C$1005,$A62)=0,"No visits",_xlfn.MAXIFS('Visit Log'!$A$6:$A$1005,'Visit Log'!$C$6:$C$1005,$A62)))</f>
        <v/>
      </c>
    </row>
    <row r="63">
      <c r="O63" s="38">
        <f>IF($A63="","",IF(COUNTIFS('Promo Calendar'!$A$6:$A$400,$A63,'Promo Calendar'!$L$6:$L$400,"Active")=0,"None active",INDEX('Promo Calendar'!$F$6:$F$400,MATCH($A63,'Promo Calendar'!$O$6:$O$400,0))&amp;IF(COUNTIFS('Promo Calendar'!$A$6:$A$400,$A63,'Promo Calendar'!$L$6:$L$400,"Active")&gt;1," (+"&amp;(COUNTIFS('Promo Calendar'!$A$6:$A$400,$A63,'Promo Calendar'!$L$6:$L$400,"Active")-1)&amp;" more)","")))</f>
        <v/>
      </c>
      <c r="P63" s="39">
        <f>IF($A63="","",IF(COUNTIFS('Promo Calendar'!$A$6:$A$400,$A63,'Promo Calendar'!$L$6:$L$400,"Active",'Promo Calendar'!$G$6:$G$400,"&gt;0")&gt;0,_xlfn.MINIFS('Promo Calendar'!$G$6:$G$400,'Promo Calendar'!$A$6:$A$400,$A63,'Promo Calendar'!$L$6:$L$400,"Active",'Promo Calendar'!$G$6:$G$400,"&gt;0"),IF(M63="","Not set",M63)))</f>
        <v/>
      </c>
      <c r="Q63" s="40">
        <f>IF($A63="","",IF(COUNTIFS('Promo Calendar'!$A$6:$A$400,$A63,'Promo Calendar'!$I$6:$I$400,"&gt;"&amp;TODAY())=0,"None scheduled",_xlfn.MINIFS('Promo Calendar'!$I$6:$I$400,'Promo Calendar'!$A$6:$A$400,$A63,'Promo Calendar'!$I$6:$I$400,"&gt;"&amp;TODAY())))</f>
        <v/>
      </c>
      <c r="W63" s="38">
        <f>IF($A63="","",COUNTIFS('Visit Log'!$C$6:$C$1005,$A63,'Visit Log'!$A$6:$A$1005,"&gt;="&amp;TODAY()-30))</f>
        <v/>
      </c>
      <c r="X63" s="38">
        <f>IF($A63="","",COUNTIFS('Visit Log'!$C$6:$C$1005,$A63,'Visit Log'!$T$6:$T$1005,"Open")+COUNTIFS('Visit Log'!$C$6:$C$1005,$A63,'Visit Log'!$T$6:$T$1005,"In Progress"))</f>
        <v/>
      </c>
      <c r="Y63" s="40">
        <f>IF($A63="","",IF(COUNTIFS('Visit Log'!$C$6:$C$1005,$A63)=0,"No visits",_xlfn.MAXIFS('Visit Log'!$A$6:$A$1005,'Visit Log'!$C$6:$C$1005,$A63)))</f>
        <v/>
      </c>
    </row>
    <row r="64">
      <c r="O64" s="38">
        <f>IF($A64="","",IF(COUNTIFS('Promo Calendar'!$A$6:$A$400,$A64,'Promo Calendar'!$L$6:$L$400,"Active")=0,"None active",INDEX('Promo Calendar'!$F$6:$F$400,MATCH($A64,'Promo Calendar'!$O$6:$O$400,0))&amp;IF(COUNTIFS('Promo Calendar'!$A$6:$A$400,$A64,'Promo Calendar'!$L$6:$L$400,"Active")&gt;1," (+"&amp;(COUNTIFS('Promo Calendar'!$A$6:$A$400,$A64,'Promo Calendar'!$L$6:$L$400,"Active")-1)&amp;" more)","")))</f>
        <v/>
      </c>
      <c r="P64" s="39">
        <f>IF($A64="","",IF(COUNTIFS('Promo Calendar'!$A$6:$A$400,$A64,'Promo Calendar'!$L$6:$L$400,"Active",'Promo Calendar'!$G$6:$G$400,"&gt;0")&gt;0,_xlfn.MINIFS('Promo Calendar'!$G$6:$G$400,'Promo Calendar'!$A$6:$A$400,$A64,'Promo Calendar'!$L$6:$L$400,"Active",'Promo Calendar'!$G$6:$G$400,"&gt;0"),IF(M64="","Not set",M64)))</f>
        <v/>
      </c>
      <c r="Q64" s="40">
        <f>IF($A64="","",IF(COUNTIFS('Promo Calendar'!$A$6:$A$400,$A64,'Promo Calendar'!$I$6:$I$400,"&gt;"&amp;TODAY())=0,"None scheduled",_xlfn.MINIFS('Promo Calendar'!$I$6:$I$400,'Promo Calendar'!$A$6:$A$400,$A64,'Promo Calendar'!$I$6:$I$400,"&gt;"&amp;TODAY())))</f>
        <v/>
      </c>
      <c r="W64" s="38">
        <f>IF($A64="","",COUNTIFS('Visit Log'!$C$6:$C$1005,$A64,'Visit Log'!$A$6:$A$1005,"&gt;="&amp;TODAY()-30))</f>
        <v/>
      </c>
      <c r="X64" s="38">
        <f>IF($A64="","",COUNTIFS('Visit Log'!$C$6:$C$1005,$A64,'Visit Log'!$T$6:$T$1005,"Open")+COUNTIFS('Visit Log'!$C$6:$C$1005,$A64,'Visit Log'!$T$6:$T$1005,"In Progress"))</f>
        <v/>
      </c>
      <c r="Y64" s="40">
        <f>IF($A64="","",IF(COUNTIFS('Visit Log'!$C$6:$C$1005,$A64)=0,"No visits",_xlfn.MAXIFS('Visit Log'!$A$6:$A$1005,'Visit Log'!$C$6:$C$1005,$A64)))</f>
        <v/>
      </c>
    </row>
    <row r="65">
      <c r="O65" s="38">
        <f>IF($A65="","",IF(COUNTIFS('Promo Calendar'!$A$6:$A$400,$A65,'Promo Calendar'!$L$6:$L$400,"Active")=0,"None active",INDEX('Promo Calendar'!$F$6:$F$400,MATCH($A65,'Promo Calendar'!$O$6:$O$400,0))&amp;IF(COUNTIFS('Promo Calendar'!$A$6:$A$400,$A65,'Promo Calendar'!$L$6:$L$400,"Active")&gt;1," (+"&amp;(COUNTIFS('Promo Calendar'!$A$6:$A$400,$A65,'Promo Calendar'!$L$6:$L$400,"Active")-1)&amp;" more)","")))</f>
        <v/>
      </c>
      <c r="P65" s="39">
        <f>IF($A65="","",IF(COUNTIFS('Promo Calendar'!$A$6:$A$400,$A65,'Promo Calendar'!$L$6:$L$400,"Active",'Promo Calendar'!$G$6:$G$400,"&gt;0")&gt;0,_xlfn.MINIFS('Promo Calendar'!$G$6:$G$400,'Promo Calendar'!$A$6:$A$400,$A65,'Promo Calendar'!$L$6:$L$400,"Active",'Promo Calendar'!$G$6:$G$400,"&gt;0"),IF(M65="","Not set",M65)))</f>
        <v/>
      </c>
      <c r="Q65" s="40">
        <f>IF($A65="","",IF(COUNTIFS('Promo Calendar'!$A$6:$A$400,$A65,'Promo Calendar'!$I$6:$I$400,"&gt;"&amp;TODAY())=0,"None scheduled",_xlfn.MINIFS('Promo Calendar'!$I$6:$I$400,'Promo Calendar'!$A$6:$A$400,$A65,'Promo Calendar'!$I$6:$I$400,"&gt;"&amp;TODAY())))</f>
        <v/>
      </c>
      <c r="W65" s="38">
        <f>IF($A65="","",COUNTIFS('Visit Log'!$C$6:$C$1005,$A65,'Visit Log'!$A$6:$A$1005,"&gt;="&amp;TODAY()-30))</f>
        <v/>
      </c>
      <c r="X65" s="38">
        <f>IF($A65="","",COUNTIFS('Visit Log'!$C$6:$C$1005,$A65,'Visit Log'!$T$6:$T$1005,"Open")+COUNTIFS('Visit Log'!$C$6:$C$1005,$A65,'Visit Log'!$T$6:$T$1005,"In Progress"))</f>
        <v/>
      </c>
      <c r="Y65" s="40">
        <f>IF($A65="","",IF(COUNTIFS('Visit Log'!$C$6:$C$1005,$A65)=0,"No visits",_xlfn.MAXIFS('Visit Log'!$A$6:$A$1005,'Visit Log'!$C$6:$C$1005,$A65)))</f>
        <v/>
      </c>
    </row>
    <row r="66">
      <c r="O66" s="38">
        <f>IF($A66="","",IF(COUNTIFS('Promo Calendar'!$A$6:$A$400,$A66,'Promo Calendar'!$L$6:$L$400,"Active")=0,"None active",INDEX('Promo Calendar'!$F$6:$F$400,MATCH($A66,'Promo Calendar'!$O$6:$O$400,0))&amp;IF(COUNTIFS('Promo Calendar'!$A$6:$A$400,$A66,'Promo Calendar'!$L$6:$L$400,"Active")&gt;1," (+"&amp;(COUNTIFS('Promo Calendar'!$A$6:$A$400,$A66,'Promo Calendar'!$L$6:$L$400,"Active")-1)&amp;" more)","")))</f>
        <v/>
      </c>
      <c r="P66" s="39">
        <f>IF($A66="","",IF(COUNTIFS('Promo Calendar'!$A$6:$A$400,$A66,'Promo Calendar'!$L$6:$L$400,"Active",'Promo Calendar'!$G$6:$G$400,"&gt;0")&gt;0,_xlfn.MINIFS('Promo Calendar'!$G$6:$G$400,'Promo Calendar'!$A$6:$A$400,$A66,'Promo Calendar'!$L$6:$L$400,"Active",'Promo Calendar'!$G$6:$G$400,"&gt;0"),IF(M66="","Not set",M66)))</f>
        <v/>
      </c>
      <c r="Q66" s="40">
        <f>IF($A66="","",IF(COUNTIFS('Promo Calendar'!$A$6:$A$400,$A66,'Promo Calendar'!$I$6:$I$400,"&gt;"&amp;TODAY())=0,"None scheduled",_xlfn.MINIFS('Promo Calendar'!$I$6:$I$400,'Promo Calendar'!$A$6:$A$400,$A66,'Promo Calendar'!$I$6:$I$400,"&gt;"&amp;TODAY())))</f>
        <v/>
      </c>
      <c r="W66" s="38">
        <f>IF($A66="","",COUNTIFS('Visit Log'!$C$6:$C$1005,$A66,'Visit Log'!$A$6:$A$1005,"&gt;="&amp;TODAY()-30))</f>
        <v/>
      </c>
      <c r="X66" s="38">
        <f>IF($A66="","",COUNTIFS('Visit Log'!$C$6:$C$1005,$A66,'Visit Log'!$T$6:$T$1005,"Open")+COUNTIFS('Visit Log'!$C$6:$C$1005,$A66,'Visit Log'!$T$6:$T$1005,"In Progress"))</f>
        <v/>
      </c>
      <c r="Y66" s="40">
        <f>IF($A66="","",IF(COUNTIFS('Visit Log'!$C$6:$C$1005,$A66)=0,"No visits",_xlfn.MAXIFS('Visit Log'!$A$6:$A$1005,'Visit Log'!$C$6:$C$1005,$A66)))</f>
        <v/>
      </c>
    </row>
    <row r="67">
      <c r="O67" s="38">
        <f>IF($A67="","",IF(COUNTIFS('Promo Calendar'!$A$6:$A$400,$A67,'Promo Calendar'!$L$6:$L$400,"Active")=0,"None active",INDEX('Promo Calendar'!$F$6:$F$400,MATCH($A67,'Promo Calendar'!$O$6:$O$400,0))&amp;IF(COUNTIFS('Promo Calendar'!$A$6:$A$400,$A67,'Promo Calendar'!$L$6:$L$400,"Active")&gt;1," (+"&amp;(COUNTIFS('Promo Calendar'!$A$6:$A$400,$A67,'Promo Calendar'!$L$6:$L$400,"Active")-1)&amp;" more)","")))</f>
        <v/>
      </c>
      <c r="P67" s="39">
        <f>IF($A67="","",IF(COUNTIFS('Promo Calendar'!$A$6:$A$400,$A67,'Promo Calendar'!$L$6:$L$400,"Active",'Promo Calendar'!$G$6:$G$400,"&gt;0")&gt;0,_xlfn.MINIFS('Promo Calendar'!$G$6:$G$400,'Promo Calendar'!$A$6:$A$400,$A67,'Promo Calendar'!$L$6:$L$400,"Active",'Promo Calendar'!$G$6:$G$400,"&gt;0"),IF(M67="","Not set",M67)))</f>
        <v/>
      </c>
      <c r="Q67" s="40">
        <f>IF($A67="","",IF(COUNTIFS('Promo Calendar'!$A$6:$A$400,$A67,'Promo Calendar'!$I$6:$I$400,"&gt;"&amp;TODAY())=0,"None scheduled",_xlfn.MINIFS('Promo Calendar'!$I$6:$I$400,'Promo Calendar'!$A$6:$A$400,$A67,'Promo Calendar'!$I$6:$I$400,"&gt;"&amp;TODAY())))</f>
        <v/>
      </c>
      <c r="W67" s="38">
        <f>IF($A67="","",COUNTIFS('Visit Log'!$C$6:$C$1005,$A67,'Visit Log'!$A$6:$A$1005,"&gt;="&amp;TODAY()-30))</f>
        <v/>
      </c>
      <c r="X67" s="38">
        <f>IF($A67="","",COUNTIFS('Visit Log'!$C$6:$C$1005,$A67,'Visit Log'!$T$6:$T$1005,"Open")+COUNTIFS('Visit Log'!$C$6:$C$1005,$A67,'Visit Log'!$T$6:$T$1005,"In Progress"))</f>
        <v/>
      </c>
      <c r="Y67" s="40">
        <f>IF($A67="","",IF(COUNTIFS('Visit Log'!$C$6:$C$1005,$A67)=0,"No visits",_xlfn.MAXIFS('Visit Log'!$A$6:$A$1005,'Visit Log'!$C$6:$C$1005,$A67)))</f>
        <v/>
      </c>
    </row>
    <row r="68">
      <c r="O68" s="38">
        <f>IF($A68="","",IF(COUNTIFS('Promo Calendar'!$A$6:$A$400,$A68,'Promo Calendar'!$L$6:$L$400,"Active")=0,"None active",INDEX('Promo Calendar'!$F$6:$F$400,MATCH($A68,'Promo Calendar'!$O$6:$O$400,0))&amp;IF(COUNTIFS('Promo Calendar'!$A$6:$A$400,$A68,'Promo Calendar'!$L$6:$L$400,"Active")&gt;1," (+"&amp;(COUNTIFS('Promo Calendar'!$A$6:$A$400,$A68,'Promo Calendar'!$L$6:$L$400,"Active")-1)&amp;" more)","")))</f>
        <v/>
      </c>
      <c r="P68" s="39">
        <f>IF($A68="","",IF(COUNTIFS('Promo Calendar'!$A$6:$A$400,$A68,'Promo Calendar'!$L$6:$L$400,"Active",'Promo Calendar'!$G$6:$G$400,"&gt;0")&gt;0,_xlfn.MINIFS('Promo Calendar'!$G$6:$G$400,'Promo Calendar'!$A$6:$A$400,$A68,'Promo Calendar'!$L$6:$L$400,"Active",'Promo Calendar'!$G$6:$G$400,"&gt;0"),IF(M68="","Not set",M68)))</f>
        <v/>
      </c>
      <c r="Q68" s="40">
        <f>IF($A68="","",IF(COUNTIFS('Promo Calendar'!$A$6:$A$400,$A68,'Promo Calendar'!$I$6:$I$400,"&gt;"&amp;TODAY())=0,"None scheduled",_xlfn.MINIFS('Promo Calendar'!$I$6:$I$400,'Promo Calendar'!$A$6:$A$400,$A68,'Promo Calendar'!$I$6:$I$400,"&gt;"&amp;TODAY())))</f>
        <v/>
      </c>
      <c r="W68" s="38">
        <f>IF($A68="","",COUNTIFS('Visit Log'!$C$6:$C$1005,$A68,'Visit Log'!$A$6:$A$1005,"&gt;="&amp;TODAY()-30))</f>
        <v/>
      </c>
      <c r="X68" s="38">
        <f>IF($A68="","",COUNTIFS('Visit Log'!$C$6:$C$1005,$A68,'Visit Log'!$T$6:$T$1005,"Open")+COUNTIFS('Visit Log'!$C$6:$C$1005,$A68,'Visit Log'!$T$6:$T$1005,"In Progress"))</f>
        <v/>
      </c>
      <c r="Y68" s="40">
        <f>IF($A68="","",IF(COUNTIFS('Visit Log'!$C$6:$C$1005,$A68)=0,"No visits",_xlfn.MAXIFS('Visit Log'!$A$6:$A$1005,'Visit Log'!$C$6:$C$1005,$A68)))</f>
        <v/>
      </c>
    </row>
    <row r="69">
      <c r="O69" s="38">
        <f>IF($A69="","",IF(COUNTIFS('Promo Calendar'!$A$6:$A$400,$A69,'Promo Calendar'!$L$6:$L$400,"Active")=0,"None active",INDEX('Promo Calendar'!$F$6:$F$400,MATCH($A69,'Promo Calendar'!$O$6:$O$400,0))&amp;IF(COUNTIFS('Promo Calendar'!$A$6:$A$400,$A69,'Promo Calendar'!$L$6:$L$400,"Active")&gt;1," (+"&amp;(COUNTIFS('Promo Calendar'!$A$6:$A$400,$A69,'Promo Calendar'!$L$6:$L$400,"Active")-1)&amp;" more)","")))</f>
        <v/>
      </c>
      <c r="P69" s="39">
        <f>IF($A69="","",IF(COUNTIFS('Promo Calendar'!$A$6:$A$400,$A69,'Promo Calendar'!$L$6:$L$400,"Active",'Promo Calendar'!$G$6:$G$400,"&gt;0")&gt;0,_xlfn.MINIFS('Promo Calendar'!$G$6:$G$400,'Promo Calendar'!$A$6:$A$400,$A69,'Promo Calendar'!$L$6:$L$400,"Active",'Promo Calendar'!$G$6:$G$400,"&gt;0"),IF(M69="","Not set",M69)))</f>
        <v/>
      </c>
      <c r="Q69" s="40">
        <f>IF($A69="","",IF(COUNTIFS('Promo Calendar'!$A$6:$A$400,$A69,'Promo Calendar'!$I$6:$I$400,"&gt;"&amp;TODAY())=0,"None scheduled",_xlfn.MINIFS('Promo Calendar'!$I$6:$I$400,'Promo Calendar'!$A$6:$A$400,$A69,'Promo Calendar'!$I$6:$I$400,"&gt;"&amp;TODAY())))</f>
        <v/>
      </c>
      <c r="W69" s="38">
        <f>IF($A69="","",COUNTIFS('Visit Log'!$C$6:$C$1005,$A69,'Visit Log'!$A$6:$A$1005,"&gt;="&amp;TODAY()-30))</f>
        <v/>
      </c>
      <c r="X69" s="38">
        <f>IF($A69="","",COUNTIFS('Visit Log'!$C$6:$C$1005,$A69,'Visit Log'!$T$6:$T$1005,"Open")+COUNTIFS('Visit Log'!$C$6:$C$1005,$A69,'Visit Log'!$T$6:$T$1005,"In Progress"))</f>
        <v/>
      </c>
      <c r="Y69" s="40">
        <f>IF($A69="","",IF(COUNTIFS('Visit Log'!$C$6:$C$1005,$A69)=0,"No visits",_xlfn.MAXIFS('Visit Log'!$A$6:$A$1005,'Visit Log'!$C$6:$C$1005,$A69)))</f>
        <v/>
      </c>
    </row>
    <row r="70">
      <c r="O70" s="38">
        <f>IF($A70="","",IF(COUNTIFS('Promo Calendar'!$A$6:$A$400,$A70,'Promo Calendar'!$L$6:$L$400,"Active")=0,"None active",INDEX('Promo Calendar'!$F$6:$F$400,MATCH($A70,'Promo Calendar'!$O$6:$O$400,0))&amp;IF(COUNTIFS('Promo Calendar'!$A$6:$A$400,$A70,'Promo Calendar'!$L$6:$L$400,"Active")&gt;1," (+"&amp;(COUNTIFS('Promo Calendar'!$A$6:$A$400,$A70,'Promo Calendar'!$L$6:$L$400,"Active")-1)&amp;" more)","")))</f>
        <v/>
      </c>
      <c r="P70" s="39">
        <f>IF($A70="","",IF(COUNTIFS('Promo Calendar'!$A$6:$A$400,$A70,'Promo Calendar'!$L$6:$L$400,"Active",'Promo Calendar'!$G$6:$G$400,"&gt;0")&gt;0,_xlfn.MINIFS('Promo Calendar'!$G$6:$G$400,'Promo Calendar'!$A$6:$A$400,$A70,'Promo Calendar'!$L$6:$L$400,"Active",'Promo Calendar'!$G$6:$G$400,"&gt;0"),IF(M70="","Not set",M70)))</f>
        <v/>
      </c>
      <c r="Q70" s="40">
        <f>IF($A70="","",IF(COUNTIFS('Promo Calendar'!$A$6:$A$400,$A70,'Promo Calendar'!$I$6:$I$400,"&gt;"&amp;TODAY())=0,"None scheduled",_xlfn.MINIFS('Promo Calendar'!$I$6:$I$400,'Promo Calendar'!$A$6:$A$400,$A70,'Promo Calendar'!$I$6:$I$400,"&gt;"&amp;TODAY())))</f>
        <v/>
      </c>
      <c r="W70" s="38">
        <f>IF($A70="","",COUNTIFS('Visit Log'!$C$6:$C$1005,$A70,'Visit Log'!$A$6:$A$1005,"&gt;="&amp;TODAY()-30))</f>
        <v/>
      </c>
      <c r="X70" s="38">
        <f>IF($A70="","",COUNTIFS('Visit Log'!$C$6:$C$1005,$A70,'Visit Log'!$T$6:$T$1005,"Open")+COUNTIFS('Visit Log'!$C$6:$C$1005,$A70,'Visit Log'!$T$6:$T$1005,"In Progress"))</f>
        <v/>
      </c>
      <c r="Y70" s="40">
        <f>IF($A70="","",IF(COUNTIFS('Visit Log'!$C$6:$C$1005,$A70)=0,"No visits",_xlfn.MAXIFS('Visit Log'!$A$6:$A$1005,'Visit Log'!$C$6:$C$1005,$A70)))</f>
        <v/>
      </c>
    </row>
    <row r="71">
      <c r="O71" s="38">
        <f>IF($A71="","",IF(COUNTIFS('Promo Calendar'!$A$6:$A$400,$A71,'Promo Calendar'!$L$6:$L$400,"Active")=0,"None active",INDEX('Promo Calendar'!$F$6:$F$400,MATCH($A71,'Promo Calendar'!$O$6:$O$400,0))&amp;IF(COUNTIFS('Promo Calendar'!$A$6:$A$400,$A71,'Promo Calendar'!$L$6:$L$400,"Active")&gt;1," (+"&amp;(COUNTIFS('Promo Calendar'!$A$6:$A$400,$A71,'Promo Calendar'!$L$6:$L$400,"Active")-1)&amp;" more)","")))</f>
        <v/>
      </c>
      <c r="P71" s="39">
        <f>IF($A71="","",IF(COUNTIFS('Promo Calendar'!$A$6:$A$400,$A71,'Promo Calendar'!$L$6:$L$400,"Active",'Promo Calendar'!$G$6:$G$400,"&gt;0")&gt;0,_xlfn.MINIFS('Promo Calendar'!$G$6:$G$400,'Promo Calendar'!$A$6:$A$400,$A71,'Promo Calendar'!$L$6:$L$400,"Active",'Promo Calendar'!$G$6:$G$400,"&gt;0"),IF(M71="","Not set",M71)))</f>
        <v/>
      </c>
      <c r="Q71" s="40">
        <f>IF($A71="","",IF(COUNTIFS('Promo Calendar'!$A$6:$A$400,$A71,'Promo Calendar'!$I$6:$I$400,"&gt;"&amp;TODAY())=0,"None scheduled",_xlfn.MINIFS('Promo Calendar'!$I$6:$I$400,'Promo Calendar'!$A$6:$A$400,$A71,'Promo Calendar'!$I$6:$I$400,"&gt;"&amp;TODAY())))</f>
        <v/>
      </c>
      <c r="W71" s="38">
        <f>IF($A71="","",COUNTIFS('Visit Log'!$C$6:$C$1005,$A71,'Visit Log'!$A$6:$A$1005,"&gt;="&amp;TODAY()-30))</f>
        <v/>
      </c>
      <c r="X71" s="38">
        <f>IF($A71="","",COUNTIFS('Visit Log'!$C$6:$C$1005,$A71,'Visit Log'!$T$6:$T$1005,"Open")+COUNTIFS('Visit Log'!$C$6:$C$1005,$A71,'Visit Log'!$T$6:$T$1005,"In Progress"))</f>
        <v/>
      </c>
      <c r="Y71" s="40">
        <f>IF($A71="","",IF(COUNTIFS('Visit Log'!$C$6:$C$1005,$A71)=0,"No visits",_xlfn.MAXIFS('Visit Log'!$A$6:$A$1005,'Visit Log'!$C$6:$C$1005,$A71)))</f>
        <v/>
      </c>
    </row>
    <row r="72">
      <c r="O72" s="38">
        <f>IF($A72="","",IF(COUNTIFS('Promo Calendar'!$A$6:$A$400,$A72,'Promo Calendar'!$L$6:$L$400,"Active")=0,"None active",INDEX('Promo Calendar'!$F$6:$F$400,MATCH($A72,'Promo Calendar'!$O$6:$O$400,0))&amp;IF(COUNTIFS('Promo Calendar'!$A$6:$A$400,$A72,'Promo Calendar'!$L$6:$L$400,"Active")&gt;1," (+"&amp;(COUNTIFS('Promo Calendar'!$A$6:$A$400,$A72,'Promo Calendar'!$L$6:$L$400,"Active")-1)&amp;" more)","")))</f>
        <v/>
      </c>
      <c r="P72" s="39">
        <f>IF($A72="","",IF(COUNTIFS('Promo Calendar'!$A$6:$A$400,$A72,'Promo Calendar'!$L$6:$L$400,"Active",'Promo Calendar'!$G$6:$G$400,"&gt;0")&gt;0,_xlfn.MINIFS('Promo Calendar'!$G$6:$G$400,'Promo Calendar'!$A$6:$A$400,$A72,'Promo Calendar'!$L$6:$L$400,"Active",'Promo Calendar'!$G$6:$G$400,"&gt;0"),IF(M72="","Not set",M72)))</f>
        <v/>
      </c>
      <c r="Q72" s="40">
        <f>IF($A72="","",IF(COUNTIFS('Promo Calendar'!$A$6:$A$400,$A72,'Promo Calendar'!$I$6:$I$400,"&gt;"&amp;TODAY())=0,"None scheduled",_xlfn.MINIFS('Promo Calendar'!$I$6:$I$400,'Promo Calendar'!$A$6:$A$400,$A72,'Promo Calendar'!$I$6:$I$400,"&gt;"&amp;TODAY())))</f>
        <v/>
      </c>
      <c r="W72" s="38">
        <f>IF($A72="","",COUNTIFS('Visit Log'!$C$6:$C$1005,$A72,'Visit Log'!$A$6:$A$1005,"&gt;="&amp;TODAY()-30))</f>
        <v/>
      </c>
      <c r="X72" s="38">
        <f>IF($A72="","",COUNTIFS('Visit Log'!$C$6:$C$1005,$A72,'Visit Log'!$T$6:$T$1005,"Open")+COUNTIFS('Visit Log'!$C$6:$C$1005,$A72,'Visit Log'!$T$6:$T$1005,"In Progress"))</f>
        <v/>
      </c>
      <c r="Y72" s="40">
        <f>IF($A72="","",IF(COUNTIFS('Visit Log'!$C$6:$C$1005,$A72)=0,"No visits",_xlfn.MAXIFS('Visit Log'!$A$6:$A$1005,'Visit Log'!$C$6:$C$1005,$A72)))</f>
        <v/>
      </c>
    </row>
    <row r="73">
      <c r="O73" s="38">
        <f>IF($A73="","",IF(COUNTIFS('Promo Calendar'!$A$6:$A$400,$A73,'Promo Calendar'!$L$6:$L$400,"Active")=0,"None active",INDEX('Promo Calendar'!$F$6:$F$400,MATCH($A73,'Promo Calendar'!$O$6:$O$400,0))&amp;IF(COUNTIFS('Promo Calendar'!$A$6:$A$400,$A73,'Promo Calendar'!$L$6:$L$400,"Active")&gt;1," (+"&amp;(COUNTIFS('Promo Calendar'!$A$6:$A$400,$A73,'Promo Calendar'!$L$6:$L$400,"Active")-1)&amp;" more)","")))</f>
        <v/>
      </c>
      <c r="P73" s="39">
        <f>IF($A73="","",IF(COUNTIFS('Promo Calendar'!$A$6:$A$400,$A73,'Promo Calendar'!$L$6:$L$400,"Active",'Promo Calendar'!$G$6:$G$400,"&gt;0")&gt;0,_xlfn.MINIFS('Promo Calendar'!$G$6:$G$400,'Promo Calendar'!$A$6:$A$400,$A73,'Promo Calendar'!$L$6:$L$400,"Active",'Promo Calendar'!$G$6:$G$400,"&gt;0"),IF(M73="","Not set",M73)))</f>
        <v/>
      </c>
      <c r="Q73" s="40">
        <f>IF($A73="","",IF(COUNTIFS('Promo Calendar'!$A$6:$A$400,$A73,'Promo Calendar'!$I$6:$I$400,"&gt;"&amp;TODAY())=0,"None scheduled",_xlfn.MINIFS('Promo Calendar'!$I$6:$I$400,'Promo Calendar'!$A$6:$A$400,$A73,'Promo Calendar'!$I$6:$I$400,"&gt;"&amp;TODAY())))</f>
        <v/>
      </c>
      <c r="W73" s="38">
        <f>IF($A73="","",COUNTIFS('Visit Log'!$C$6:$C$1005,$A73,'Visit Log'!$A$6:$A$1005,"&gt;="&amp;TODAY()-30))</f>
        <v/>
      </c>
      <c r="X73" s="38">
        <f>IF($A73="","",COUNTIFS('Visit Log'!$C$6:$C$1005,$A73,'Visit Log'!$T$6:$T$1005,"Open")+COUNTIFS('Visit Log'!$C$6:$C$1005,$A73,'Visit Log'!$T$6:$T$1005,"In Progress"))</f>
        <v/>
      </c>
      <c r="Y73" s="40">
        <f>IF($A73="","",IF(COUNTIFS('Visit Log'!$C$6:$C$1005,$A73)=0,"No visits",_xlfn.MAXIFS('Visit Log'!$A$6:$A$1005,'Visit Log'!$C$6:$C$1005,$A73)))</f>
        <v/>
      </c>
    </row>
    <row r="74">
      <c r="O74" s="38">
        <f>IF($A74="","",IF(COUNTIFS('Promo Calendar'!$A$6:$A$400,$A74,'Promo Calendar'!$L$6:$L$400,"Active")=0,"None active",INDEX('Promo Calendar'!$F$6:$F$400,MATCH($A74,'Promo Calendar'!$O$6:$O$400,0))&amp;IF(COUNTIFS('Promo Calendar'!$A$6:$A$400,$A74,'Promo Calendar'!$L$6:$L$400,"Active")&gt;1," (+"&amp;(COUNTIFS('Promo Calendar'!$A$6:$A$400,$A74,'Promo Calendar'!$L$6:$L$400,"Active")-1)&amp;" more)","")))</f>
        <v/>
      </c>
      <c r="P74" s="39">
        <f>IF($A74="","",IF(COUNTIFS('Promo Calendar'!$A$6:$A$400,$A74,'Promo Calendar'!$L$6:$L$400,"Active",'Promo Calendar'!$G$6:$G$400,"&gt;0")&gt;0,_xlfn.MINIFS('Promo Calendar'!$G$6:$G$400,'Promo Calendar'!$A$6:$A$400,$A74,'Promo Calendar'!$L$6:$L$400,"Active",'Promo Calendar'!$G$6:$G$400,"&gt;0"),IF(M74="","Not set",M74)))</f>
        <v/>
      </c>
      <c r="Q74" s="40">
        <f>IF($A74="","",IF(COUNTIFS('Promo Calendar'!$A$6:$A$400,$A74,'Promo Calendar'!$I$6:$I$400,"&gt;"&amp;TODAY())=0,"None scheduled",_xlfn.MINIFS('Promo Calendar'!$I$6:$I$400,'Promo Calendar'!$A$6:$A$400,$A74,'Promo Calendar'!$I$6:$I$400,"&gt;"&amp;TODAY())))</f>
        <v/>
      </c>
      <c r="W74" s="38">
        <f>IF($A74="","",COUNTIFS('Visit Log'!$C$6:$C$1005,$A74,'Visit Log'!$A$6:$A$1005,"&gt;="&amp;TODAY()-30))</f>
        <v/>
      </c>
      <c r="X74" s="38">
        <f>IF($A74="","",COUNTIFS('Visit Log'!$C$6:$C$1005,$A74,'Visit Log'!$T$6:$T$1005,"Open")+COUNTIFS('Visit Log'!$C$6:$C$1005,$A74,'Visit Log'!$T$6:$T$1005,"In Progress"))</f>
        <v/>
      </c>
      <c r="Y74" s="40">
        <f>IF($A74="","",IF(COUNTIFS('Visit Log'!$C$6:$C$1005,$A74)=0,"No visits",_xlfn.MAXIFS('Visit Log'!$A$6:$A$1005,'Visit Log'!$C$6:$C$1005,$A74)))</f>
        <v/>
      </c>
    </row>
    <row r="75">
      <c r="O75" s="38">
        <f>IF($A75="","",IF(COUNTIFS('Promo Calendar'!$A$6:$A$400,$A75,'Promo Calendar'!$L$6:$L$400,"Active")=0,"None active",INDEX('Promo Calendar'!$F$6:$F$400,MATCH($A75,'Promo Calendar'!$O$6:$O$400,0))&amp;IF(COUNTIFS('Promo Calendar'!$A$6:$A$400,$A75,'Promo Calendar'!$L$6:$L$400,"Active")&gt;1," (+"&amp;(COUNTIFS('Promo Calendar'!$A$6:$A$400,$A75,'Promo Calendar'!$L$6:$L$400,"Active")-1)&amp;" more)","")))</f>
        <v/>
      </c>
      <c r="P75" s="39">
        <f>IF($A75="","",IF(COUNTIFS('Promo Calendar'!$A$6:$A$400,$A75,'Promo Calendar'!$L$6:$L$400,"Active",'Promo Calendar'!$G$6:$G$400,"&gt;0")&gt;0,_xlfn.MINIFS('Promo Calendar'!$G$6:$G$400,'Promo Calendar'!$A$6:$A$400,$A75,'Promo Calendar'!$L$6:$L$400,"Active",'Promo Calendar'!$G$6:$G$400,"&gt;0"),IF(M75="","Not set",M75)))</f>
        <v/>
      </c>
      <c r="Q75" s="40">
        <f>IF($A75="","",IF(COUNTIFS('Promo Calendar'!$A$6:$A$400,$A75,'Promo Calendar'!$I$6:$I$400,"&gt;"&amp;TODAY())=0,"None scheduled",_xlfn.MINIFS('Promo Calendar'!$I$6:$I$400,'Promo Calendar'!$A$6:$A$400,$A75,'Promo Calendar'!$I$6:$I$400,"&gt;"&amp;TODAY())))</f>
        <v/>
      </c>
      <c r="W75" s="38">
        <f>IF($A75="","",COUNTIFS('Visit Log'!$C$6:$C$1005,$A75,'Visit Log'!$A$6:$A$1005,"&gt;="&amp;TODAY()-30))</f>
        <v/>
      </c>
      <c r="X75" s="38">
        <f>IF($A75="","",COUNTIFS('Visit Log'!$C$6:$C$1005,$A75,'Visit Log'!$T$6:$T$1005,"Open")+COUNTIFS('Visit Log'!$C$6:$C$1005,$A75,'Visit Log'!$T$6:$T$1005,"In Progress"))</f>
        <v/>
      </c>
      <c r="Y75" s="40">
        <f>IF($A75="","",IF(COUNTIFS('Visit Log'!$C$6:$C$1005,$A75)=0,"No visits",_xlfn.MAXIFS('Visit Log'!$A$6:$A$1005,'Visit Log'!$C$6:$C$1005,$A75)))</f>
        <v/>
      </c>
    </row>
    <row r="76">
      <c r="O76" s="38">
        <f>IF($A76="","",IF(COUNTIFS('Promo Calendar'!$A$6:$A$400,$A76,'Promo Calendar'!$L$6:$L$400,"Active")=0,"None active",INDEX('Promo Calendar'!$F$6:$F$400,MATCH($A76,'Promo Calendar'!$O$6:$O$400,0))&amp;IF(COUNTIFS('Promo Calendar'!$A$6:$A$400,$A76,'Promo Calendar'!$L$6:$L$400,"Active")&gt;1," (+"&amp;(COUNTIFS('Promo Calendar'!$A$6:$A$400,$A76,'Promo Calendar'!$L$6:$L$400,"Active")-1)&amp;" more)","")))</f>
        <v/>
      </c>
      <c r="P76" s="39">
        <f>IF($A76="","",IF(COUNTIFS('Promo Calendar'!$A$6:$A$400,$A76,'Promo Calendar'!$L$6:$L$400,"Active",'Promo Calendar'!$G$6:$G$400,"&gt;0")&gt;0,_xlfn.MINIFS('Promo Calendar'!$G$6:$G$400,'Promo Calendar'!$A$6:$A$400,$A76,'Promo Calendar'!$L$6:$L$400,"Active",'Promo Calendar'!$G$6:$G$400,"&gt;0"),IF(M76="","Not set",M76)))</f>
        <v/>
      </c>
      <c r="Q76" s="40">
        <f>IF($A76="","",IF(COUNTIFS('Promo Calendar'!$A$6:$A$400,$A76,'Promo Calendar'!$I$6:$I$400,"&gt;"&amp;TODAY())=0,"None scheduled",_xlfn.MINIFS('Promo Calendar'!$I$6:$I$400,'Promo Calendar'!$A$6:$A$400,$A76,'Promo Calendar'!$I$6:$I$400,"&gt;"&amp;TODAY())))</f>
        <v/>
      </c>
      <c r="W76" s="38">
        <f>IF($A76="","",COUNTIFS('Visit Log'!$C$6:$C$1005,$A76,'Visit Log'!$A$6:$A$1005,"&gt;="&amp;TODAY()-30))</f>
        <v/>
      </c>
      <c r="X76" s="38">
        <f>IF($A76="","",COUNTIFS('Visit Log'!$C$6:$C$1005,$A76,'Visit Log'!$T$6:$T$1005,"Open")+COUNTIFS('Visit Log'!$C$6:$C$1005,$A76,'Visit Log'!$T$6:$T$1005,"In Progress"))</f>
        <v/>
      </c>
      <c r="Y76" s="40">
        <f>IF($A76="","",IF(COUNTIFS('Visit Log'!$C$6:$C$1005,$A76)=0,"No visits",_xlfn.MAXIFS('Visit Log'!$A$6:$A$1005,'Visit Log'!$C$6:$C$1005,$A76)))</f>
        <v/>
      </c>
    </row>
    <row r="77">
      <c r="O77" s="38">
        <f>IF($A77="","",IF(COUNTIFS('Promo Calendar'!$A$6:$A$400,$A77,'Promo Calendar'!$L$6:$L$400,"Active")=0,"None active",INDEX('Promo Calendar'!$F$6:$F$400,MATCH($A77,'Promo Calendar'!$O$6:$O$400,0))&amp;IF(COUNTIFS('Promo Calendar'!$A$6:$A$400,$A77,'Promo Calendar'!$L$6:$L$400,"Active")&gt;1," (+"&amp;(COUNTIFS('Promo Calendar'!$A$6:$A$400,$A77,'Promo Calendar'!$L$6:$L$400,"Active")-1)&amp;" more)","")))</f>
        <v/>
      </c>
      <c r="P77" s="39">
        <f>IF($A77="","",IF(COUNTIFS('Promo Calendar'!$A$6:$A$400,$A77,'Promo Calendar'!$L$6:$L$400,"Active",'Promo Calendar'!$G$6:$G$400,"&gt;0")&gt;0,_xlfn.MINIFS('Promo Calendar'!$G$6:$G$400,'Promo Calendar'!$A$6:$A$400,$A77,'Promo Calendar'!$L$6:$L$400,"Active",'Promo Calendar'!$G$6:$G$400,"&gt;0"),IF(M77="","Not set",M77)))</f>
        <v/>
      </c>
      <c r="Q77" s="40">
        <f>IF($A77="","",IF(COUNTIFS('Promo Calendar'!$A$6:$A$400,$A77,'Promo Calendar'!$I$6:$I$400,"&gt;"&amp;TODAY())=0,"None scheduled",_xlfn.MINIFS('Promo Calendar'!$I$6:$I$400,'Promo Calendar'!$A$6:$A$400,$A77,'Promo Calendar'!$I$6:$I$400,"&gt;"&amp;TODAY())))</f>
        <v/>
      </c>
      <c r="W77" s="38">
        <f>IF($A77="","",COUNTIFS('Visit Log'!$C$6:$C$1005,$A77,'Visit Log'!$A$6:$A$1005,"&gt;="&amp;TODAY()-30))</f>
        <v/>
      </c>
      <c r="X77" s="38">
        <f>IF($A77="","",COUNTIFS('Visit Log'!$C$6:$C$1005,$A77,'Visit Log'!$T$6:$T$1005,"Open")+COUNTIFS('Visit Log'!$C$6:$C$1005,$A77,'Visit Log'!$T$6:$T$1005,"In Progress"))</f>
        <v/>
      </c>
      <c r="Y77" s="40">
        <f>IF($A77="","",IF(COUNTIFS('Visit Log'!$C$6:$C$1005,$A77)=0,"No visits",_xlfn.MAXIFS('Visit Log'!$A$6:$A$1005,'Visit Log'!$C$6:$C$1005,$A77)))</f>
        <v/>
      </c>
    </row>
    <row r="78">
      <c r="O78" s="38">
        <f>IF($A78="","",IF(COUNTIFS('Promo Calendar'!$A$6:$A$400,$A78,'Promo Calendar'!$L$6:$L$400,"Active")=0,"None active",INDEX('Promo Calendar'!$F$6:$F$400,MATCH($A78,'Promo Calendar'!$O$6:$O$400,0))&amp;IF(COUNTIFS('Promo Calendar'!$A$6:$A$400,$A78,'Promo Calendar'!$L$6:$L$400,"Active")&gt;1," (+"&amp;(COUNTIFS('Promo Calendar'!$A$6:$A$400,$A78,'Promo Calendar'!$L$6:$L$400,"Active")-1)&amp;" more)","")))</f>
        <v/>
      </c>
      <c r="P78" s="39">
        <f>IF($A78="","",IF(COUNTIFS('Promo Calendar'!$A$6:$A$400,$A78,'Promo Calendar'!$L$6:$L$400,"Active",'Promo Calendar'!$G$6:$G$400,"&gt;0")&gt;0,_xlfn.MINIFS('Promo Calendar'!$G$6:$G$400,'Promo Calendar'!$A$6:$A$400,$A78,'Promo Calendar'!$L$6:$L$400,"Active",'Promo Calendar'!$G$6:$G$400,"&gt;0"),IF(M78="","Not set",M78)))</f>
        <v/>
      </c>
      <c r="Q78" s="40">
        <f>IF($A78="","",IF(COUNTIFS('Promo Calendar'!$A$6:$A$400,$A78,'Promo Calendar'!$I$6:$I$400,"&gt;"&amp;TODAY())=0,"None scheduled",_xlfn.MINIFS('Promo Calendar'!$I$6:$I$400,'Promo Calendar'!$A$6:$A$400,$A78,'Promo Calendar'!$I$6:$I$400,"&gt;"&amp;TODAY())))</f>
        <v/>
      </c>
      <c r="W78" s="38">
        <f>IF($A78="","",COUNTIFS('Visit Log'!$C$6:$C$1005,$A78,'Visit Log'!$A$6:$A$1005,"&gt;="&amp;TODAY()-30))</f>
        <v/>
      </c>
      <c r="X78" s="38">
        <f>IF($A78="","",COUNTIFS('Visit Log'!$C$6:$C$1005,$A78,'Visit Log'!$T$6:$T$1005,"Open")+COUNTIFS('Visit Log'!$C$6:$C$1005,$A78,'Visit Log'!$T$6:$T$1005,"In Progress"))</f>
        <v/>
      </c>
      <c r="Y78" s="40">
        <f>IF($A78="","",IF(COUNTIFS('Visit Log'!$C$6:$C$1005,$A78)=0,"No visits",_xlfn.MAXIFS('Visit Log'!$A$6:$A$1005,'Visit Log'!$C$6:$C$1005,$A78)))</f>
        <v/>
      </c>
    </row>
    <row r="79">
      <c r="O79" s="38">
        <f>IF($A79="","",IF(COUNTIFS('Promo Calendar'!$A$6:$A$400,$A79,'Promo Calendar'!$L$6:$L$400,"Active")=0,"None active",INDEX('Promo Calendar'!$F$6:$F$400,MATCH($A79,'Promo Calendar'!$O$6:$O$400,0))&amp;IF(COUNTIFS('Promo Calendar'!$A$6:$A$400,$A79,'Promo Calendar'!$L$6:$L$400,"Active")&gt;1," (+"&amp;(COUNTIFS('Promo Calendar'!$A$6:$A$400,$A79,'Promo Calendar'!$L$6:$L$400,"Active")-1)&amp;" more)","")))</f>
        <v/>
      </c>
      <c r="P79" s="39">
        <f>IF($A79="","",IF(COUNTIFS('Promo Calendar'!$A$6:$A$400,$A79,'Promo Calendar'!$L$6:$L$400,"Active",'Promo Calendar'!$G$6:$G$400,"&gt;0")&gt;0,_xlfn.MINIFS('Promo Calendar'!$G$6:$G$400,'Promo Calendar'!$A$6:$A$400,$A79,'Promo Calendar'!$L$6:$L$400,"Active",'Promo Calendar'!$G$6:$G$400,"&gt;0"),IF(M79="","Not set",M79)))</f>
        <v/>
      </c>
      <c r="Q79" s="40">
        <f>IF($A79="","",IF(COUNTIFS('Promo Calendar'!$A$6:$A$400,$A79,'Promo Calendar'!$I$6:$I$400,"&gt;"&amp;TODAY())=0,"None scheduled",_xlfn.MINIFS('Promo Calendar'!$I$6:$I$400,'Promo Calendar'!$A$6:$A$400,$A79,'Promo Calendar'!$I$6:$I$400,"&gt;"&amp;TODAY())))</f>
        <v/>
      </c>
      <c r="W79" s="38">
        <f>IF($A79="","",COUNTIFS('Visit Log'!$C$6:$C$1005,$A79,'Visit Log'!$A$6:$A$1005,"&gt;="&amp;TODAY()-30))</f>
        <v/>
      </c>
      <c r="X79" s="38">
        <f>IF($A79="","",COUNTIFS('Visit Log'!$C$6:$C$1005,$A79,'Visit Log'!$T$6:$T$1005,"Open")+COUNTIFS('Visit Log'!$C$6:$C$1005,$A79,'Visit Log'!$T$6:$T$1005,"In Progress"))</f>
        <v/>
      </c>
      <c r="Y79" s="40">
        <f>IF($A79="","",IF(COUNTIFS('Visit Log'!$C$6:$C$1005,$A79)=0,"No visits",_xlfn.MAXIFS('Visit Log'!$A$6:$A$1005,'Visit Log'!$C$6:$C$1005,$A79)))</f>
        <v/>
      </c>
    </row>
    <row r="80">
      <c r="O80" s="38">
        <f>IF($A80="","",IF(COUNTIFS('Promo Calendar'!$A$6:$A$400,$A80,'Promo Calendar'!$L$6:$L$400,"Active")=0,"None active",INDEX('Promo Calendar'!$F$6:$F$400,MATCH($A80,'Promo Calendar'!$O$6:$O$400,0))&amp;IF(COUNTIFS('Promo Calendar'!$A$6:$A$400,$A80,'Promo Calendar'!$L$6:$L$400,"Active")&gt;1," (+"&amp;(COUNTIFS('Promo Calendar'!$A$6:$A$400,$A80,'Promo Calendar'!$L$6:$L$400,"Active")-1)&amp;" more)","")))</f>
        <v/>
      </c>
      <c r="P80" s="39">
        <f>IF($A80="","",IF(COUNTIFS('Promo Calendar'!$A$6:$A$400,$A80,'Promo Calendar'!$L$6:$L$400,"Active",'Promo Calendar'!$G$6:$G$400,"&gt;0")&gt;0,_xlfn.MINIFS('Promo Calendar'!$G$6:$G$400,'Promo Calendar'!$A$6:$A$400,$A80,'Promo Calendar'!$L$6:$L$400,"Active",'Promo Calendar'!$G$6:$G$400,"&gt;0"),IF(M80="","Not set",M80)))</f>
        <v/>
      </c>
      <c r="Q80" s="40">
        <f>IF($A80="","",IF(COUNTIFS('Promo Calendar'!$A$6:$A$400,$A80,'Promo Calendar'!$I$6:$I$400,"&gt;"&amp;TODAY())=0,"None scheduled",_xlfn.MINIFS('Promo Calendar'!$I$6:$I$400,'Promo Calendar'!$A$6:$A$400,$A80,'Promo Calendar'!$I$6:$I$400,"&gt;"&amp;TODAY())))</f>
        <v/>
      </c>
      <c r="W80" s="38">
        <f>IF($A80="","",COUNTIFS('Visit Log'!$C$6:$C$1005,$A80,'Visit Log'!$A$6:$A$1005,"&gt;="&amp;TODAY()-30))</f>
        <v/>
      </c>
      <c r="X80" s="38">
        <f>IF($A80="","",COUNTIFS('Visit Log'!$C$6:$C$1005,$A80,'Visit Log'!$T$6:$T$1005,"Open")+COUNTIFS('Visit Log'!$C$6:$C$1005,$A80,'Visit Log'!$T$6:$T$1005,"In Progress"))</f>
        <v/>
      </c>
      <c r="Y80" s="40">
        <f>IF($A80="","",IF(COUNTIFS('Visit Log'!$C$6:$C$1005,$A80)=0,"No visits",_xlfn.MAXIFS('Visit Log'!$A$6:$A$1005,'Visit Log'!$C$6:$C$1005,$A80)))</f>
        <v/>
      </c>
    </row>
    <row r="81">
      <c r="O81" s="38">
        <f>IF($A81="","",IF(COUNTIFS('Promo Calendar'!$A$6:$A$400,$A81,'Promo Calendar'!$L$6:$L$400,"Active")=0,"None active",INDEX('Promo Calendar'!$F$6:$F$400,MATCH($A81,'Promo Calendar'!$O$6:$O$400,0))&amp;IF(COUNTIFS('Promo Calendar'!$A$6:$A$400,$A81,'Promo Calendar'!$L$6:$L$400,"Active")&gt;1," (+"&amp;(COUNTIFS('Promo Calendar'!$A$6:$A$400,$A81,'Promo Calendar'!$L$6:$L$400,"Active")-1)&amp;" more)","")))</f>
        <v/>
      </c>
      <c r="P81" s="39">
        <f>IF($A81="","",IF(COUNTIFS('Promo Calendar'!$A$6:$A$400,$A81,'Promo Calendar'!$L$6:$L$400,"Active",'Promo Calendar'!$G$6:$G$400,"&gt;0")&gt;0,_xlfn.MINIFS('Promo Calendar'!$G$6:$G$400,'Promo Calendar'!$A$6:$A$400,$A81,'Promo Calendar'!$L$6:$L$400,"Active",'Promo Calendar'!$G$6:$G$400,"&gt;0"),IF(M81="","Not set",M81)))</f>
        <v/>
      </c>
      <c r="Q81" s="40">
        <f>IF($A81="","",IF(COUNTIFS('Promo Calendar'!$A$6:$A$400,$A81,'Promo Calendar'!$I$6:$I$400,"&gt;"&amp;TODAY())=0,"None scheduled",_xlfn.MINIFS('Promo Calendar'!$I$6:$I$400,'Promo Calendar'!$A$6:$A$400,$A81,'Promo Calendar'!$I$6:$I$400,"&gt;"&amp;TODAY())))</f>
        <v/>
      </c>
      <c r="W81" s="38">
        <f>IF($A81="","",COUNTIFS('Visit Log'!$C$6:$C$1005,$A81,'Visit Log'!$A$6:$A$1005,"&gt;="&amp;TODAY()-30))</f>
        <v/>
      </c>
      <c r="X81" s="38">
        <f>IF($A81="","",COUNTIFS('Visit Log'!$C$6:$C$1005,$A81,'Visit Log'!$T$6:$T$1005,"Open")+COUNTIFS('Visit Log'!$C$6:$C$1005,$A81,'Visit Log'!$T$6:$T$1005,"In Progress"))</f>
        <v/>
      </c>
      <c r="Y81" s="40">
        <f>IF($A81="","",IF(COUNTIFS('Visit Log'!$C$6:$C$1005,$A81)=0,"No visits",_xlfn.MAXIFS('Visit Log'!$A$6:$A$1005,'Visit Log'!$C$6:$C$1005,$A81)))</f>
        <v/>
      </c>
    </row>
    <row r="82">
      <c r="O82" s="38">
        <f>IF($A82="","",IF(COUNTIFS('Promo Calendar'!$A$6:$A$400,$A82,'Promo Calendar'!$L$6:$L$400,"Active")=0,"None active",INDEX('Promo Calendar'!$F$6:$F$400,MATCH($A82,'Promo Calendar'!$O$6:$O$400,0))&amp;IF(COUNTIFS('Promo Calendar'!$A$6:$A$400,$A82,'Promo Calendar'!$L$6:$L$400,"Active")&gt;1," (+"&amp;(COUNTIFS('Promo Calendar'!$A$6:$A$400,$A82,'Promo Calendar'!$L$6:$L$400,"Active")-1)&amp;" more)","")))</f>
        <v/>
      </c>
      <c r="P82" s="39">
        <f>IF($A82="","",IF(COUNTIFS('Promo Calendar'!$A$6:$A$400,$A82,'Promo Calendar'!$L$6:$L$400,"Active",'Promo Calendar'!$G$6:$G$400,"&gt;0")&gt;0,_xlfn.MINIFS('Promo Calendar'!$G$6:$G$400,'Promo Calendar'!$A$6:$A$400,$A82,'Promo Calendar'!$L$6:$L$400,"Active",'Promo Calendar'!$G$6:$G$400,"&gt;0"),IF(M82="","Not set",M82)))</f>
        <v/>
      </c>
      <c r="Q82" s="40">
        <f>IF($A82="","",IF(COUNTIFS('Promo Calendar'!$A$6:$A$400,$A82,'Promo Calendar'!$I$6:$I$400,"&gt;"&amp;TODAY())=0,"None scheduled",_xlfn.MINIFS('Promo Calendar'!$I$6:$I$400,'Promo Calendar'!$A$6:$A$400,$A82,'Promo Calendar'!$I$6:$I$400,"&gt;"&amp;TODAY())))</f>
        <v/>
      </c>
      <c r="W82" s="38">
        <f>IF($A82="","",COUNTIFS('Visit Log'!$C$6:$C$1005,$A82,'Visit Log'!$A$6:$A$1005,"&gt;="&amp;TODAY()-30))</f>
        <v/>
      </c>
      <c r="X82" s="38">
        <f>IF($A82="","",COUNTIFS('Visit Log'!$C$6:$C$1005,$A82,'Visit Log'!$T$6:$T$1005,"Open")+COUNTIFS('Visit Log'!$C$6:$C$1005,$A82,'Visit Log'!$T$6:$T$1005,"In Progress"))</f>
        <v/>
      </c>
      <c r="Y82" s="40">
        <f>IF($A82="","",IF(COUNTIFS('Visit Log'!$C$6:$C$1005,$A82)=0,"No visits",_xlfn.MAXIFS('Visit Log'!$A$6:$A$1005,'Visit Log'!$C$6:$C$1005,$A82)))</f>
        <v/>
      </c>
    </row>
    <row r="83">
      <c r="O83" s="38">
        <f>IF($A83="","",IF(COUNTIFS('Promo Calendar'!$A$6:$A$400,$A83,'Promo Calendar'!$L$6:$L$400,"Active")=0,"None active",INDEX('Promo Calendar'!$F$6:$F$400,MATCH($A83,'Promo Calendar'!$O$6:$O$400,0))&amp;IF(COUNTIFS('Promo Calendar'!$A$6:$A$400,$A83,'Promo Calendar'!$L$6:$L$400,"Active")&gt;1," (+"&amp;(COUNTIFS('Promo Calendar'!$A$6:$A$400,$A83,'Promo Calendar'!$L$6:$L$400,"Active")-1)&amp;" more)","")))</f>
        <v/>
      </c>
      <c r="P83" s="39">
        <f>IF($A83="","",IF(COUNTIFS('Promo Calendar'!$A$6:$A$400,$A83,'Promo Calendar'!$L$6:$L$400,"Active",'Promo Calendar'!$G$6:$G$400,"&gt;0")&gt;0,_xlfn.MINIFS('Promo Calendar'!$G$6:$G$400,'Promo Calendar'!$A$6:$A$400,$A83,'Promo Calendar'!$L$6:$L$400,"Active",'Promo Calendar'!$G$6:$G$400,"&gt;0"),IF(M83="","Not set",M83)))</f>
        <v/>
      </c>
      <c r="Q83" s="40">
        <f>IF($A83="","",IF(COUNTIFS('Promo Calendar'!$A$6:$A$400,$A83,'Promo Calendar'!$I$6:$I$400,"&gt;"&amp;TODAY())=0,"None scheduled",_xlfn.MINIFS('Promo Calendar'!$I$6:$I$400,'Promo Calendar'!$A$6:$A$400,$A83,'Promo Calendar'!$I$6:$I$400,"&gt;"&amp;TODAY())))</f>
        <v/>
      </c>
      <c r="W83" s="38">
        <f>IF($A83="","",COUNTIFS('Visit Log'!$C$6:$C$1005,$A83,'Visit Log'!$A$6:$A$1005,"&gt;="&amp;TODAY()-30))</f>
        <v/>
      </c>
      <c r="X83" s="38">
        <f>IF($A83="","",COUNTIFS('Visit Log'!$C$6:$C$1005,$A83,'Visit Log'!$T$6:$T$1005,"Open")+COUNTIFS('Visit Log'!$C$6:$C$1005,$A83,'Visit Log'!$T$6:$T$1005,"In Progress"))</f>
        <v/>
      </c>
      <c r="Y83" s="40">
        <f>IF($A83="","",IF(COUNTIFS('Visit Log'!$C$6:$C$1005,$A83)=0,"No visits",_xlfn.MAXIFS('Visit Log'!$A$6:$A$1005,'Visit Log'!$C$6:$C$1005,$A83)))</f>
        <v/>
      </c>
    </row>
    <row r="84">
      <c r="O84" s="38">
        <f>IF($A84="","",IF(COUNTIFS('Promo Calendar'!$A$6:$A$400,$A84,'Promo Calendar'!$L$6:$L$400,"Active")=0,"None active",INDEX('Promo Calendar'!$F$6:$F$400,MATCH($A84,'Promo Calendar'!$O$6:$O$400,0))&amp;IF(COUNTIFS('Promo Calendar'!$A$6:$A$400,$A84,'Promo Calendar'!$L$6:$L$400,"Active")&gt;1," (+"&amp;(COUNTIFS('Promo Calendar'!$A$6:$A$400,$A84,'Promo Calendar'!$L$6:$L$400,"Active")-1)&amp;" more)","")))</f>
        <v/>
      </c>
      <c r="P84" s="39">
        <f>IF($A84="","",IF(COUNTIFS('Promo Calendar'!$A$6:$A$400,$A84,'Promo Calendar'!$L$6:$L$400,"Active",'Promo Calendar'!$G$6:$G$400,"&gt;0")&gt;0,_xlfn.MINIFS('Promo Calendar'!$G$6:$G$400,'Promo Calendar'!$A$6:$A$400,$A84,'Promo Calendar'!$L$6:$L$400,"Active",'Promo Calendar'!$G$6:$G$400,"&gt;0"),IF(M84="","Not set",M84)))</f>
        <v/>
      </c>
      <c r="Q84" s="40">
        <f>IF($A84="","",IF(COUNTIFS('Promo Calendar'!$A$6:$A$400,$A84,'Promo Calendar'!$I$6:$I$400,"&gt;"&amp;TODAY())=0,"None scheduled",_xlfn.MINIFS('Promo Calendar'!$I$6:$I$400,'Promo Calendar'!$A$6:$A$400,$A84,'Promo Calendar'!$I$6:$I$400,"&gt;"&amp;TODAY())))</f>
        <v/>
      </c>
      <c r="W84" s="38">
        <f>IF($A84="","",COUNTIFS('Visit Log'!$C$6:$C$1005,$A84,'Visit Log'!$A$6:$A$1005,"&gt;="&amp;TODAY()-30))</f>
        <v/>
      </c>
      <c r="X84" s="38">
        <f>IF($A84="","",COUNTIFS('Visit Log'!$C$6:$C$1005,$A84,'Visit Log'!$T$6:$T$1005,"Open")+COUNTIFS('Visit Log'!$C$6:$C$1005,$A84,'Visit Log'!$T$6:$T$1005,"In Progress"))</f>
        <v/>
      </c>
      <c r="Y84" s="40">
        <f>IF($A84="","",IF(COUNTIFS('Visit Log'!$C$6:$C$1005,$A84)=0,"No visits",_xlfn.MAXIFS('Visit Log'!$A$6:$A$1005,'Visit Log'!$C$6:$C$1005,$A84)))</f>
        <v/>
      </c>
    </row>
    <row r="85">
      <c r="O85" s="38">
        <f>IF($A85="","",IF(COUNTIFS('Promo Calendar'!$A$6:$A$400,$A85,'Promo Calendar'!$L$6:$L$400,"Active")=0,"None active",INDEX('Promo Calendar'!$F$6:$F$400,MATCH($A85,'Promo Calendar'!$O$6:$O$400,0))&amp;IF(COUNTIFS('Promo Calendar'!$A$6:$A$400,$A85,'Promo Calendar'!$L$6:$L$400,"Active")&gt;1," (+"&amp;(COUNTIFS('Promo Calendar'!$A$6:$A$400,$A85,'Promo Calendar'!$L$6:$L$400,"Active")-1)&amp;" more)","")))</f>
        <v/>
      </c>
      <c r="P85" s="39">
        <f>IF($A85="","",IF(COUNTIFS('Promo Calendar'!$A$6:$A$400,$A85,'Promo Calendar'!$L$6:$L$400,"Active",'Promo Calendar'!$G$6:$G$400,"&gt;0")&gt;0,_xlfn.MINIFS('Promo Calendar'!$G$6:$G$400,'Promo Calendar'!$A$6:$A$400,$A85,'Promo Calendar'!$L$6:$L$400,"Active",'Promo Calendar'!$G$6:$G$400,"&gt;0"),IF(M85="","Not set",M85)))</f>
        <v/>
      </c>
      <c r="Q85" s="40">
        <f>IF($A85="","",IF(COUNTIFS('Promo Calendar'!$A$6:$A$400,$A85,'Promo Calendar'!$I$6:$I$400,"&gt;"&amp;TODAY())=0,"None scheduled",_xlfn.MINIFS('Promo Calendar'!$I$6:$I$400,'Promo Calendar'!$A$6:$A$400,$A85,'Promo Calendar'!$I$6:$I$400,"&gt;"&amp;TODAY())))</f>
        <v/>
      </c>
      <c r="W85" s="38">
        <f>IF($A85="","",COUNTIFS('Visit Log'!$C$6:$C$1005,$A85,'Visit Log'!$A$6:$A$1005,"&gt;="&amp;TODAY()-30))</f>
        <v/>
      </c>
      <c r="X85" s="38">
        <f>IF($A85="","",COUNTIFS('Visit Log'!$C$6:$C$1005,$A85,'Visit Log'!$T$6:$T$1005,"Open")+COUNTIFS('Visit Log'!$C$6:$C$1005,$A85,'Visit Log'!$T$6:$T$1005,"In Progress"))</f>
        <v/>
      </c>
      <c r="Y85" s="40">
        <f>IF($A85="","",IF(COUNTIFS('Visit Log'!$C$6:$C$1005,$A85)=0,"No visits",_xlfn.MAXIFS('Visit Log'!$A$6:$A$1005,'Visit Log'!$C$6:$C$1005,$A85)))</f>
        <v/>
      </c>
    </row>
    <row r="86">
      <c r="O86" s="38">
        <f>IF($A86="","",IF(COUNTIFS('Promo Calendar'!$A$6:$A$400,$A86,'Promo Calendar'!$L$6:$L$400,"Active")=0,"None active",INDEX('Promo Calendar'!$F$6:$F$400,MATCH($A86,'Promo Calendar'!$O$6:$O$400,0))&amp;IF(COUNTIFS('Promo Calendar'!$A$6:$A$400,$A86,'Promo Calendar'!$L$6:$L$400,"Active")&gt;1," (+"&amp;(COUNTIFS('Promo Calendar'!$A$6:$A$400,$A86,'Promo Calendar'!$L$6:$L$400,"Active")-1)&amp;" more)","")))</f>
        <v/>
      </c>
      <c r="P86" s="39">
        <f>IF($A86="","",IF(COUNTIFS('Promo Calendar'!$A$6:$A$400,$A86,'Promo Calendar'!$L$6:$L$400,"Active",'Promo Calendar'!$G$6:$G$400,"&gt;0")&gt;0,_xlfn.MINIFS('Promo Calendar'!$G$6:$G$400,'Promo Calendar'!$A$6:$A$400,$A86,'Promo Calendar'!$L$6:$L$400,"Active",'Promo Calendar'!$G$6:$G$400,"&gt;0"),IF(M86="","Not set",M86)))</f>
        <v/>
      </c>
      <c r="Q86" s="40">
        <f>IF($A86="","",IF(COUNTIFS('Promo Calendar'!$A$6:$A$400,$A86,'Promo Calendar'!$I$6:$I$400,"&gt;"&amp;TODAY())=0,"None scheduled",_xlfn.MINIFS('Promo Calendar'!$I$6:$I$400,'Promo Calendar'!$A$6:$A$400,$A86,'Promo Calendar'!$I$6:$I$400,"&gt;"&amp;TODAY())))</f>
        <v/>
      </c>
      <c r="W86" s="38">
        <f>IF($A86="","",COUNTIFS('Visit Log'!$C$6:$C$1005,$A86,'Visit Log'!$A$6:$A$1005,"&gt;="&amp;TODAY()-30))</f>
        <v/>
      </c>
      <c r="X86" s="38">
        <f>IF($A86="","",COUNTIFS('Visit Log'!$C$6:$C$1005,$A86,'Visit Log'!$T$6:$T$1005,"Open")+COUNTIFS('Visit Log'!$C$6:$C$1005,$A86,'Visit Log'!$T$6:$T$1005,"In Progress"))</f>
        <v/>
      </c>
      <c r="Y86" s="40">
        <f>IF($A86="","",IF(COUNTIFS('Visit Log'!$C$6:$C$1005,$A86)=0,"No visits",_xlfn.MAXIFS('Visit Log'!$A$6:$A$1005,'Visit Log'!$C$6:$C$1005,$A86)))</f>
        <v/>
      </c>
    </row>
    <row r="87">
      <c r="O87" s="38">
        <f>IF($A87="","",IF(COUNTIFS('Promo Calendar'!$A$6:$A$400,$A87,'Promo Calendar'!$L$6:$L$400,"Active")=0,"None active",INDEX('Promo Calendar'!$F$6:$F$400,MATCH($A87,'Promo Calendar'!$O$6:$O$400,0))&amp;IF(COUNTIFS('Promo Calendar'!$A$6:$A$400,$A87,'Promo Calendar'!$L$6:$L$400,"Active")&gt;1," (+"&amp;(COUNTIFS('Promo Calendar'!$A$6:$A$400,$A87,'Promo Calendar'!$L$6:$L$400,"Active")-1)&amp;" more)","")))</f>
        <v/>
      </c>
      <c r="P87" s="39">
        <f>IF($A87="","",IF(COUNTIFS('Promo Calendar'!$A$6:$A$400,$A87,'Promo Calendar'!$L$6:$L$400,"Active",'Promo Calendar'!$G$6:$G$400,"&gt;0")&gt;0,_xlfn.MINIFS('Promo Calendar'!$G$6:$G$400,'Promo Calendar'!$A$6:$A$400,$A87,'Promo Calendar'!$L$6:$L$400,"Active",'Promo Calendar'!$G$6:$G$400,"&gt;0"),IF(M87="","Not set",M87)))</f>
        <v/>
      </c>
      <c r="Q87" s="40">
        <f>IF($A87="","",IF(COUNTIFS('Promo Calendar'!$A$6:$A$400,$A87,'Promo Calendar'!$I$6:$I$400,"&gt;"&amp;TODAY())=0,"None scheduled",_xlfn.MINIFS('Promo Calendar'!$I$6:$I$400,'Promo Calendar'!$A$6:$A$400,$A87,'Promo Calendar'!$I$6:$I$400,"&gt;"&amp;TODAY())))</f>
        <v/>
      </c>
      <c r="W87" s="38">
        <f>IF($A87="","",COUNTIFS('Visit Log'!$C$6:$C$1005,$A87,'Visit Log'!$A$6:$A$1005,"&gt;="&amp;TODAY()-30))</f>
        <v/>
      </c>
      <c r="X87" s="38">
        <f>IF($A87="","",COUNTIFS('Visit Log'!$C$6:$C$1005,$A87,'Visit Log'!$T$6:$T$1005,"Open")+COUNTIFS('Visit Log'!$C$6:$C$1005,$A87,'Visit Log'!$T$6:$T$1005,"In Progress"))</f>
        <v/>
      </c>
      <c r="Y87" s="40">
        <f>IF($A87="","",IF(COUNTIFS('Visit Log'!$C$6:$C$1005,$A87)=0,"No visits",_xlfn.MAXIFS('Visit Log'!$A$6:$A$1005,'Visit Log'!$C$6:$C$1005,$A87)))</f>
        <v/>
      </c>
    </row>
    <row r="88">
      <c r="O88" s="38">
        <f>IF($A88="","",IF(COUNTIFS('Promo Calendar'!$A$6:$A$400,$A88,'Promo Calendar'!$L$6:$L$400,"Active")=0,"None active",INDEX('Promo Calendar'!$F$6:$F$400,MATCH($A88,'Promo Calendar'!$O$6:$O$400,0))&amp;IF(COUNTIFS('Promo Calendar'!$A$6:$A$400,$A88,'Promo Calendar'!$L$6:$L$400,"Active")&gt;1," (+"&amp;(COUNTIFS('Promo Calendar'!$A$6:$A$400,$A88,'Promo Calendar'!$L$6:$L$400,"Active")-1)&amp;" more)","")))</f>
        <v/>
      </c>
      <c r="P88" s="39">
        <f>IF($A88="","",IF(COUNTIFS('Promo Calendar'!$A$6:$A$400,$A88,'Promo Calendar'!$L$6:$L$400,"Active",'Promo Calendar'!$G$6:$G$400,"&gt;0")&gt;0,_xlfn.MINIFS('Promo Calendar'!$G$6:$G$400,'Promo Calendar'!$A$6:$A$400,$A88,'Promo Calendar'!$L$6:$L$400,"Active",'Promo Calendar'!$G$6:$G$400,"&gt;0"),IF(M88="","Not set",M88)))</f>
        <v/>
      </c>
      <c r="Q88" s="40">
        <f>IF($A88="","",IF(COUNTIFS('Promo Calendar'!$A$6:$A$400,$A88,'Promo Calendar'!$I$6:$I$400,"&gt;"&amp;TODAY())=0,"None scheduled",_xlfn.MINIFS('Promo Calendar'!$I$6:$I$400,'Promo Calendar'!$A$6:$A$400,$A88,'Promo Calendar'!$I$6:$I$400,"&gt;"&amp;TODAY())))</f>
        <v/>
      </c>
      <c r="W88" s="38">
        <f>IF($A88="","",COUNTIFS('Visit Log'!$C$6:$C$1005,$A88,'Visit Log'!$A$6:$A$1005,"&gt;="&amp;TODAY()-30))</f>
        <v/>
      </c>
      <c r="X88" s="38">
        <f>IF($A88="","",COUNTIFS('Visit Log'!$C$6:$C$1005,$A88,'Visit Log'!$T$6:$T$1005,"Open")+COUNTIFS('Visit Log'!$C$6:$C$1005,$A88,'Visit Log'!$T$6:$T$1005,"In Progress"))</f>
        <v/>
      </c>
      <c r="Y88" s="40">
        <f>IF($A88="","",IF(COUNTIFS('Visit Log'!$C$6:$C$1005,$A88)=0,"No visits",_xlfn.MAXIFS('Visit Log'!$A$6:$A$1005,'Visit Log'!$C$6:$C$1005,$A88)))</f>
        <v/>
      </c>
    </row>
    <row r="89">
      <c r="O89" s="38">
        <f>IF($A89="","",IF(COUNTIFS('Promo Calendar'!$A$6:$A$400,$A89,'Promo Calendar'!$L$6:$L$400,"Active")=0,"None active",INDEX('Promo Calendar'!$F$6:$F$400,MATCH($A89,'Promo Calendar'!$O$6:$O$400,0))&amp;IF(COUNTIFS('Promo Calendar'!$A$6:$A$400,$A89,'Promo Calendar'!$L$6:$L$400,"Active")&gt;1," (+"&amp;(COUNTIFS('Promo Calendar'!$A$6:$A$400,$A89,'Promo Calendar'!$L$6:$L$400,"Active")-1)&amp;" more)","")))</f>
        <v/>
      </c>
      <c r="P89" s="39">
        <f>IF($A89="","",IF(COUNTIFS('Promo Calendar'!$A$6:$A$400,$A89,'Promo Calendar'!$L$6:$L$400,"Active",'Promo Calendar'!$G$6:$G$400,"&gt;0")&gt;0,_xlfn.MINIFS('Promo Calendar'!$G$6:$G$400,'Promo Calendar'!$A$6:$A$400,$A89,'Promo Calendar'!$L$6:$L$400,"Active",'Promo Calendar'!$G$6:$G$400,"&gt;0"),IF(M89="","Not set",M89)))</f>
        <v/>
      </c>
      <c r="Q89" s="40">
        <f>IF($A89="","",IF(COUNTIFS('Promo Calendar'!$A$6:$A$400,$A89,'Promo Calendar'!$I$6:$I$400,"&gt;"&amp;TODAY())=0,"None scheduled",_xlfn.MINIFS('Promo Calendar'!$I$6:$I$400,'Promo Calendar'!$A$6:$A$400,$A89,'Promo Calendar'!$I$6:$I$400,"&gt;"&amp;TODAY())))</f>
        <v/>
      </c>
      <c r="W89" s="38">
        <f>IF($A89="","",COUNTIFS('Visit Log'!$C$6:$C$1005,$A89,'Visit Log'!$A$6:$A$1005,"&gt;="&amp;TODAY()-30))</f>
        <v/>
      </c>
      <c r="X89" s="38">
        <f>IF($A89="","",COUNTIFS('Visit Log'!$C$6:$C$1005,$A89,'Visit Log'!$T$6:$T$1005,"Open")+COUNTIFS('Visit Log'!$C$6:$C$1005,$A89,'Visit Log'!$T$6:$T$1005,"In Progress"))</f>
        <v/>
      </c>
      <c r="Y89" s="40">
        <f>IF($A89="","",IF(COUNTIFS('Visit Log'!$C$6:$C$1005,$A89)=0,"No visits",_xlfn.MAXIFS('Visit Log'!$A$6:$A$1005,'Visit Log'!$C$6:$C$1005,$A89)))</f>
        <v/>
      </c>
    </row>
    <row r="90">
      <c r="O90" s="38">
        <f>IF($A90="","",IF(COUNTIFS('Promo Calendar'!$A$6:$A$400,$A90,'Promo Calendar'!$L$6:$L$400,"Active")=0,"None active",INDEX('Promo Calendar'!$F$6:$F$400,MATCH($A90,'Promo Calendar'!$O$6:$O$400,0))&amp;IF(COUNTIFS('Promo Calendar'!$A$6:$A$400,$A90,'Promo Calendar'!$L$6:$L$400,"Active")&gt;1," (+"&amp;(COUNTIFS('Promo Calendar'!$A$6:$A$400,$A90,'Promo Calendar'!$L$6:$L$400,"Active")-1)&amp;" more)","")))</f>
        <v/>
      </c>
      <c r="P90" s="39">
        <f>IF($A90="","",IF(COUNTIFS('Promo Calendar'!$A$6:$A$400,$A90,'Promo Calendar'!$L$6:$L$400,"Active",'Promo Calendar'!$G$6:$G$400,"&gt;0")&gt;0,_xlfn.MINIFS('Promo Calendar'!$G$6:$G$400,'Promo Calendar'!$A$6:$A$400,$A90,'Promo Calendar'!$L$6:$L$400,"Active",'Promo Calendar'!$G$6:$G$400,"&gt;0"),IF(M90="","Not set",M90)))</f>
        <v/>
      </c>
      <c r="Q90" s="40">
        <f>IF($A90="","",IF(COUNTIFS('Promo Calendar'!$A$6:$A$400,$A90,'Promo Calendar'!$I$6:$I$400,"&gt;"&amp;TODAY())=0,"None scheduled",_xlfn.MINIFS('Promo Calendar'!$I$6:$I$400,'Promo Calendar'!$A$6:$A$400,$A90,'Promo Calendar'!$I$6:$I$400,"&gt;"&amp;TODAY())))</f>
        <v/>
      </c>
      <c r="W90" s="38">
        <f>IF($A90="","",COUNTIFS('Visit Log'!$C$6:$C$1005,$A90,'Visit Log'!$A$6:$A$1005,"&gt;="&amp;TODAY()-30))</f>
        <v/>
      </c>
      <c r="X90" s="38">
        <f>IF($A90="","",COUNTIFS('Visit Log'!$C$6:$C$1005,$A90,'Visit Log'!$T$6:$T$1005,"Open")+COUNTIFS('Visit Log'!$C$6:$C$1005,$A90,'Visit Log'!$T$6:$T$1005,"In Progress"))</f>
        <v/>
      </c>
      <c r="Y90" s="40">
        <f>IF($A90="","",IF(COUNTIFS('Visit Log'!$C$6:$C$1005,$A90)=0,"No visits",_xlfn.MAXIFS('Visit Log'!$A$6:$A$1005,'Visit Log'!$C$6:$C$1005,$A90)))</f>
        <v/>
      </c>
    </row>
    <row r="91">
      <c r="O91" s="38">
        <f>IF($A91="","",IF(COUNTIFS('Promo Calendar'!$A$6:$A$400,$A91,'Promo Calendar'!$L$6:$L$400,"Active")=0,"None active",INDEX('Promo Calendar'!$F$6:$F$400,MATCH($A91,'Promo Calendar'!$O$6:$O$400,0))&amp;IF(COUNTIFS('Promo Calendar'!$A$6:$A$400,$A91,'Promo Calendar'!$L$6:$L$400,"Active")&gt;1," (+"&amp;(COUNTIFS('Promo Calendar'!$A$6:$A$400,$A91,'Promo Calendar'!$L$6:$L$400,"Active")-1)&amp;" more)","")))</f>
        <v/>
      </c>
      <c r="P91" s="39">
        <f>IF($A91="","",IF(COUNTIFS('Promo Calendar'!$A$6:$A$400,$A91,'Promo Calendar'!$L$6:$L$400,"Active",'Promo Calendar'!$G$6:$G$400,"&gt;0")&gt;0,_xlfn.MINIFS('Promo Calendar'!$G$6:$G$400,'Promo Calendar'!$A$6:$A$400,$A91,'Promo Calendar'!$L$6:$L$400,"Active",'Promo Calendar'!$G$6:$G$400,"&gt;0"),IF(M91="","Not set",M91)))</f>
        <v/>
      </c>
      <c r="Q91" s="40">
        <f>IF($A91="","",IF(COUNTIFS('Promo Calendar'!$A$6:$A$400,$A91,'Promo Calendar'!$I$6:$I$400,"&gt;"&amp;TODAY())=0,"None scheduled",_xlfn.MINIFS('Promo Calendar'!$I$6:$I$400,'Promo Calendar'!$A$6:$A$400,$A91,'Promo Calendar'!$I$6:$I$400,"&gt;"&amp;TODAY())))</f>
        <v/>
      </c>
      <c r="W91" s="38">
        <f>IF($A91="","",COUNTIFS('Visit Log'!$C$6:$C$1005,$A91,'Visit Log'!$A$6:$A$1005,"&gt;="&amp;TODAY()-30))</f>
        <v/>
      </c>
      <c r="X91" s="38">
        <f>IF($A91="","",COUNTIFS('Visit Log'!$C$6:$C$1005,$A91,'Visit Log'!$T$6:$T$1005,"Open")+COUNTIFS('Visit Log'!$C$6:$C$1005,$A91,'Visit Log'!$T$6:$T$1005,"In Progress"))</f>
        <v/>
      </c>
      <c r="Y91" s="40">
        <f>IF($A91="","",IF(COUNTIFS('Visit Log'!$C$6:$C$1005,$A91)=0,"No visits",_xlfn.MAXIFS('Visit Log'!$A$6:$A$1005,'Visit Log'!$C$6:$C$1005,$A91)))</f>
        <v/>
      </c>
    </row>
    <row r="92">
      <c r="O92" s="38">
        <f>IF($A92="","",IF(COUNTIFS('Promo Calendar'!$A$6:$A$400,$A92,'Promo Calendar'!$L$6:$L$400,"Active")=0,"None active",INDEX('Promo Calendar'!$F$6:$F$400,MATCH($A92,'Promo Calendar'!$O$6:$O$400,0))&amp;IF(COUNTIFS('Promo Calendar'!$A$6:$A$400,$A92,'Promo Calendar'!$L$6:$L$400,"Active")&gt;1," (+"&amp;(COUNTIFS('Promo Calendar'!$A$6:$A$400,$A92,'Promo Calendar'!$L$6:$L$400,"Active")-1)&amp;" more)","")))</f>
        <v/>
      </c>
      <c r="P92" s="39">
        <f>IF($A92="","",IF(COUNTIFS('Promo Calendar'!$A$6:$A$400,$A92,'Promo Calendar'!$L$6:$L$400,"Active",'Promo Calendar'!$G$6:$G$400,"&gt;0")&gt;0,_xlfn.MINIFS('Promo Calendar'!$G$6:$G$400,'Promo Calendar'!$A$6:$A$400,$A92,'Promo Calendar'!$L$6:$L$400,"Active",'Promo Calendar'!$G$6:$G$400,"&gt;0"),IF(M92="","Not set",M92)))</f>
        <v/>
      </c>
      <c r="Q92" s="40">
        <f>IF($A92="","",IF(COUNTIFS('Promo Calendar'!$A$6:$A$400,$A92,'Promo Calendar'!$I$6:$I$400,"&gt;"&amp;TODAY())=0,"None scheduled",_xlfn.MINIFS('Promo Calendar'!$I$6:$I$400,'Promo Calendar'!$A$6:$A$400,$A92,'Promo Calendar'!$I$6:$I$400,"&gt;"&amp;TODAY())))</f>
        <v/>
      </c>
      <c r="W92" s="38">
        <f>IF($A92="","",COUNTIFS('Visit Log'!$C$6:$C$1005,$A92,'Visit Log'!$A$6:$A$1005,"&gt;="&amp;TODAY()-30))</f>
        <v/>
      </c>
      <c r="X92" s="38">
        <f>IF($A92="","",COUNTIFS('Visit Log'!$C$6:$C$1005,$A92,'Visit Log'!$T$6:$T$1005,"Open")+COUNTIFS('Visit Log'!$C$6:$C$1005,$A92,'Visit Log'!$T$6:$T$1005,"In Progress"))</f>
        <v/>
      </c>
      <c r="Y92" s="40">
        <f>IF($A92="","",IF(COUNTIFS('Visit Log'!$C$6:$C$1005,$A92)=0,"No visits",_xlfn.MAXIFS('Visit Log'!$A$6:$A$1005,'Visit Log'!$C$6:$C$1005,$A92)))</f>
        <v/>
      </c>
    </row>
    <row r="93">
      <c r="O93" s="38">
        <f>IF($A93="","",IF(COUNTIFS('Promo Calendar'!$A$6:$A$400,$A93,'Promo Calendar'!$L$6:$L$400,"Active")=0,"None active",INDEX('Promo Calendar'!$F$6:$F$400,MATCH($A93,'Promo Calendar'!$O$6:$O$400,0))&amp;IF(COUNTIFS('Promo Calendar'!$A$6:$A$400,$A93,'Promo Calendar'!$L$6:$L$400,"Active")&gt;1," (+"&amp;(COUNTIFS('Promo Calendar'!$A$6:$A$400,$A93,'Promo Calendar'!$L$6:$L$400,"Active")-1)&amp;" more)","")))</f>
        <v/>
      </c>
      <c r="P93" s="39">
        <f>IF($A93="","",IF(COUNTIFS('Promo Calendar'!$A$6:$A$400,$A93,'Promo Calendar'!$L$6:$L$400,"Active",'Promo Calendar'!$G$6:$G$400,"&gt;0")&gt;0,_xlfn.MINIFS('Promo Calendar'!$G$6:$G$400,'Promo Calendar'!$A$6:$A$400,$A93,'Promo Calendar'!$L$6:$L$400,"Active",'Promo Calendar'!$G$6:$G$400,"&gt;0"),IF(M93="","Not set",M93)))</f>
        <v/>
      </c>
      <c r="Q93" s="40">
        <f>IF($A93="","",IF(COUNTIFS('Promo Calendar'!$A$6:$A$400,$A93,'Promo Calendar'!$I$6:$I$400,"&gt;"&amp;TODAY())=0,"None scheduled",_xlfn.MINIFS('Promo Calendar'!$I$6:$I$400,'Promo Calendar'!$A$6:$A$400,$A93,'Promo Calendar'!$I$6:$I$400,"&gt;"&amp;TODAY())))</f>
        <v/>
      </c>
      <c r="W93" s="38">
        <f>IF($A93="","",COUNTIFS('Visit Log'!$C$6:$C$1005,$A93,'Visit Log'!$A$6:$A$1005,"&gt;="&amp;TODAY()-30))</f>
        <v/>
      </c>
      <c r="X93" s="38">
        <f>IF($A93="","",COUNTIFS('Visit Log'!$C$6:$C$1005,$A93,'Visit Log'!$T$6:$T$1005,"Open")+COUNTIFS('Visit Log'!$C$6:$C$1005,$A93,'Visit Log'!$T$6:$T$1005,"In Progress"))</f>
        <v/>
      </c>
      <c r="Y93" s="40">
        <f>IF($A93="","",IF(COUNTIFS('Visit Log'!$C$6:$C$1005,$A93)=0,"No visits",_xlfn.MAXIFS('Visit Log'!$A$6:$A$1005,'Visit Log'!$C$6:$C$1005,$A93)))</f>
        <v/>
      </c>
    </row>
    <row r="94">
      <c r="O94" s="38">
        <f>IF($A94="","",IF(COUNTIFS('Promo Calendar'!$A$6:$A$400,$A94,'Promo Calendar'!$L$6:$L$400,"Active")=0,"None active",INDEX('Promo Calendar'!$F$6:$F$400,MATCH($A94,'Promo Calendar'!$O$6:$O$400,0))&amp;IF(COUNTIFS('Promo Calendar'!$A$6:$A$400,$A94,'Promo Calendar'!$L$6:$L$400,"Active")&gt;1," (+"&amp;(COUNTIFS('Promo Calendar'!$A$6:$A$400,$A94,'Promo Calendar'!$L$6:$L$400,"Active")-1)&amp;" more)","")))</f>
        <v/>
      </c>
      <c r="P94" s="39">
        <f>IF($A94="","",IF(COUNTIFS('Promo Calendar'!$A$6:$A$400,$A94,'Promo Calendar'!$L$6:$L$400,"Active",'Promo Calendar'!$G$6:$G$400,"&gt;0")&gt;0,_xlfn.MINIFS('Promo Calendar'!$G$6:$G$400,'Promo Calendar'!$A$6:$A$400,$A94,'Promo Calendar'!$L$6:$L$400,"Active",'Promo Calendar'!$G$6:$G$400,"&gt;0"),IF(M94="","Not set",M94)))</f>
        <v/>
      </c>
      <c r="Q94" s="40">
        <f>IF($A94="","",IF(COUNTIFS('Promo Calendar'!$A$6:$A$400,$A94,'Promo Calendar'!$I$6:$I$400,"&gt;"&amp;TODAY())=0,"None scheduled",_xlfn.MINIFS('Promo Calendar'!$I$6:$I$400,'Promo Calendar'!$A$6:$A$400,$A94,'Promo Calendar'!$I$6:$I$400,"&gt;"&amp;TODAY())))</f>
        <v/>
      </c>
      <c r="W94" s="38">
        <f>IF($A94="","",COUNTIFS('Visit Log'!$C$6:$C$1005,$A94,'Visit Log'!$A$6:$A$1005,"&gt;="&amp;TODAY()-30))</f>
        <v/>
      </c>
      <c r="X94" s="38">
        <f>IF($A94="","",COUNTIFS('Visit Log'!$C$6:$C$1005,$A94,'Visit Log'!$T$6:$T$1005,"Open")+COUNTIFS('Visit Log'!$C$6:$C$1005,$A94,'Visit Log'!$T$6:$T$1005,"In Progress"))</f>
        <v/>
      </c>
      <c r="Y94" s="40">
        <f>IF($A94="","",IF(COUNTIFS('Visit Log'!$C$6:$C$1005,$A94)=0,"No visits",_xlfn.MAXIFS('Visit Log'!$A$6:$A$1005,'Visit Log'!$C$6:$C$1005,$A94)))</f>
        <v/>
      </c>
    </row>
    <row r="95">
      <c r="O95" s="38">
        <f>IF($A95="","",IF(COUNTIFS('Promo Calendar'!$A$6:$A$400,$A95,'Promo Calendar'!$L$6:$L$400,"Active")=0,"None active",INDEX('Promo Calendar'!$F$6:$F$400,MATCH($A95,'Promo Calendar'!$O$6:$O$400,0))&amp;IF(COUNTIFS('Promo Calendar'!$A$6:$A$400,$A95,'Promo Calendar'!$L$6:$L$400,"Active")&gt;1," (+"&amp;(COUNTIFS('Promo Calendar'!$A$6:$A$400,$A95,'Promo Calendar'!$L$6:$L$400,"Active")-1)&amp;" more)","")))</f>
        <v/>
      </c>
      <c r="P95" s="39">
        <f>IF($A95="","",IF(COUNTIFS('Promo Calendar'!$A$6:$A$400,$A95,'Promo Calendar'!$L$6:$L$400,"Active",'Promo Calendar'!$G$6:$G$400,"&gt;0")&gt;0,_xlfn.MINIFS('Promo Calendar'!$G$6:$G$400,'Promo Calendar'!$A$6:$A$400,$A95,'Promo Calendar'!$L$6:$L$400,"Active",'Promo Calendar'!$G$6:$G$400,"&gt;0"),IF(M95="","Not set",M95)))</f>
        <v/>
      </c>
      <c r="Q95" s="40">
        <f>IF($A95="","",IF(COUNTIFS('Promo Calendar'!$A$6:$A$400,$A95,'Promo Calendar'!$I$6:$I$400,"&gt;"&amp;TODAY())=0,"None scheduled",_xlfn.MINIFS('Promo Calendar'!$I$6:$I$400,'Promo Calendar'!$A$6:$A$400,$A95,'Promo Calendar'!$I$6:$I$400,"&gt;"&amp;TODAY())))</f>
        <v/>
      </c>
      <c r="W95" s="38">
        <f>IF($A95="","",COUNTIFS('Visit Log'!$C$6:$C$1005,$A95,'Visit Log'!$A$6:$A$1005,"&gt;="&amp;TODAY()-30))</f>
        <v/>
      </c>
      <c r="X95" s="38">
        <f>IF($A95="","",COUNTIFS('Visit Log'!$C$6:$C$1005,$A95,'Visit Log'!$T$6:$T$1005,"Open")+COUNTIFS('Visit Log'!$C$6:$C$1005,$A95,'Visit Log'!$T$6:$T$1005,"In Progress"))</f>
        <v/>
      </c>
      <c r="Y95" s="40">
        <f>IF($A95="","",IF(COUNTIFS('Visit Log'!$C$6:$C$1005,$A95)=0,"No visits",_xlfn.MAXIFS('Visit Log'!$A$6:$A$1005,'Visit Log'!$C$6:$C$1005,$A95)))</f>
        <v/>
      </c>
    </row>
    <row r="96">
      <c r="O96" s="38">
        <f>IF($A96="","",IF(COUNTIFS('Promo Calendar'!$A$6:$A$400,$A96,'Promo Calendar'!$L$6:$L$400,"Active")=0,"None active",INDEX('Promo Calendar'!$F$6:$F$400,MATCH($A96,'Promo Calendar'!$O$6:$O$400,0))&amp;IF(COUNTIFS('Promo Calendar'!$A$6:$A$400,$A96,'Promo Calendar'!$L$6:$L$400,"Active")&gt;1," (+"&amp;(COUNTIFS('Promo Calendar'!$A$6:$A$400,$A96,'Promo Calendar'!$L$6:$L$400,"Active")-1)&amp;" more)","")))</f>
        <v/>
      </c>
      <c r="P96" s="39">
        <f>IF($A96="","",IF(COUNTIFS('Promo Calendar'!$A$6:$A$400,$A96,'Promo Calendar'!$L$6:$L$400,"Active",'Promo Calendar'!$G$6:$G$400,"&gt;0")&gt;0,_xlfn.MINIFS('Promo Calendar'!$G$6:$G$400,'Promo Calendar'!$A$6:$A$400,$A96,'Promo Calendar'!$L$6:$L$400,"Active",'Promo Calendar'!$G$6:$G$400,"&gt;0"),IF(M96="","Not set",M96)))</f>
        <v/>
      </c>
      <c r="Q96" s="40">
        <f>IF($A96="","",IF(COUNTIFS('Promo Calendar'!$A$6:$A$400,$A96,'Promo Calendar'!$I$6:$I$400,"&gt;"&amp;TODAY())=0,"None scheduled",_xlfn.MINIFS('Promo Calendar'!$I$6:$I$400,'Promo Calendar'!$A$6:$A$400,$A96,'Promo Calendar'!$I$6:$I$400,"&gt;"&amp;TODAY())))</f>
        <v/>
      </c>
      <c r="W96" s="38">
        <f>IF($A96="","",COUNTIFS('Visit Log'!$C$6:$C$1005,$A96,'Visit Log'!$A$6:$A$1005,"&gt;="&amp;TODAY()-30))</f>
        <v/>
      </c>
      <c r="X96" s="38">
        <f>IF($A96="","",COUNTIFS('Visit Log'!$C$6:$C$1005,$A96,'Visit Log'!$T$6:$T$1005,"Open")+COUNTIFS('Visit Log'!$C$6:$C$1005,$A96,'Visit Log'!$T$6:$T$1005,"In Progress"))</f>
        <v/>
      </c>
      <c r="Y96" s="40">
        <f>IF($A96="","",IF(COUNTIFS('Visit Log'!$C$6:$C$1005,$A96)=0,"No visits",_xlfn.MAXIFS('Visit Log'!$A$6:$A$1005,'Visit Log'!$C$6:$C$1005,$A96)))</f>
        <v/>
      </c>
    </row>
    <row r="97">
      <c r="O97" s="38">
        <f>IF($A97="","",IF(COUNTIFS('Promo Calendar'!$A$6:$A$400,$A97,'Promo Calendar'!$L$6:$L$400,"Active")=0,"None active",INDEX('Promo Calendar'!$F$6:$F$400,MATCH($A97,'Promo Calendar'!$O$6:$O$400,0))&amp;IF(COUNTIFS('Promo Calendar'!$A$6:$A$400,$A97,'Promo Calendar'!$L$6:$L$400,"Active")&gt;1," (+"&amp;(COUNTIFS('Promo Calendar'!$A$6:$A$400,$A97,'Promo Calendar'!$L$6:$L$400,"Active")-1)&amp;" more)","")))</f>
        <v/>
      </c>
      <c r="P97" s="39">
        <f>IF($A97="","",IF(COUNTIFS('Promo Calendar'!$A$6:$A$400,$A97,'Promo Calendar'!$L$6:$L$400,"Active",'Promo Calendar'!$G$6:$G$400,"&gt;0")&gt;0,_xlfn.MINIFS('Promo Calendar'!$G$6:$G$400,'Promo Calendar'!$A$6:$A$400,$A97,'Promo Calendar'!$L$6:$L$400,"Active",'Promo Calendar'!$G$6:$G$400,"&gt;0"),IF(M97="","Not set",M97)))</f>
        <v/>
      </c>
      <c r="Q97" s="40">
        <f>IF($A97="","",IF(COUNTIFS('Promo Calendar'!$A$6:$A$400,$A97,'Promo Calendar'!$I$6:$I$400,"&gt;"&amp;TODAY())=0,"None scheduled",_xlfn.MINIFS('Promo Calendar'!$I$6:$I$400,'Promo Calendar'!$A$6:$A$400,$A97,'Promo Calendar'!$I$6:$I$400,"&gt;"&amp;TODAY())))</f>
        <v/>
      </c>
      <c r="W97" s="38">
        <f>IF($A97="","",COUNTIFS('Visit Log'!$C$6:$C$1005,$A97,'Visit Log'!$A$6:$A$1005,"&gt;="&amp;TODAY()-30))</f>
        <v/>
      </c>
      <c r="X97" s="38">
        <f>IF($A97="","",COUNTIFS('Visit Log'!$C$6:$C$1005,$A97,'Visit Log'!$T$6:$T$1005,"Open")+COUNTIFS('Visit Log'!$C$6:$C$1005,$A97,'Visit Log'!$T$6:$T$1005,"In Progress"))</f>
        <v/>
      </c>
      <c r="Y97" s="40">
        <f>IF($A97="","",IF(COUNTIFS('Visit Log'!$C$6:$C$1005,$A97)=0,"No visits",_xlfn.MAXIFS('Visit Log'!$A$6:$A$1005,'Visit Log'!$C$6:$C$1005,$A97)))</f>
        <v/>
      </c>
    </row>
    <row r="98">
      <c r="O98" s="38">
        <f>IF($A98="","",IF(COUNTIFS('Promo Calendar'!$A$6:$A$400,$A98,'Promo Calendar'!$L$6:$L$400,"Active")=0,"None active",INDEX('Promo Calendar'!$F$6:$F$400,MATCH($A98,'Promo Calendar'!$O$6:$O$400,0))&amp;IF(COUNTIFS('Promo Calendar'!$A$6:$A$400,$A98,'Promo Calendar'!$L$6:$L$400,"Active")&gt;1," (+"&amp;(COUNTIFS('Promo Calendar'!$A$6:$A$400,$A98,'Promo Calendar'!$L$6:$L$400,"Active")-1)&amp;" more)","")))</f>
        <v/>
      </c>
      <c r="P98" s="39">
        <f>IF($A98="","",IF(COUNTIFS('Promo Calendar'!$A$6:$A$400,$A98,'Promo Calendar'!$L$6:$L$400,"Active",'Promo Calendar'!$G$6:$G$400,"&gt;0")&gt;0,_xlfn.MINIFS('Promo Calendar'!$G$6:$G$400,'Promo Calendar'!$A$6:$A$400,$A98,'Promo Calendar'!$L$6:$L$400,"Active",'Promo Calendar'!$G$6:$G$400,"&gt;0"),IF(M98="","Not set",M98)))</f>
        <v/>
      </c>
      <c r="Q98" s="40">
        <f>IF($A98="","",IF(COUNTIFS('Promo Calendar'!$A$6:$A$400,$A98,'Promo Calendar'!$I$6:$I$400,"&gt;"&amp;TODAY())=0,"None scheduled",_xlfn.MINIFS('Promo Calendar'!$I$6:$I$400,'Promo Calendar'!$A$6:$A$400,$A98,'Promo Calendar'!$I$6:$I$400,"&gt;"&amp;TODAY())))</f>
        <v/>
      </c>
      <c r="W98" s="38">
        <f>IF($A98="","",COUNTIFS('Visit Log'!$C$6:$C$1005,$A98,'Visit Log'!$A$6:$A$1005,"&gt;="&amp;TODAY()-30))</f>
        <v/>
      </c>
      <c r="X98" s="38">
        <f>IF($A98="","",COUNTIFS('Visit Log'!$C$6:$C$1005,$A98,'Visit Log'!$T$6:$T$1005,"Open")+COUNTIFS('Visit Log'!$C$6:$C$1005,$A98,'Visit Log'!$T$6:$T$1005,"In Progress"))</f>
        <v/>
      </c>
      <c r="Y98" s="40">
        <f>IF($A98="","",IF(COUNTIFS('Visit Log'!$C$6:$C$1005,$A98)=0,"No visits",_xlfn.MAXIFS('Visit Log'!$A$6:$A$1005,'Visit Log'!$C$6:$C$1005,$A98)))</f>
        <v/>
      </c>
    </row>
    <row r="99">
      <c r="O99" s="38">
        <f>IF($A99="","",IF(COUNTIFS('Promo Calendar'!$A$6:$A$400,$A99,'Promo Calendar'!$L$6:$L$400,"Active")=0,"None active",INDEX('Promo Calendar'!$F$6:$F$400,MATCH($A99,'Promo Calendar'!$O$6:$O$400,0))&amp;IF(COUNTIFS('Promo Calendar'!$A$6:$A$400,$A99,'Promo Calendar'!$L$6:$L$400,"Active")&gt;1," (+"&amp;(COUNTIFS('Promo Calendar'!$A$6:$A$400,$A99,'Promo Calendar'!$L$6:$L$400,"Active")-1)&amp;" more)","")))</f>
        <v/>
      </c>
      <c r="P99" s="39">
        <f>IF($A99="","",IF(COUNTIFS('Promo Calendar'!$A$6:$A$400,$A99,'Promo Calendar'!$L$6:$L$400,"Active",'Promo Calendar'!$G$6:$G$400,"&gt;0")&gt;0,_xlfn.MINIFS('Promo Calendar'!$G$6:$G$400,'Promo Calendar'!$A$6:$A$400,$A99,'Promo Calendar'!$L$6:$L$400,"Active",'Promo Calendar'!$G$6:$G$400,"&gt;0"),IF(M99="","Not set",M99)))</f>
        <v/>
      </c>
      <c r="Q99" s="40">
        <f>IF($A99="","",IF(COUNTIFS('Promo Calendar'!$A$6:$A$400,$A99,'Promo Calendar'!$I$6:$I$400,"&gt;"&amp;TODAY())=0,"None scheduled",_xlfn.MINIFS('Promo Calendar'!$I$6:$I$400,'Promo Calendar'!$A$6:$A$400,$A99,'Promo Calendar'!$I$6:$I$400,"&gt;"&amp;TODAY())))</f>
        <v/>
      </c>
      <c r="W99" s="38">
        <f>IF($A99="","",COUNTIFS('Visit Log'!$C$6:$C$1005,$A99,'Visit Log'!$A$6:$A$1005,"&gt;="&amp;TODAY()-30))</f>
        <v/>
      </c>
      <c r="X99" s="38">
        <f>IF($A99="","",COUNTIFS('Visit Log'!$C$6:$C$1005,$A99,'Visit Log'!$T$6:$T$1005,"Open")+COUNTIFS('Visit Log'!$C$6:$C$1005,$A99,'Visit Log'!$T$6:$T$1005,"In Progress"))</f>
        <v/>
      </c>
      <c r="Y99" s="40">
        <f>IF($A99="","",IF(COUNTIFS('Visit Log'!$C$6:$C$1005,$A99)=0,"No visits",_xlfn.MAXIFS('Visit Log'!$A$6:$A$1005,'Visit Log'!$C$6:$C$1005,$A99)))</f>
        <v/>
      </c>
    </row>
    <row r="100">
      <c r="O100" s="38">
        <f>IF($A100="","",IF(COUNTIFS('Promo Calendar'!$A$6:$A$400,$A100,'Promo Calendar'!$L$6:$L$400,"Active")=0,"None active",INDEX('Promo Calendar'!$F$6:$F$400,MATCH($A100,'Promo Calendar'!$O$6:$O$400,0))&amp;IF(COUNTIFS('Promo Calendar'!$A$6:$A$400,$A100,'Promo Calendar'!$L$6:$L$400,"Active")&gt;1," (+"&amp;(COUNTIFS('Promo Calendar'!$A$6:$A$400,$A100,'Promo Calendar'!$L$6:$L$400,"Active")-1)&amp;" more)","")))</f>
        <v/>
      </c>
      <c r="P100" s="39">
        <f>IF($A100="","",IF(COUNTIFS('Promo Calendar'!$A$6:$A$400,$A100,'Promo Calendar'!$L$6:$L$400,"Active",'Promo Calendar'!$G$6:$G$400,"&gt;0")&gt;0,_xlfn.MINIFS('Promo Calendar'!$G$6:$G$400,'Promo Calendar'!$A$6:$A$400,$A100,'Promo Calendar'!$L$6:$L$400,"Active",'Promo Calendar'!$G$6:$G$400,"&gt;0"),IF(M100="","Not set",M100)))</f>
        <v/>
      </c>
      <c r="Q100" s="40">
        <f>IF($A100="","",IF(COUNTIFS('Promo Calendar'!$A$6:$A$400,$A100,'Promo Calendar'!$I$6:$I$400,"&gt;"&amp;TODAY())=0,"None scheduled",_xlfn.MINIFS('Promo Calendar'!$I$6:$I$400,'Promo Calendar'!$A$6:$A$400,$A100,'Promo Calendar'!$I$6:$I$400,"&gt;"&amp;TODAY())))</f>
        <v/>
      </c>
      <c r="W100" s="38">
        <f>IF($A100="","",COUNTIFS('Visit Log'!$C$6:$C$1005,$A100,'Visit Log'!$A$6:$A$1005,"&gt;="&amp;TODAY()-30))</f>
        <v/>
      </c>
      <c r="X100" s="38">
        <f>IF($A100="","",COUNTIFS('Visit Log'!$C$6:$C$1005,$A100,'Visit Log'!$T$6:$T$1005,"Open")+COUNTIFS('Visit Log'!$C$6:$C$1005,$A100,'Visit Log'!$T$6:$T$1005,"In Progress"))</f>
        <v/>
      </c>
      <c r="Y100" s="40">
        <f>IF($A100="","",IF(COUNTIFS('Visit Log'!$C$6:$C$1005,$A100)=0,"No visits",_xlfn.MAXIFS('Visit Log'!$A$6:$A$1005,'Visit Log'!$C$6:$C$1005,$A100)))</f>
        <v/>
      </c>
    </row>
    <row r="101">
      <c r="O101" s="38">
        <f>IF($A101="","",IF(COUNTIFS('Promo Calendar'!$A$6:$A$400,$A101,'Promo Calendar'!$L$6:$L$400,"Active")=0,"None active",INDEX('Promo Calendar'!$F$6:$F$400,MATCH($A101,'Promo Calendar'!$O$6:$O$400,0))&amp;IF(COUNTIFS('Promo Calendar'!$A$6:$A$400,$A101,'Promo Calendar'!$L$6:$L$400,"Active")&gt;1," (+"&amp;(COUNTIFS('Promo Calendar'!$A$6:$A$400,$A101,'Promo Calendar'!$L$6:$L$400,"Active")-1)&amp;" more)","")))</f>
        <v/>
      </c>
      <c r="P101" s="39">
        <f>IF($A101="","",IF(COUNTIFS('Promo Calendar'!$A$6:$A$400,$A101,'Promo Calendar'!$L$6:$L$400,"Active",'Promo Calendar'!$G$6:$G$400,"&gt;0")&gt;0,_xlfn.MINIFS('Promo Calendar'!$G$6:$G$400,'Promo Calendar'!$A$6:$A$400,$A101,'Promo Calendar'!$L$6:$L$400,"Active",'Promo Calendar'!$G$6:$G$400,"&gt;0"),IF(M101="","Not set",M101)))</f>
        <v/>
      </c>
      <c r="Q101" s="40">
        <f>IF($A101="","",IF(COUNTIFS('Promo Calendar'!$A$6:$A$400,$A101,'Promo Calendar'!$I$6:$I$400,"&gt;"&amp;TODAY())=0,"None scheduled",_xlfn.MINIFS('Promo Calendar'!$I$6:$I$400,'Promo Calendar'!$A$6:$A$400,$A101,'Promo Calendar'!$I$6:$I$400,"&gt;"&amp;TODAY())))</f>
        <v/>
      </c>
      <c r="W101" s="38">
        <f>IF($A101="","",COUNTIFS('Visit Log'!$C$6:$C$1005,$A101,'Visit Log'!$A$6:$A$1005,"&gt;="&amp;TODAY()-30))</f>
        <v/>
      </c>
      <c r="X101" s="38">
        <f>IF($A101="","",COUNTIFS('Visit Log'!$C$6:$C$1005,$A101,'Visit Log'!$T$6:$T$1005,"Open")+COUNTIFS('Visit Log'!$C$6:$C$1005,$A101,'Visit Log'!$T$6:$T$1005,"In Progress"))</f>
        <v/>
      </c>
      <c r="Y101" s="40">
        <f>IF($A101="","",IF(COUNTIFS('Visit Log'!$C$6:$C$1005,$A101)=0,"No visits",_xlfn.MAXIFS('Visit Log'!$A$6:$A$1005,'Visit Log'!$C$6:$C$1005,$A101)))</f>
        <v/>
      </c>
    </row>
    <row r="102">
      <c r="O102" s="38">
        <f>IF($A102="","",IF(COUNTIFS('Promo Calendar'!$A$6:$A$400,$A102,'Promo Calendar'!$L$6:$L$400,"Active")=0,"None active",INDEX('Promo Calendar'!$F$6:$F$400,MATCH($A102,'Promo Calendar'!$O$6:$O$400,0))&amp;IF(COUNTIFS('Promo Calendar'!$A$6:$A$400,$A102,'Promo Calendar'!$L$6:$L$400,"Active")&gt;1," (+"&amp;(COUNTIFS('Promo Calendar'!$A$6:$A$400,$A102,'Promo Calendar'!$L$6:$L$400,"Active")-1)&amp;" more)","")))</f>
        <v/>
      </c>
      <c r="P102" s="39">
        <f>IF($A102="","",IF(COUNTIFS('Promo Calendar'!$A$6:$A$400,$A102,'Promo Calendar'!$L$6:$L$400,"Active",'Promo Calendar'!$G$6:$G$400,"&gt;0")&gt;0,_xlfn.MINIFS('Promo Calendar'!$G$6:$G$400,'Promo Calendar'!$A$6:$A$400,$A102,'Promo Calendar'!$L$6:$L$400,"Active",'Promo Calendar'!$G$6:$G$400,"&gt;0"),IF(M102="","Not set",M102)))</f>
        <v/>
      </c>
      <c r="Q102" s="40">
        <f>IF($A102="","",IF(COUNTIFS('Promo Calendar'!$A$6:$A$400,$A102,'Promo Calendar'!$I$6:$I$400,"&gt;"&amp;TODAY())=0,"None scheduled",_xlfn.MINIFS('Promo Calendar'!$I$6:$I$400,'Promo Calendar'!$A$6:$A$400,$A102,'Promo Calendar'!$I$6:$I$400,"&gt;"&amp;TODAY())))</f>
        <v/>
      </c>
      <c r="W102" s="38">
        <f>IF($A102="","",COUNTIFS('Visit Log'!$C$6:$C$1005,$A102,'Visit Log'!$A$6:$A$1005,"&gt;="&amp;TODAY()-30))</f>
        <v/>
      </c>
      <c r="X102" s="38">
        <f>IF($A102="","",COUNTIFS('Visit Log'!$C$6:$C$1005,$A102,'Visit Log'!$T$6:$T$1005,"Open")+COUNTIFS('Visit Log'!$C$6:$C$1005,$A102,'Visit Log'!$T$6:$T$1005,"In Progress"))</f>
        <v/>
      </c>
      <c r="Y102" s="40">
        <f>IF($A102="","",IF(COUNTIFS('Visit Log'!$C$6:$C$1005,$A102)=0,"No visits",_xlfn.MAXIFS('Visit Log'!$A$6:$A$1005,'Visit Log'!$C$6:$C$1005,$A102)))</f>
        <v/>
      </c>
    </row>
    <row r="103">
      <c r="O103" s="38">
        <f>IF($A103="","",IF(COUNTIFS('Promo Calendar'!$A$6:$A$400,$A103,'Promo Calendar'!$L$6:$L$400,"Active")=0,"None active",INDEX('Promo Calendar'!$F$6:$F$400,MATCH($A103,'Promo Calendar'!$O$6:$O$400,0))&amp;IF(COUNTIFS('Promo Calendar'!$A$6:$A$400,$A103,'Promo Calendar'!$L$6:$L$400,"Active")&gt;1," (+"&amp;(COUNTIFS('Promo Calendar'!$A$6:$A$400,$A103,'Promo Calendar'!$L$6:$L$400,"Active")-1)&amp;" more)","")))</f>
        <v/>
      </c>
      <c r="P103" s="39">
        <f>IF($A103="","",IF(COUNTIFS('Promo Calendar'!$A$6:$A$400,$A103,'Promo Calendar'!$L$6:$L$400,"Active",'Promo Calendar'!$G$6:$G$400,"&gt;0")&gt;0,_xlfn.MINIFS('Promo Calendar'!$G$6:$G$400,'Promo Calendar'!$A$6:$A$400,$A103,'Promo Calendar'!$L$6:$L$400,"Active",'Promo Calendar'!$G$6:$G$400,"&gt;0"),IF(M103="","Not set",M103)))</f>
        <v/>
      </c>
      <c r="Q103" s="40">
        <f>IF($A103="","",IF(COUNTIFS('Promo Calendar'!$A$6:$A$400,$A103,'Promo Calendar'!$I$6:$I$400,"&gt;"&amp;TODAY())=0,"None scheduled",_xlfn.MINIFS('Promo Calendar'!$I$6:$I$400,'Promo Calendar'!$A$6:$A$400,$A103,'Promo Calendar'!$I$6:$I$400,"&gt;"&amp;TODAY())))</f>
        <v/>
      </c>
      <c r="W103" s="38">
        <f>IF($A103="","",COUNTIFS('Visit Log'!$C$6:$C$1005,$A103,'Visit Log'!$A$6:$A$1005,"&gt;="&amp;TODAY()-30))</f>
        <v/>
      </c>
      <c r="X103" s="38">
        <f>IF($A103="","",COUNTIFS('Visit Log'!$C$6:$C$1005,$A103,'Visit Log'!$T$6:$T$1005,"Open")+COUNTIFS('Visit Log'!$C$6:$C$1005,$A103,'Visit Log'!$T$6:$T$1005,"In Progress"))</f>
        <v/>
      </c>
      <c r="Y103" s="40">
        <f>IF($A103="","",IF(COUNTIFS('Visit Log'!$C$6:$C$1005,$A103)=0,"No visits",_xlfn.MAXIFS('Visit Log'!$A$6:$A$1005,'Visit Log'!$C$6:$C$1005,$A103)))</f>
        <v/>
      </c>
    </row>
    <row r="104">
      <c r="O104" s="38">
        <f>IF($A104="","",IF(COUNTIFS('Promo Calendar'!$A$6:$A$400,$A104,'Promo Calendar'!$L$6:$L$400,"Active")=0,"None active",INDEX('Promo Calendar'!$F$6:$F$400,MATCH($A104,'Promo Calendar'!$O$6:$O$400,0))&amp;IF(COUNTIFS('Promo Calendar'!$A$6:$A$400,$A104,'Promo Calendar'!$L$6:$L$400,"Active")&gt;1," (+"&amp;(COUNTIFS('Promo Calendar'!$A$6:$A$400,$A104,'Promo Calendar'!$L$6:$L$400,"Active")-1)&amp;" more)","")))</f>
        <v/>
      </c>
      <c r="P104" s="39">
        <f>IF($A104="","",IF(COUNTIFS('Promo Calendar'!$A$6:$A$400,$A104,'Promo Calendar'!$L$6:$L$400,"Active",'Promo Calendar'!$G$6:$G$400,"&gt;0")&gt;0,_xlfn.MINIFS('Promo Calendar'!$G$6:$G$400,'Promo Calendar'!$A$6:$A$400,$A104,'Promo Calendar'!$L$6:$L$400,"Active",'Promo Calendar'!$G$6:$G$400,"&gt;0"),IF(M104="","Not set",M104)))</f>
        <v/>
      </c>
      <c r="Q104" s="40">
        <f>IF($A104="","",IF(COUNTIFS('Promo Calendar'!$A$6:$A$400,$A104,'Promo Calendar'!$I$6:$I$400,"&gt;"&amp;TODAY())=0,"None scheduled",_xlfn.MINIFS('Promo Calendar'!$I$6:$I$400,'Promo Calendar'!$A$6:$A$400,$A104,'Promo Calendar'!$I$6:$I$400,"&gt;"&amp;TODAY())))</f>
        <v/>
      </c>
      <c r="W104" s="38">
        <f>IF($A104="","",COUNTIFS('Visit Log'!$C$6:$C$1005,$A104,'Visit Log'!$A$6:$A$1005,"&gt;="&amp;TODAY()-30))</f>
        <v/>
      </c>
      <c r="X104" s="38">
        <f>IF($A104="","",COUNTIFS('Visit Log'!$C$6:$C$1005,$A104,'Visit Log'!$T$6:$T$1005,"Open")+COUNTIFS('Visit Log'!$C$6:$C$1005,$A104,'Visit Log'!$T$6:$T$1005,"In Progress"))</f>
        <v/>
      </c>
      <c r="Y104" s="40">
        <f>IF($A104="","",IF(COUNTIFS('Visit Log'!$C$6:$C$1005,$A104)=0,"No visits",_xlfn.MAXIFS('Visit Log'!$A$6:$A$1005,'Visit Log'!$C$6:$C$1005,$A104)))</f>
        <v/>
      </c>
    </row>
    <row r="105">
      <c r="O105" s="38">
        <f>IF($A105="","",IF(COUNTIFS('Promo Calendar'!$A$6:$A$400,$A105,'Promo Calendar'!$L$6:$L$400,"Active")=0,"None active",INDEX('Promo Calendar'!$F$6:$F$400,MATCH($A105,'Promo Calendar'!$O$6:$O$400,0))&amp;IF(COUNTIFS('Promo Calendar'!$A$6:$A$400,$A105,'Promo Calendar'!$L$6:$L$400,"Active")&gt;1," (+"&amp;(COUNTIFS('Promo Calendar'!$A$6:$A$400,$A105,'Promo Calendar'!$L$6:$L$400,"Active")-1)&amp;" more)","")))</f>
        <v/>
      </c>
      <c r="P105" s="39">
        <f>IF($A105="","",IF(COUNTIFS('Promo Calendar'!$A$6:$A$400,$A105,'Promo Calendar'!$L$6:$L$400,"Active",'Promo Calendar'!$G$6:$G$400,"&gt;0")&gt;0,_xlfn.MINIFS('Promo Calendar'!$G$6:$G$400,'Promo Calendar'!$A$6:$A$400,$A105,'Promo Calendar'!$L$6:$L$400,"Active",'Promo Calendar'!$G$6:$G$400,"&gt;0"),IF(M105="","Not set",M105)))</f>
        <v/>
      </c>
      <c r="Q105" s="40">
        <f>IF($A105="","",IF(COUNTIFS('Promo Calendar'!$A$6:$A$400,$A105,'Promo Calendar'!$I$6:$I$400,"&gt;"&amp;TODAY())=0,"None scheduled",_xlfn.MINIFS('Promo Calendar'!$I$6:$I$400,'Promo Calendar'!$A$6:$A$400,$A105,'Promo Calendar'!$I$6:$I$400,"&gt;"&amp;TODAY())))</f>
        <v/>
      </c>
      <c r="W105" s="38">
        <f>IF($A105="","",COUNTIFS('Visit Log'!$C$6:$C$1005,$A105,'Visit Log'!$A$6:$A$1005,"&gt;="&amp;TODAY()-30))</f>
        <v/>
      </c>
      <c r="X105" s="38">
        <f>IF($A105="","",COUNTIFS('Visit Log'!$C$6:$C$1005,$A105,'Visit Log'!$T$6:$T$1005,"Open")+COUNTIFS('Visit Log'!$C$6:$C$1005,$A105,'Visit Log'!$T$6:$T$1005,"In Progress"))</f>
        <v/>
      </c>
      <c r="Y105" s="40">
        <f>IF($A105="","",IF(COUNTIFS('Visit Log'!$C$6:$C$1005,$A105)=0,"No visits",_xlfn.MAXIFS('Visit Log'!$A$6:$A$1005,'Visit Log'!$C$6:$C$1005,$A105)))</f>
        <v/>
      </c>
    </row>
    <row r="106">
      <c r="O106" s="38">
        <f>IF($A106="","",IF(COUNTIFS('Promo Calendar'!$A$6:$A$400,$A106,'Promo Calendar'!$L$6:$L$400,"Active")=0,"None active",INDEX('Promo Calendar'!$F$6:$F$400,MATCH($A106,'Promo Calendar'!$O$6:$O$400,0))&amp;IF(COUNTIFS('Promo Calendar'!$A$6:$A$400,$A106,'Promo Calendar'!$L$6:$L$400,"Active")&gt;1," (+"&amp;(COUNTIFS('Promo Calendar'!$A$6:$A$400,$A106,'Promo Calendar'!$L$6:$L$400,"Active")-1)&amp;" more)","")))</f>
        <v/>
      </c>
      <c r="P106" s="39">
        <f>IF($A106="","",IF(COUNTIFS('Promo Calendar'!$A$6:$A$400,$A106,'Promo Calendar'!$L$6:$L$400,"Active",'Promo Calendar'!$G$6:$G$400,"&gt;0")&gt;0,_xlfn.MINIFS('Promo Calendar'!$G$6:$G$400,'Promo Calendar'!$A$6:$A$400,$A106,'Promo Calendar'!$L$6:$L$400,"Active",'Promo Calendar'!$G$6:$G$400,"&gt;0"),IF(M106="","Not set",M106)))</f>
        <v/>
      </c>
      <c r="Q106" s="40">
        <f>IF($A106="","",IF(COUNTIFS('Promo Calendar'!$A$6:$A$400,$A106,'Promo Calendar'!$I$6:$I$400,"&gt;"&amp;TODAY())=0,"None scheduled",_xlfn.MINIFS('Promo Calendar'!$I$6:$I$400,'Promo Calendar'!$A$6:$A$400,$A106,'Promo Calendar'!$I$6:$I$400,"&gt;"&amp;TODAY())))</f>
        <v/>
      </c>
      <c r="W106" s="38">
        <f>IF($A106="","",COUNTIFS('Visit Log'!$C$6:$C$1005,$A106,'Visit Log'!$A$6:$A$1005,"&gt;="&amp;TODAY()-30))</f>
        <v/>
      </c>
      <c r="X106" s="38">
        <f>IF($A106="","",COUNTIFS('Visit Log'!$C$6:$C$1005,$A106,'Visit Log'!$T$6:$T$1005,"Open")+COUNTIFS('Visit Log'!$C$6:$C$1005,$A106,'Visit Log'!$T$6:$T$1005,"In Progress"))</f>
        <v/>
      </c>
      <c r="Y106" s="40">
        <f>IF($A106="","",IF(COUNTIFS('Visit Log'!$C$6:$C$1005,$A106)=0,"No visits",_xlfn.MAXIFS('Visit Log'!$A$6:$A$1005,'Visit Log'!$C$6:$C$1005,$A106)))</f>
        <v/>
      </c>
    </row>
    <row r="107">
      <c r="O107" s="38">
        <f>IF($A107="","",IF(COUNTIFS('Promo Calendar'!$A$6:$A$400,$A107,'Promo Calendar'!$L$6:$L$400,"Active")=0,"None active",INDEX('Promo Calendar'!$F$6:$F$400,MATCH($A107,'Promo Calendar'!$O$6:$O$400,0))&amp;IF(COUNTIFS('Promo Calendar'!$A$6:$A$400,$A107,'Promo Calendar'!$L$6:$L$400,"Active")&gt;1," (+"&amp;(COUNTIFS('Promo Calendar'!$A$6:$A$400,$A107,'Promo Calendar'!$L$6:$L$400,"Active")-1)&amp;" more)","")))</f>
        <v/>
      </c>
      <c r="P107" s="39">
        <f>IF($A107="","",IF(COUNTIFS('Promo Calendar'!$A$6:$A$400,$A107,'Promo Calendar'!$L$6:$L$400,"Active",'Promo Calendar'!$G$6:$G$400,"&gt;0")&gt;0,_xlfn.MINIFS('Promo Calendar'!$G$6:$G$400,'Promo Calendar'!$A$6:$A$400,$A107,'Promo Calendar'!$L$6:$L$400,"Active",'Promo Calendar'!$G$6:$G$400,"&gt;0"),IF(M107="","Not set",M107)))</f>
        <v/>
      </c>
      <c r="Q107" s="40">
        <f>IF($A107="","",IF(COUNTIFS('Promo Calendar'!$A$6:$A$400,$A107,'Promo Calendar'!$I$6:$I$400,"&gt;"&amp;TODAY())=0,"None scheduled",_xlfn.MINIFS('Promo Calendar'!$I$6:$I$400,'Promo Calendar'!$A$6:$A$400,$A107,'Promo Calendar'!$I$6:$I$400,"&gt;"&amp;TODAY())))</f>
        <v/>
      </c>
      <c r="W107" s="38">
        <f>IF($A107="","",COUNTIFS('Visit Log'!$C$6:$C$1005,$A107,'Visit Log'!$A$6:$A$1005,"&gt;="&amp;TODAY()-30))</f>
        <v/>
      </c>
      <c r="X107" s="38">
        <f>IF($A107="","",COUNTIFS('Visit Log'!$C$6:$C$1005,$A107,'Visit Log'!$T$6:$T$1005,"Open")+COUNTIFS('Visit Log'!$C$6:$C$1005,$A107,'Visit Log'!$T$6:$T$1005,"In Progress"))</f>
        <v/>
      </c>
      <c r="Y107" s="40">
        <f>IF($A107="","",IF(COUNTIFS('Visit Log'!$C$6:$C$1005,$A107)=0,"No visits",_xlfn.MAXIFS('Visit Log'!$A$6:$A$1005,'Visit Log'!$C$6:$C$1005,$A107)))</f>
        <v/>
      </c>
    </row>
    <row r="108">
      <c r="O108" s="38">
        <f>IF($A108="","",IF(COUNTIFS('Promo Calendar'!$A$6:$A$400,$A108,'Promo Calendar'!$L$6:$L$400,"Active")=0,"None active",INDEX('Promo Calendar'!$F$6:$F$400,MATCH($A108,'Promo Calendar'!$O$6:$O$400,0))&amp;IF(COUNTIFS('Promo Calendar'!$A$6:$A$400,$A108,'Promo Calendar'!$L$6:$L$400,"Active")&gt;1," (+"&amp;(COUNTIFS('Promo Calendar'!$A$6:$A$400,$A108,'Promo Calendar'!$L$6:$L$400,"Active")-1)&amp;" more)","")))</f>
        <v/>
      </c>
      <c r="P108" s="39">
        <f>IF($A108="","",IF(COUNTIFS('Promo Calendar'!$A$6:$A$400,$A108,'Promo Calendar'!$L$6:$L$400,"Active",'Promo Calendar'!$G$6:$G$400,"&gt;0")&gt;0,_xlfn.MINIFS('Promo Calendar'!$G$6:$G$400,'Promo Calendar'!$A$6:$A$400,$A108,'Promo Calendar'!$L$6:$L$400,"Active",'Promo Calendar'!$G$6:$G$400,"&gt;0"),IF(M108="","Not set",M108)))</f>
        <v/>
      </c>
      <c r="Q108" s="40">
        <f>IF($A108="","",IF(COUNTIFS('Promo Calendar'!$A$6:$A$400,$A108,'Promo Calendar'!$I$6:$I$400,"&gt;"&amp;TODAY())=0,"None scheduled",_xlfn.MINIFS('Promo Calendar'!$I$6:$I$400,'Promo Calendar'!$A$6:$A$400,$A108,'Promo Calendar'!$I$6:$I$400,"&gt;"&amp;TODAY())))</f>
        <v/>
      </c>
      <c r="W108" s="38">
        <f>IF($A108="","",COUNTIFS('Visit Log'!$C$6:$C$1005,$A108,'Visit Log'!$A$6:$A$1005,"&gt;="&amp;TODAY()-30))</f>
        <v/>
      </c>
      <c r="X108" s="38">
        <f>IF($A108="","",COUNTIFS('Visit Log'!$C$6:$C$1005,$A108,'Visit Log'!$T$6:$T$1005,"Open")+COUNTIFS('Visit Log'!$C$6:$C$1005,$A108,'Visit Log'!$T$6:$T$1005,"In Progress"))</f>
        <v/>
      </c>
      <c r="Y108" s="40">
        <f>IF($A108="","",IF(COUNTIFS('Visit Log'!$C$6:$C$1005,$A108)=0,"No visits",_xlfn.MAXIFS('Visit Log'!$A$6:$A$1005,'Visit Log'!$C$6:$C$1005,$A108)))</f>
        <v/>
      </c>
    </row>
    <row r="109">
      <c r="O109" s="38">
        <f>IF($A109="","",IF(COUNTIFS('Promo Calendar'!$A$6:$A$400,$A109,'Promo Calendar'!$L$6:$L$400,"Active")=0,"None active",INDEX('Promo Calendar'!$F$6:$F$400,MATCH($A109,'Promo Calendar'!$O$6:$O$400,0))&amp;IF(COUNTIFS('Promo Calendar'!$A$6:$A$400,$A109,'Promo Calendar'!$L$6:$L$400,"Active")&gt;1," (+"&amp;(COUNTIFS('Promo Calendar'!$A$6:$A$400,$A109,'Promo Calendar'!$L$6:$L$400,"Active")-1)&amp;" more)","")))</f>
        <v/>
      </c>
      <c r="P109" s="39">
        <f>IF($A109="","",IF(COUNTIFS('Promo Calendar'!$A$6:$A$400,$A109,'Promo Calendar'!$L$6:$L$400,"Active",'Promo Calendar'!$G$6:$G$400,"&gt;0")&gt;0,_xlfn.MINIFS('Promo Calendar'!$G$6:$G$400,'Promo Calendar'!$A$6:$A$400,$A109,'Promo Calendar'!$L$6:$L$400,"Active",'Promo Calendar'!$G$6:$G$400,"&gt;0"),IF(M109="","Not set",M109)))</f>
        <v/>
      </c>
      <c r="Q109" s="40">
        <f>IF($A109="","",IF(COUNTIFS('Promo Calendar'!$A$6:$A$400,$A109,'Promo Calendar'!$I$6:$I$400,"&gt;"&amp;TODAY())=0,"None scheduled",_xlfn.MINIFS('Promo Calendar'!$I$6:$I$400,'Promo Calendar'!$A$6:$A$400,$A109,'Promo Calendar'!$I$6:$I$400,"&gt;"&amp;TODAY())))</f>
        <v/>
      </c>
      <c r="W109" s="38">
        <f>IF($A109="","",COUNTIFS('Visit Log'!$C$6:$C$1005,$A109,'Visit Log'!$A$6:$A$1005,"&gt;="&amp;TODAY()-30))</f>
        <v/>
      </c>
      <c r="X109" s="38">
        <f>IF($A109="","",COUNTIFS('Visit Log'!$C$6:$C$1005,$A109,'Visit Log'!$T$6:$T$1005,"Open")+COUNTIFS('Visit Log'!$C$6:$C$1005,$A109,'Visit Log'!$T$6:$T$1005,"In Progress"))</f>
        <v/>
      </c>
      <c r="Y109" s="40">
        <f>IF($A109="","",IF(COUNTIFS('Visit Log'!$C$6:$C$1005,$A109)=0,"No visits",_xlfn.MAXIFS('Visit Log'!$A$6:$A$1005,'Visit Log'!$C$6:$C$1005,$A109)))</f>
        <v/>
      </c>
    </row>
    <row r="110">
      <c r="O110" s="38">
        <f>IF($A110="","",IF(COUNTIFS('Promo Calendar'!$A$6:$A$400,$A110,'Promo Calendar'!$L$6:$L$400,"Active")=0,"None active",INDEX('Promo Calendar'!$F$6:$F$400,MATCH($A110,'Promo Calendar'!$O$6:$O$400,0))&amp;IF(COUNTIFS('Promo Calendar'!$A$6:$A$400,$A110,'Promo Calendar'!$L$6:$L$400,"Active")&gt;1," (+"&amp;(COUNTIFS('Promo Calendar'!$A$6:$A$400,$A110,'Promo Calendar'!$L$6:$L$400,"Active")-1)&amp;" more)","")))</f>
        <v/>
      </c>
      <c r="P110" s="39">
        <f>IF($A110="","",IF(COUNTIFS('Promo Calendar'!$A$6:$A$400,$A110,'Promo Calendar'!$L$6:$L$400,"Active",'Promo Calendar'!$G$6:$G$400,"&gt;0")&gt;0,_xlfn.MINIFS('Promo Calendar'!$G$6:$G$400,'Promo Calendar'!$A$6:$A$400,$A110,'Promo Calendar'!$L$6:$L$400,"Active",'Promo Calendar'!$G$6:$G$400,"&gt;0"),IF(M110="","Not set",M110)))</f>
        <v/>
      </c>
      <c r="Q110" s="40">
        <f>IF($A110="","",IF(COUNTIFS('Promo Calendar'!$A$6:$A$400,$A110,'Promo Calendar'!$I$6:$I$400,"&gt;"&amp;TODAY())=0,"None scheduled",_xlfn.MINIFS('Promo Calendar'!$I$6:$I$400,'Promo Calendar'!$A$6:$A$400,$A110,'Promo Calendar'!$I$6:$I$400,"&gt;"&amp;TODAY())))</f>
        <v/>
      </c>
      <c r="W110" s="38">
        <f>IF($A110="","",COUNTIFS('Visit Log'!$C$6:$C$1005,$A110,'Visit Log'!$A$6:$A$1005,"&gt;="&amp;TODAY()-30))</f>
        <v/>
      </c>
      <c r="X110" s="38">
        <f>IF($A110="","",COUNTIFS('Visit Log'!$C$6:$C$1005,$A110,'Visit Log'!$T$6:$T$1005,"Open")+COUNTIFS('Visit Log'!$C$6:$C$1005,$A110,'Visit Log'!$T$6:$T$1005,"In Progress"))</f>
        <v/>
      </c>
      <c r="Y110" s="40">
        <f>IF($A110="","",IF(COUNTIFS('Visit Log'!$C$6:$C$1005,$A110)=0,"No visits",_xlfn.MAXIFS('Visit Log'!$A$6:$A$1005,'Visit Log'!$C$6:$C$1005,$A110)))</f>
        <v/>
      </c>
    </row>
    <row r="111">
      <c r="O111" s="38">
        <f>IF($A111="","",IF(COUNTIFS('Promo Calendar'!$A$6:$A$400,$A111,'Promo Calendar'!$L$6:$L$400,"Active")=0,"None active",INDEX('Promo Calendar'!$F$6:$F$400,MATCH($A111,'Promo Calendar'!$O$6:$O$400,0))&amp;IF(COUNTIFS('Promo Calendar'!$A$6:$A$400,$A111,'Promo Calendar'!$L$6:$L$400,"Active")&gt;1," (+"&amp;(COUNTIFS('Promo Calendar'!$A$6:$A$400,$A111,'Promo Calendar'!$L$6:$L$400,"Active")-1)&amp;" more)","")))</f>
        <v/>
      </c>
      <c r="P111" s="39">
        <f>IF($A111="","",IF(COUNTIFS('Promo Calendar'!$A$6:$A$400,$A111,'Promo Calendar'!$L$6:$L$400,"Active",'Promo Calendar'!$G$6:$G$400,"&gt;0")&gt;0,_xlfn.MINIFS('Promo Calendar'!$G$6:$G$400,'Promo Calendar'!$A$6:$A$400,$A111,'Promo Calendar'!$L$6:$L$400,"Active",'Promo Calendar'!$G$6:$G$400,"&gt;0"),IF(M111="","Not set",M111)))</f>
        <v/>
      </c>
      <c r="Q111" s="40">
        <f>IF($A111="","",IF(COUNTIFS('Promo Calendar'!$A$6:$A$400,$A111,'Promo Calendar'!$I$6:$I$400,"&gt;"&amp;TODAY())=0,"None scheduled",_xlfn.MINIFS('Promo Calendar'!$I$6:$I$400,'Promo Calendar'!$A$6:$A$400,$A111,'Promo Calendar'!$I$6:$I$400,"&gt;"&amp;TODAY())))</f>
        <v/>
      </c>
      <c r="W111" s="38">
        <f>IF($A111="","",COUNTIFS('Visit Log'!$C$6:$C$1005,$A111,'Visit Log'!$A$6:$A$1005,"&gt;="&amp;TODAY()-30))</f>
        <v/>
      </c>
      <c r="X111" s="38">
        <f>IF($A111="","",COUNTIFS('Visit Log'!$C$6:$C$1005,$A111,'Visit Log'!$T$6:$T$1005,"Open")+COUNTIFS('Visit Log'!$C$6:$C$1005,$A111,'Visit Log'!$T$6:$T$1005,"In Progress"))</f>
        <v/>
      </c>
      <c r="Y111" s="40">
        <f>IF($A111="","",IF(COUNTIFS('Visit Log'!$C$6:$C$1005,$A111)=0,"No visits",_xlfn.MAXIFS('Visit Log'!$A$6:$A$1005,'Visit Log'!$C$6:$C$1005,$A111)))</f>
        <v/>
      </c>
    </row>
    <row r="112">
      <c r="O112" s="38">
        <f>IF($A112="","",IF(COUNTIFS('Promo Calendar'!$A$6:$A$400,$A112,'Promo Calendar'!$L$6:$L$400,"Active")=0,"None active",INDEX('Promo Calendar'!$F$6:$F$400,MATCH($A112,'Promo Calendar'!$O$6:$O$400,0))&amp;IF(COUNTIFS('Promo Calendar'!$A$6:$A$400,$A112,'Promo Calendar'!$L$6:$L$400,"Active")&gt;1," (+"&amp;(COUNTIFS('Promo Calendar'!$A$6:$A$400,$A112,'Promo Calendar'!$L$6:$L$400,"Active")-1)&amp;" more)","")))</f>
        <v/>
      </c>
      <c r="P112" s="39">
        <f>IF($A112="","",IF(COUNTIFS('Promo Calendar'!$A$6:$A$400,$A112,'Promo Calendar'!$L$6:$L$400,"Active",'Promo Calendar'!$G$6:$G$400,"&gt;0")&gt;0,_xlfn.MINIFS('Promo Calendar'!$G$6:$G$400,'Promo Calendar'!$A$6:$A$400,$A112,'Promo Calendar'!$L$6:$L$400,"Active",'Promo Calendar'!$G$6:$G$400,"&gt;0"),IF(M112="","Not set",M112)))</f>
        <v/>
      </c>
      <c r="Q112" s="40">
        <f>IF($A112="","",IF(COUNTIFS('Promo Calendar'!$A$6:$A$400,$A112,'Promo Calendar'!$I$6:$I$400,"&gt;"&amp;TODAY())=0,"None scheduled",_xlfn.MINIFS('Promo Calendar'!$I$6:$I$400,'Promo Calendar'!$A$6:$A$400,$A112,'Promo Calendar'!$I$6:$I$400,"&gt;"&amp;TODAY())))</f>
        <v/>
      </c>
      <c r="W112" s="38">
        <f>IF($A112="","",COUNTIFS('Visit Log'!$C$6:$C$1005,$A112,'Visit Log'!$A$6:$A$1005,"&gt;="&amp;TODAY()-30))</f>
        <v/>
      </c>
      <c r="X112" s="38">
        <f>IF($A112="","",COUNTIFS('Visit Log'!$C$6:$C$1005,$A112,'Visit Log'!$T$6:$T$1005,"Open")+COUNTIFS('Visit Log'!$C$6:$C$1005,$A112,'Visit Log'!$T$6:$T$1005,"In Progress"))</f>
        <v/>
      </c>
      <c r="Y112" s="40">
        <f>IF($A112="","",IF(COUNTIFS('Visit Log'!$C$6:$C$1005,$A112)=0,"No visits",_xlfn.MAXIFS('Visit Log'!$A$6:$A$1005,'Visit Log'!$C$6:$C$1005,$A112)))</f>
        <v/>
      </c>
    </row>
    <row r="113">
      <c r="O113" s="38">
        <f>IF($A113="","",IF(COUNTIFS('Promo Calendar'!$A$6:$A$400,$A113,'Promo Calendar'!$L$6:$L$400,"Active")=0,"None active",INDEX('Promo Calendar'!$F$6:$F$400,MATCH($A113,'Promo Calendar'!$O$6:$O$400,0))&amp;IF(COUNTIFS('Promo Calendar'!$A$6:$A$400,$A113,'Promo Calendar'!$L$6:$L$400,"Active")&gt;1," (+"&amp;(COUNTIFS('Promo Calendar'!$A$6:$A$400,$A113,'Promo Calendar'!$L$6:$L$400,"Active")-1)&amp;" more)","")))</f>
        <v/>
      </c>
      <c r="P113" s="39">
        <f>IF($A113="","",IF(COUNTIFS('Promo Calendar'!$A$6:$A$400,$A113,'Promo Calendar'!$L$6:$L$400,"Active",'Promo Calendar'!$G$6:$G$400,"&gt;0")&gt;0,_xlfn.MINIFS('Promo Calendar'!$G$6:$G$400,'Promo Calendar'!$A$6:$A$400,$A113,'Promo Calendar'!$L$6:$L$400,"Active",'Promo Calendar'!$G$6:$G$400,"&gt;0"),IF(M113="","Not set",M113)))</f>
        <v/>
      </c>
      <c r="Q113" s="40">
        <f>IF($A113="","",IF(COUNTIFS('Promo Calendar'!$A$6:$A$400,$A113,'Promo Calendar'!$I$6:$I$400,"&gt;"&amp;TODAY())=0,"None scheduled",_xlfn.MINIFS('Promo Calendar'!$I$6:$I$400,'Promo Calendar'!$A$6:$A$400,$A113,'Promo Calendar'!$I$6:$I$400,"&gt;"&amp;TODAY())))</f>
        <v/>
      </c>
      <c r="W113" s="38">
        <f>IF($A113="","",COUNTIFS('Visit Log'!$C$6:$C$1005,$A113,'Visit Log'!$A$6:$A$1005,"&gt;="&amp;TODAY()-30))</f>
        <v/>
      </c>
      <c r="X113" s="38">
        <f>IF($A113="","",COUNTIFS('Visit Log'!$C$6:$C$1005,$A113,'Visit Log'!$T$6:$T$1005,"Open")+COUNTIFS('Visit Log'!$C$6:$C$1005,$A113,'Visit Log'!$T$6:$T$1005,"In Progress"))</f>
        <v/>
      </c>
      <c r="Y113" s="40">
        <f>IF($A113="","",IF(COUNTIFS('Visit Log'!$C$6:$C$1005,$A113)=0,"No visits",_xlfn.MAXIFS('Visit Log'!$A$6:$A$1005,'Visit Log'!$C$6:$C$1005,$A113)))</f>
        <v/>
      </c>
    </row>
    <row r="114">
      <c r="O114" s="38">
        <f>IF($A114="","",IF(COUNTIFS('Promo Calendar'!$A$6:$A$400,$A114,'Promo Calendar'!$L$6:$L$400,"Active")=0,"None active",INDEX('Promo Calendar'!$F$6:$F$400,MATCH($A114,'Promo Calendar'!$O$6:$O$400,0))&amp;IF(COUNTIFS('Promo Calendar'!$A$6:$A$400,$A114,'Promo Calendar'!$L$6:$L$400,"Active")&gt;1," (+"&amp;(COUNTIFS('Promo Calendar'!$A$6:$A$400,$A114,'Promo Calendar'!$L$6:$L$400,"Active")-1)&amp;" more)","")))</f>
        <v/>
      </c>
      <c r="P114" s="39">
        <f>IF($A114="","",IF(COUNTIFS('Promo Calendar'!$A$6:$A$400,$A114,'Promo Calendar'!$L$6:$L$400,"Active",'Promo Calendar'!$G$6:$G$400,"&gt;0")&gt;0,_xlfn.MINIFS('Promo Calendar'!$G$6:$G$400,'Promo Calendar'!$A$6:$A$400,$A114,'Promo Calendar'!$L$6:$L$400,"Active",'Promo Calendar'!$G$6:$G$400,"&gt;0"),IF(M114="","Not set",M114)))</f>
        <v/>
      </c>
      <c r="Q114" s="40">
        <f>IF($A114="","",IF(COUNTIFS('Promo Calendar'!$A$6:$A$400,$A114,'Promo Calendar'!$I$6:$I$400,"&gt;"&amp;TODAY())=0,"None scheduled",_xlfn.MINIFS('Promo Calendar'!$I$6:$I$400,'Promo Calendar'!$A$6:$A$400,$A114,'Promo Calendar'!$I$6:$I$400,"&gt;"&amp;TODAY())))</f>
        <v/>
      </c>
      <c r="W114" s="38">
        <f>IF($A114="","",COUNTIFS('Visit Log'!$C$6:$C$1005,$A114,'Visit Log'!$A$6:$A$1005,"&gt;="&amp;TODAY()-30))</f>
        <v/>
      </c>
      <c r="X114" s="38">
        <f>IF($A114="","",COUNTIFS('Visit Log'!$C$6:$C$1005,$A114,'Visit Log'!$T$6:$T$1005,"Open")+COUNTIFS('Visit Log'!$C$6:$C$1005,$A114,'Visit Log'!$T$6:$T$1005,"In Progress"))</f>
        <v/>
      </c>
      <c r="Y114" s="40">
        <f>IF($A114="","",IF(COUNTIFS('Visit Log'!$C$6:$C$1005,$A114)=0,"No visits",_xlfn.MAXIFS('Visit Log'!$A$6:$A$1005,'Visit Log'!$C$6:$C$1005,$A114)))</f>
        <v/>
      </c>
    </row>
    <row r="115">
      <c r="O115" s="38">
        <f>IF($A115="","",IF(COUNTIFS('Promo Calendar'!$A$6:$A$400,$A115,'Promo Calendar'!$L$6:$L$400,"Active")=0,"None active",INDEX('Promo Calendar'!$F$6:$F$400,MATCH($A115,'Promo Calendar'!$O$6:$O$400,0))&amp;IF(COUNTIFS('Promo Calendar'!$A$6:$A$400,$A115,'Promo Calendar'!$L$6:$L$400,"Active")&gt;1," (+"&amp;(COUNTIFS('Promo Calendar'!$A$6:$A$400,$A115,'Promo Calendar'!$L$6:$L$400,"Active")-1)&amp;" more)","")))</f>
        <v/>
      </c>
      <c r="P115" s="39">
        <f>IF($A115="","",IF(COUNTIFS('Promo Calendar'!$A$6:$A$400,$A115,'Promo Calendar'!$L$6:$L$400,"Active",'Promo Calendar'!$G$6:$G$400,"&gt;0")&gt;0,_xlfn.MINIFS('Promo Calendar'!$G$6:$G$400,'Promo Calendar'!$A$6:$A$400,$A115,'Promo Calendar'!$L$6:$L$400,"Active",'Promo Calendar'!$G$6:$G$400,"&gt;0"),IF(M115="","Not set",M115)))</f>
        <v/>
      </c>
      <c r="Q115" s="40">
        <f>IF($A115="","",IF(COUNTIFS('Promo Calendar'!$A$6:$A$400,$A115,'Promo Calendar'!$I$6:$I$400,"&gt;"&amp;TODAY())=0,"None scheduled",_xlfn.MINIFS('Promo Calendar'!$I$6:$I$400,'Promo Calendar'!$A$6:$A$400,$A115,'Promo Calendar'!$I$6:$I$400,"&gt;"&amp;TODAY())))</f>
        <v/>
      </c>
      <c r="W115" s="38">
        <f>IF($A115="","",COUNTIFS('Visit Log'!$C$6:$C$1005,$A115,'Visit Log'!$A$6:$A$1005,"&gt;="&amp;TODAY()-30))</f>
        <v/>
      </c>
      <c r="X115" s="38">
        <f>IF($A115="","",COUNTIFS('Visit Log'!$C$6:$C$1005,$A115,'Visit Log'!$T$6:$T$1005,"Open")+COUNTIFS('Visit Log'!$C$6:$C$1005,$A115,'Visit Log'!$T$6:$T$1005,"In Progress"))</f>
        <v/>
      </c>
      <c r="Y115" s="40">
        <f>IF($A115="","",IF(COUNTIFS('Visit Log'!$C$6:$C$1005,$A115)=0,"No visits",_xlfn.MAXIFS('Visit Log'!$A$6:$A$1005,'Visit Log'!$C$6:$C$1005,$A115)))</f>
        <v/>
      </c>
    </row>
    <row r="116">
      <c r="O116" s="38">
        <f>IF($A116="","",IF(COUNTIFS('Promo Calendar'!$A$6:$A$400,$A116,'Promo Calendar'!$L$6:$L$400,"Active")=0,"None active",INDEX('Promo Calendar'!$F$6:$F$400,MATCH($A116,'Promo Calendar'!$O$6:$O$400,0))&amp;IF(COUNTIFS('Promo Calendar'!$A$6:$A$400,$A116,'Promo Calendar'!$L$6:$L$400,"Active")&gt;1," (+"&amp;(COUNTIFS('Promo Calendar'!$A$6:$A$400,$A116,'Promo Calendar'!$L$6:$L$400,"Active")-1)&amp;" more)","")))</f>
        <v/>
      </c>
      <c r="P116" s="39">
        <f>IF($A116="","",IF(COUNTIFS('Promo Calendar'!$A$6:$A$400,$A116,'Promo Calendar'!$L$6:$L$400,"Active",'Promo Calendar'!$G$6:$G$400,"&gt;0")&gt;0,_xlfn.MINIFS('Promo Calendar'!$G$6:$G$400,'Promo Calendar'!$A$6:$A$400,$A116,'Promo Calendar'!$L$6:$L$400,"Active",'Promo Calendar'!$G$6:$G$400,"&gt;0"),IF(M116="","Not set",M116)))</f>
        <v/>
      </c>
      <c r="Q116" s="40">
        <f>IF($A116="","",IF(COUNTIFS('Promo Calendar'!$A$6:$A$400,$A116,'Promo Calendar'!$I$6:$I$400,"&gt;"&amp;TODAY())=0,"None scheduled",_xlfn.MINIFS('Promo Calendar'!$I$6:$I$400,'Promo Calendar'!$A$6:$A$400,$A116,'Promo Calendar'!$I$6:$I$400,"&gt;"&amp;TODAY())))</f>
        <v/>
      </c>
      <c r="W116" s="38">
        <f>IF($A116="","",COUNTIFS('Visit Log'!$C$6:$C$1005,$A116,'Visit Log'!$A$6:$A$1005,"&gt;="&amp;TODAY()-30))</f>
        <v/>
      </c>
      <c r="X116" s="38">
        <f>IF($A116="","",COUNTIFS('Visit Log'!$C$6:$C$1005,$A116,'Visit Log'!$T$6:$T$1005,"Open")+COUNTIFS('Visit Log'!$C$6:$C$1005,$A116,'Visit Log'!$T$6:$T$1005,"In Progress"))</f>
        <v/>
      </c>
      <c r="Y116" s="40">
        <f>IF($A116="","",IF(COUNTIFS('Visit Log'!$C$6:$C$1005,$A116)=0,"No visits",_xlfn.MAXIFS('Visit Log'!$A$6:$A$1005,'Visit Log'!$C$6:$C$1005,$A116)))</f>
        <v/>
      </c>
    </row>
    <row r="117">
      <c r="O117" s="38">
        <f>IF($A117="","",IF(COUNTIFS('Promo Calendar'!$A$6:$A$400,$A117,'Promo Calendar'!$L$6:$L$400,"Active")=0,"None active",INDEX('Promo Calendar'!$F$6:$F$400,MATCH($A117,'Promo Calendar'!$O$6:$O$400,0))&amp;IF(COUNTIFS('Promo Calendar'!$A$6:$A$400,$A117,'Promo Calendar'!$L$6:$L$400,"Active")&gt;1," (+"&amp;(COUNTIFS('Promo Calendar'!$A$6:$A$400,$A117,'Promo Calendar'!$L$6:$L$400,"Active")-1)&amp;" more)","")))</f>
        <v/>
      </c>
      <c r="P117" s="39">
        <f>IF($A117="","",IF(COUNTIFS('Promo Calendar'!$A$6:$A$400,$A117,'Promo Calendar'!$L$6:$L$400,"Active",'Promo Calendar'!$G$6:$G$400,"&gt;0")&gt;0,_xlfn.MINIFS('Promo Calendar'!$G$6:$G$400,'Promo Calendar'!$A$6:$A$400,$A117,'Promo Calendar'!$L$6:$L$400,"Active",'Promo Calendar'!$G$6:$G$400,"&gt;0"),IF(M117="","Not set",M117)))</f>
        <v/>
      </c>
      <c r="Q117" s="40">
        <f>IF($A117="","",IF(COUNTIFS('Promo Calendar'!$A$6:$A$400,$A117,'Promo Calendar'!$I$6:$I$400,"&gt;"&amp;TODAY())=0,"None scheduled",_xlfn.MINIFS('Promo Calendar'!$I$6:$I$400,'Promo Calendar'!$A$6:$A$400,$A117,'Promo Calendar'!$I$6:$I$400,"&gt;"&amp;TODAY())))</f>
        <v/>
      </c>
      <c r="W117" s="38">
        <f>IF($A117="","",COUNTIFS('Visit Log'!$C$6:$C$1005,$A117,'Visit Log'!$A$6:$A$1005,"&gt;="&amp;TODAY()-30))</f>
        <v/>
      </c>
      <c r="X117" s="38">
        <f>IF($A117="","",COUNTIFS('Visit Log'!$C$6:$C$1005,$A117,'Visit Log'!$T$6:$T$1005,"Open")+COUNTIFS('Visit Log'!$C$6:$C$1005,$A117,'Visit Log'!$T$6:$T$1005,"In Progress"))</f>
        <v/>
      </c>
      <c r="Y117" s="40">
        <f>IF($A117="","",IF(COUNTIFS('Visit Log'!$C$6:$C$1005,$A117)=0,"No visits",_xlfn.MAXIFS('Visit Log'!$A$6:$A$1005,'Visit Log'!$C$6:$C$1005,$A117)))</f>
        <v/>
      </c>
    </row>
    <row r="118">
      <c r="O118" s="38">
        <f>IF($A118="","",IF(COUNTIFS('Promo Calendar'!$A$6:$A$400,$A118,'Promo Calendar'!$L$6:$L$400,"Active")=0,"None active",INDEX('Promo Calendar'!$F$6:$F$400,MATCH($A118,'Promo Calendar'!$O$6:$O$400,0))&amp;IF(COUNTIFS('Promo Calendar'!$A$6:$A$400,$A118,'Promo Calendar'!$L$6:$L$400,"Active")&gt;1," (+"&amp;(COUNTIFS('Promo Calendar'!$A$6:$A$400,$A118,'Promo Calendar'!$L$6:$L$400,"Active")-1)&amp;" more)","")))</f>
        <v/>
      </c>
      <c r="P118" s="39">
        <f>IF($A118="","",IF(COUNTIFS('Promo Calendar'!$A$6:$A$400,$A118,'Promo Calendar'!$L$6:$L$400,"Active",'Promo Calendar'!$G$6:$G$400,"&gt;0")&gt;0,_xlfn.MINIFS('Promo Calendar'!$G$6:$G$400,'Promo Calendar'!$A$6:$A$400,$A118,'Promo Calendar'!$L$6:$L$400,"Active",'Promo Calendar'!$G$6:$G$400,"&gt;0"),IF(M118="","Not set",M118)))</f>
        <v/>
      </c>
      <c r="Q118" s="40">
        <f>IF($A118="","",IF(COUNTIFS('Promo Calendar'!$A$6:$A$400,$A118,'Promo Calendar'!$I$6:$I$400,"&gt;"&amp;TODAY())=0,"None scheduled",_xlfn.MINIFS('Promo Calendar'!$I$6:$I$400,'Promo Calendar'!$A$6:$A$400,$A118,'Promo Calendar'!$I$6:$I$400,"&gt;"&amp;TODAY())))</f>
        <v/>
      </c>
      <c r="W118" s="38">
        <f>IF($A118="","",COUNTIFS('Visit Log'!$C$6:$C$1005,$A118,'Visit Log'!$A$6:$A$1005,"&gt;="&amp;TODAY()-30))</f>
        <v/>
      </c>
      <c r="X118" s="38">
        <f>IF($A118="","",COUNTIFS('Visit Log'!$C$6:$C$1005,$A118,'Visit Log'!$T$6:$T$1005,"Open")+COUNTIFS('Visit Log'!$C$6:$C$1005,$A118,'Visit Log'!$T$6:$T$1005,"In Progress"))</f>
        <v/>
      </c>
      <c r="Y118" s="40">
        <f>IF($A118="","",IF(COUNTIFS('Visit Log'!$C$6:$C$1005,$A118)=0,"No visits",_xlfn.MAXIFS('Visit Log'!$A$6:$A$1005,'Visit Log'!$C$6:$C$1005,$A118)))</f>
        <v/>
      </c>
    </row>
    <row r="119">
      <c r="O119" s="38">
        <f>IF($A119="","",IF(COUNTIFS('Promo Calendar'!$A$6:$A$400,$A119,'Promo Calendar'!$L$6:$L$400,"Active")=0,"None active",INDEX('Promo Calendar'!$F$6:$F$400,MATCH($A119,'Promo Calendar'!$O$6:$O$400,0))&amp;IF(COUNTIFS('Promo Calendar'!$A$6:$A$400,$A119,'Promo Calendar'!$L$6:$L$400,"Active")&gt;1," (+"&amp;(COUNTIFS('Promo Calendar'!$A$6:$A$400,$A119,'Promo Calendar'!$L$6:$L$400,"Active")-1)&amp;" more)","")))</f>
        <v/>
      </c>
      <c r="P119" s="39">
        <f>IF($A119="","",IF(COUNTIFS('Promo Calendar'!$A$6:$A$400,$A119,'Promo Calendar'!$L$6:$L$400,"Active",'Promo Calendar'!$G$6:$G$400,"&gt;0")&gt;0,_xlfn.MINIFS('Promo Calendar'!$G$6:$G$400,'Promo Calendar'!$A$6:$A$400,$A119,'Promo Calendar'!$L$6:$L$400,"Active",'Promo Calendar'!$G$6:$G$400,"&gt;0"),IF(M119="","Not set",M119)))</f>
        <v/>
      </c>
      <c r="Q119" s="40">
        <f>IF($A119="","",IF(COUNTIFS('Promo Calendar'!$A$6:$A$400,$A119,'Promo Calendar'!$I$6:$I$400,"&gt;"&amp;TODAY())=0,"None scheduled",_xlfn.MINIFS('Promo Calendar'!$I$6:$I$400,'Promo Calendar'!$A$6:$A$400,$A119,'Promo Calendar'!$I$6:$I$400,"&gt;"&amp;TODAY())))</f>
        <v/>
      </c>
      <c r="W119" s="38">
        <f>IF($A119="","",COUNTIFS('Visit Log'!$C$6:$C$1005,$A119,'Visit Log'!$A$6:$A$1005,"&gt;="&amp;TODAY()-30))</f>
        <v/>
      </c>
      <c r="X119" s="38">
        <f>IF($A119="","",COUNTIFS('Visit Log'!$C$6:$C$1005,$A119,'Visit Log'!$T$6:$T$1005,"Open")+COUNTIFS('Visit Log'!$C$6:$C$1005,$A119,'Visit Log'!$T$6:$T$1005,"In Progress"))</f>
        <v/>
      </c>
      <c r="Y119" s="40">
        <f>IF($A119="","",IF(COUNTIFS('Visit Log'!$C$6:$C$1005,$A119)=0,"No visits",_xlfn.MAXIFS('Visit Log'!$A$6:$A$1005,'Visit Log'!$C$6:$C$1005,$A119)))</f>
        <v/>
      </c>
    </row>
    <row r="120">
      <c r="O120" s="38">
        <f>IF($A120="","",IF(COUNTIFS('Promo Calendar'!$A$6:$A$400,$A120,'Promo Calendar'!$L$6:$L$400,"Active")=0,"None active",INDEX('Promo Calendar'!$F$6:$F$400,MATCH($A120,'Promo Calendar'!$O$6:$O$400,0))&amp;IF(COUNTIFS('Promo Calendar'!$A$6:$A$400,$A120,'Promo Calendar'!$L$6:$L$400,"Active")&gt;1," (+"&amp;(COUNTIFS('Promo Calendar'!$A$6:$A$400,$A120,'Promo Calendar'!$L$6:$L$400,"Active")-1)&amp;" more)","")))</f>
        <v/>
      </c>
      <c r="P120" s="39">
        <f>IF($A120="","",IF(COUNTIFS('Promo Calendar'!$A$6:$A$400,$A120,'Promo Calendar'!$L$6:$L$400,"Active",'Promo Calendar'!$G$6:$G$400,"&gt;0")&gt;0,_xlfn.MINIFS('Promo Calendar'!$G$6:$G$400,'Promo Calendar'!$A$6:$A$400,$A120,'Promo Calendar'!$L$6:$L$400,"Active",'Promo Calendar'!$G$6:$G$400,"&gt;0"),IF(M120="","Not set",M120)))</f>
        <v/>
      </c>
      <c r="Q120" s="40">
        <f>IF($A120="","",IF(COUNTIFS('Promo Calendar'!$A$6:$A$400,$A120,'Promo Calendar'!$I$6:$I$400,"&gt;"&amp;TODAY())=0,"None scheduled",_xlfn.MINIFS('Promo Calendar'!$I$6:$I$400,'Promo Calendar'!$A$6:$A$400,$A120,'Promo Calendar'!$I$6:$I$400,"&gt;"&amp;TODAY())))</f>
        <v/>
      </c>
      <c r="W120" s="38">
        <f>IF($A120="","",COUNTIFS('Visit Log'!$C$6:$C$1005,$A120,'Visit Log'!$A$6:$A$1005,"&gt;="&amp;TODAY()-30))</f>
        <v/>
      </c>
      <c r="X120" s="38">
        <f>IF($A120="","",COUNTIFS('Visit Log'!$C$6:$C$1005,$A120,'Visit Log'!$T$6:$T$1005,"Open")+COUNTIFS('Visit Log'!$C$6:$C$1005,$A120,'Visit Log'!$T$6:$T$1005,"In Progress"))</f>
        <v/>
      </c>
      <c r="Y120" s="40">
        <f>IF($A120="","",IF(COUNTIFS('Visit Log'!$C$6:$C$1005,$A120)=0,"No visits",_xlfn.MAXIFS('Visit Log'!$A$6:$A$1005,'Visit Log'!$C$6:$C$1005,$A120)))</f>
        <v/>
      </c>
    </row>
  </sheetData>
  <autoFilter ref="A5:Y47"/>
  <mergeCells count="4">
    <mergeCell ref="K4:Q4"/>
    <mergeCell ref="R4:Y4"/>
    <mergeCell ref="H4:I4"/>
    <mergeCell ref="A4:G4"/>
  </mergeCells>
  <conditionalFormatting sqref="U6:U120">
    <cfRule type="cellIs" priority="1" operator="equal" dxfId="1">
      <formula>"Confirm for 2026"</formula>
    </cfRule>
  </conditionalFormatting>
  <conditionalFormatting sqref="X6:X120">
    <cfRule type="cellIs" priority="2" operator="greaterThan" dxfId="0">
      <formula>0</formula>
    </cfRule>
  </conditionalFormatting>
  <conditionalFormatting sqref="O6:O120">
    <cfRule type="expression" priority="3" dxfId="2">
      <formula>AND(O6&lt;&gt;"",O6&lt;&gt;"None active")</formula>
    </cfRule>
  </conditionalFormatting>
  <dataValidations count="2">
    <dataValidation sqref="B6:B120" showDropDown="0" showInputMessage="0" showErrorMessage="0" allowBlank="1" errorTitle="Not on the list" error="Pick a value from the list." type="list">
      <formula1>=Lists!$B$4:$B$7</formula1>
    </dataValidation>
    <dataValidation sqref="U6:U120" showDropDown="0" showInputMessage="0" showErrorMessage="0" allowBlank="1" type="list">
      <formula1>"Current (2026),Confirm for 2026"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7A1F2B"/>
    <outlinePr summaryBelow="1" summaryRight="1"/>
    <pageSetUpPr fitToPage="1"/>
  </sheetPr>
  <dimension ref="A1:O4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0" customWidth="1" min="4" max="4"/>
    <col width="13" customWidth="1" min="5" max="5"/>
    <col width="30" customWidth="1" min="6" max="6"/>
    <col width="10" customWidth="1" min="7" max="7"/>
    <col width="10" customWidth="1" min="8" max="8"/>
    <col width="11" customWidth="1" min="9" max="9"/>
    <col width="11" customWidth="1" min="10" max="10"/>
    <col width="9" customWidth="1" min="11" max="11"/>
    <col width="11" customWidth="1" min="12" max="12"/>
    <col width="8" customWidth="1" min="13" max="13"/>
    <col width="20" customWidth="1" min="14" max="14"/>
    <col width="18" customWidth="1" min="15" max="15"/>
  </cols>
  <sheetData>
    <row r="1" ht="24" customHeight="1">
      <c r="A1" s="11" t="inlineStr">
        <is>
          <t>PROMO CALENDAR</t>
        </is>
      </c>
    </row>
    <row r="2">
      <c r="A2" s="2" t="inlineStr">
        <is>
          <t>One row per promo window. Status updates automatically from today's date. Unit Retail drives the expected shelf price; leave it blank for case-cost-only rows. SKU 'All' applies to every SKU in the program.</t>
        </is>
      </c>
    </row>
    <row r="4" ht="18" customHeight="1">
      <c r="A4" s="24" t="inlineStr">
        <is>
          <t>PROGRAM</t>
        </is>
      </c>
      <c r="B4" s="4" t="n"/>
      <c r="C4" s="4" t="n"/>
      <c r="D4" s="4" t="n"/>
      <c r="E4" s="27" t="inlineStr">
        <is>
          <t>OFFER</t>
        </is>
      </c>
      <c r="F4" s="13" t="n"/>
      <c r="G4" s="13" t="n"/>
      <c r="H4" s="13" t="n"/>
      <c r="I4" s="25" t="inlineStr">
        <is>
          <t>WINDOW</t>
        </is>
      </c>
      <c r="J4" s="22" t="n"/>
      <c r="K4" s="22" t="n"/>
      <c r="L4" s="22" t="n"/>
      <c r="M4" s="22" t="n"/>
      <c r="N4" s="28" t="inlineStr"/>
      <c r="O4" s="19" t="n"/>
    </row>
    <row r="5" ht="42" customHeight="1">
      <c r="A5" s="29" t="inlineStr">
        <is>
          <t>Program ID</t>
        </is>
      </c>
      <c r="B5" s="29" t="inlineStr">
        <is>
          <t>Brand</t>
        </is>
      </c>
      <c r="C5" s="29" t="inlineStr">
        <is>
          <t>Account / Division</t>
        </is>
      </c>
      <c r="D5" s="29" t="inlineStr">
        <is>
          <t>SKU / Pack</t>
        </is>
      </c>
      <c r="E5" s="32" t="inlineStr">
        <is>
          <t>Offer Type</t>
        </is>
      </c>
      <c r="F5" s="32" t="inlineStr">
        <is>
          <t>Offer</t>
        </is>
      </c>
      <c r="G5" s="32" t="inlineStr">
        <is>
          <t>Unit Retail ($)</t>
        </is>
      </c>
      <c r="H5" s="32" t="inlineStr">
        <is>
          <t>Case Cost ($)</t>
        </is>
      </c>
      <c r="I5" s="30" t="inlineStr">
        <is>
          <t>Start</t>
        </is>
      </c>
      <c r="J5" s="30" t="inlineStr">
        <is>
          <t>End</t>
        </is>
      </c>
      <c r="K5" s="30" t="inlineStr">
        <is>
          <t>Display Required</t>
        </is>
      </c>
      <c r="L5" s="30" t="inlineStr">
        <is>
          <t>Status</t>
        </is>
      </c>
      <c r="M5" s="30" t="inlineStr">
        <is>
          <t>Days Left</t>
        </is>
      </c>
      <c r="N5" s="33" t="inlineStr">
        <is>
          <t>Source</t>
        </is>
      </c>
      <c r="O5" s="33" t="inlineStr">
        <is>
          <t>Active Key (helper)</t>
        </is>
      </c>
    </row>
    <row r="6">
      <c r="A6" s="36" t="inlineStr">
        <is>
          <t>Fever-Tree | Harmons</t>
        </is>
      </c>
      <c r="B6" s="45">
        <f>IF($A6="","",IFERROR(INDEX('Chain Program'!$B$6:$B$120,MATCH($A6,'Chain Program'!$A$6:$A$120,0)),"Unknown ID"))</f>
        <v/>
      </c>
      <c r="C6" s="45">
        <f>IF($A6="","",IFERROR(INDEX('Chain Program'!$D$6:$D$120,MATCH($A6,'Chain Program'!$A$6:$A$120,0)),"Unknown ID"))</f>
        <v/>
      </c>
      <c r="D6" s="36" t="inlineStr">
        <is>
          <t>4pk</t>
        </is>
      </c>
      <c r="E6" s="36" t="inlineStr">
        <is>
          <t>TPR + Display</t>
        </is>
      </c>
      <c r="F6" s="36" t="inlineStr">
        <is>
          <t>4pk $4.99</t>
        </is>
      </c>
      <c r="G6" s="37" t="n">
        <v>4.99</v>
      </c>
      <c r="H6" s="37" t="n"/>
      <c r="I6" s="46" t="n">
        <v>46235</v>
      </c>
      <c r="J6" s="46" t="n">
        <v>46265</v>
      </c>
      <c r="K6" s="36" t="inlineStr">
        <is>
          <t>Y</t>
        </is>
      </c>
      <c r="L6" s="45">
        <f>IF(OR($A6="",$I6="",$J6=""),"",IF(TODAY()&lt;$I6,"Upcoming",IF(TODAY()&gt;$J6,"Expired","Active")))</f>
        <v/>
      </c>
      <c r="M6" s="45">
        <f>IF($L6="Active",$J6-TODAY(),"")</f>
        <v/>
      </c>
      <c r="N6" s="36" t="inlineStr">
        <is>
          <t>Non-Alc Chain 9/8/26</t>
        </is>
      </c>
      <c r="O6" s="47">
        <f>IF($L6="Active",$A6,"")</f>
        <v/>
      </c>
    </row>
    <row r="7">
      <c r="A7" s="36" t="inlineStr">
        <is>
          <t>Fever-Tree | Harmons</t>
        </is>
      </c>
      <c r="B7" s="45">
        <f>IF($A7="","",IFERROR(INDEX('Chain Program'!$B$6:$B$120,MATCH($A7,'Chain Program'!$A$6:$A$120,0)),"Unknown ID"))</f>
        <v/>
      </c>
      <c r="C7" s="45">
        <f>IF($A7="","",IFERROR(INDEX('Chain Program'!$D$6:$D$120,MATCH($A7,'Chain Program'!$A$6:$A$120,0)),"Unknown ID"))</f>
        <v/>
      </c>
      <c r="D7" s="36" t="inlineStr">
        <is>
          <t>8pk</t>
        </is>
      </c>
      <c r="E7" s="36" t="inlineStr">
        <is>
          <t>TPR + Display</t>
        </is>
      </c>
      <c r="F7" s="36" t="inlineStr">
        <is>
          <t>8pk $5.99</t>
        </is>
      </c>
      <c r="G7" s="37" t="n">
        <v>5.99</v>
      </c>
      <c r="H7" s="37" t="n"/>
      <c r="I7" s="46" t="n">
        <v>46235</v>
      </c>
      <c r="J7" s="46" t="n">
        <v>46265</v>
      </c>
      <c r="K7" s="36" t="inlineStr">
        <is>
          <t>Y</t>
        </is>
      </c>
      <c r="L7" s="45">
        <f>IF(OR($A7="",$I7="",$J7=""),"",IF(TODAY()&lt;$I7,"Upcoming",IF(TODAY()&gt;$J7,"Expired","Active")))</f>
        <v/>
      </c>
      <c r="M7" s="45">
        <f>IF($L7="Active",$J7-TODAY(),"")</f>
        <v/>
      </c>
      <c r="N7" s="36" t="inlineStr">
        <is>
          <t>Non-Alc Chain 9/8/26</t>
        </is>
      </c>
      <c r="O7" s="47">
        <f>IF($L7="Active",$A7,"")</f>
        <v/>
      </c>
    </row>
    <row r="8">
      <c r="A8" s="36" t="inlineStr">
        <is>
          <t>Fever-Tree | Harmons</t>
        </is>
      </c>
      <c r="B8" s="45">
        <f>IF($A8="","",IFERROR(INDEX('Chain Program'!$B$6:$B$120,MATCH($A8,'Chain Program'!$A$6:$A$120,0)),"Unknown ID"))</f>
        <v/>
      </c>
      <c r="C8" s="45">
        <f>IF($A8="","",IFERROR(INDEX('Chain Program'!$D$6:$D$120,MATCH($A8,'Chain Program'!$A$6:$A$120,0)),"Unknown ID"))</f>
        <v/>
      </c>
      <c r="D8" s="36" t="inlineStr">
        <is>
          <t>500mL</t>
        </is>
      </c>
      <c r="E8" s="36" t="inlineStr">
        <is>
          <t>TPR + Display</t>
        </is>
      </c>
      <c r="F8" s="36" t="inlineStr">
        <is>
          <t>500mL 2 for $5</t>
        </is>
      </c>
      <c r="G8" s="37" t="n">
        <v>2.5</v>
      </c>
      <c r="H8" s="37" t="n"/>
      <c r="I8" s="46" t="n">
        <v>46235</v>
      </c>
      <c r="J8" s="46" t="n">
        <v>46265</v>
      </c>
      <c r="K8" s="36" t="inlineStr">
        <is>
          <t>Y</t>
        </is>
      </c>
      <c r="L8" s="45">
        <f>IF(OR($A8="",$I8="",$J8=""),"",IF(TODAY()&lt;$I8,"Upcoming",IF(TODAY()&gt;$J8,"Expired","Active")))</f>
        <v/>
      </c>
      <c r="M8" s="45">
        <f>IF($L8="Active",$J8-TODAY(),"")</f>
        <v/>
      </c>
      <c r="N8" s="36" t="inlineStr">
        <is>
          <t>Non-Alc Chain 9/8/26</t>
        </is>
      </c>
      <c r="O8" s="47">
        <f>IF($L8="Active",$A8,"")</f>
        <v/>
      </c>
    </row>
    <row r="9">
      <c r="A9" s="36" t="inlineStr">
        <is>
          <t>Fever-Tree | Harmons</t>
        </is>
      </c>
      <c r="B9" s="45">
        <f>IF($A9="","",IFERROR(INDEX('Chain Program'!$B$6:$B$120,MATCH($A9,'Chain Program'!$A$6:$A$120,0)),"Unknown ID"))</f>
        <v/>
      </c>
      <c r="C9" s="45">
        <f>IF($A9="","",IFERROR(INDEX('Chain Program'!$D$6:$D$120,MATCH($A9,'Chain Program'!$A$6:$A$120,0)),"Unknown ID"))</f>
        <v/>
      </c>
      <c r="D9" s="36" t="inlineStr">
        <is>
          <t>4pk</t>
        </is>
      </c>
      <c r="E9" s="36" t="inlineStr">
        <is>
          <t>TPR + Display</t>
        </is>
      </c>
      <c r="F9" s="36" t="inlineStr">
        <is>
          <t>4pk $4.99</t>
        </is>
      </c>
      <c r="G9" s="37" t="n">
        <v>4.99</v>
      </c>
      <c r="H9" s="37" t="n"/>
      <c r="I9" s="46" t="n">
        <v>46327</v>
      </c>
      <c r="J9" s="46" t="n">
        <v>46356</v>
      </c>
      <c r="K9" s="36" t="inlineStr">
        <is>
          <t>Y</t>
        </is>
      </c>
      <c r="L9" s="45">
        <f>IF(OR($A9="",$I9="",$J9=""),"",IF(TODAY()&lt;$I9,"Upcoming",IF(TODAY()&gt;$J9,"Expired","Active")))</f>
        <v/>
      </c>
      <c r="M9" s="45">
        <f>IF($L9="Active",$J9-TODAY(),"")</f>
        <v/>
      </c>
      <c r="N9" s="36" t="inlineStr">
        <is>
          <t>Non-Alc Chain 9/8/26</t>
        </is>
      </c>
      <c r="O9" s="47">
        <f>IF($L9="Active",$A9,"")</f>
        <v/>
      </c>
    </row>
    <row r="10">
      <c r="A10" s="36" t="inlineStr">
        <is>
          <t>Fever-Tree | Harmons</t>
        </is>
      </c>
      <c r="B10" s="45">
        <f>IF($A10="","",IFERROR(INDEX('Chain Program'!$B$6:$B$120,MATCH($A10,'Chain Program'!$A$6:$A$120,0)),"Unknown ID"))</f>
        <v/>
      </c>
      <c r="C10" s="45">
        <f>IF($A10="","",IFERROR(INDEX('Chain Program'!$D$6:$D$120,MATCH($A10,'Chain Program'!$A$6:$A$120,0)),"Unknown ID"))</f>
        <v/>
      </c>
      <c r="D10" s="36" t="inlineStr">
        <is>
          <t>8pk</t>
        </is>
      </c>
      <c r="E10" s="36" t="inlineStr">
        <is>
          <t>TPR + Display</t>
        </is>
      </c>
      <c r="F10" s="36" t="inlineStr">
        <is>
          <t>8pk $5.99</t>
        </is>
      </c>
      <c r="G10" s="37" t="n">
        <v>5.99</v>
      </c>
      <c r="H10" s="37" t="n"/>
      <c r="I10" s="46" t="n">
        <v>46327</v>
      </c>
      <c r="J10" s="46" t="n">
        <v>46356</v>
      </c>
      <c r="K10" s="36" t="inlineStr">
        <is>
          <t>Y</t>
        </is>
      </c>
      <c r="L10" s="45">
        <f>IF(OR($A10="",$I10="",$J10=""),"",IF(TODAY()&lt;$I10,"Upcoming",IF(TODAY()&gt;$J10,"Expired","Active")))</f>
        <v/>
      </c>
      <c r="M10" s="45">
        <f>IF($L10="Active",$J10-TODAY(),"")</f>
        <v/>
      </c>
      <c r="N10" s="36" t="inlineStr">
        <is>
          <t>Non-Alc Chain 9/8/26</t>
        </is>
      </c>
      <c r="O10" s="47">
        <f>IF($L10="Active",$A10,"")</f>
        <v/>
      </c>
    </row>
    <row r="11">
      <c r="A11" s="36" t="inlineStr">
        <is>
          <t>Fever-Tree | Harmons</t>
        </is>
      </c>
      <c r="B11" s="45">
        <f>IF($A11="","",IFERROR(INDEX('Chain Program'!$B$6:$B$120,MATCH($A11,'Chain Program'!$A$6:$A$120,0)),"Unknown ID"))</f>
        <v/>
      </c>
      <c r="C11" s="45">
        <f>IF($A11="","",IFERROR(INDEX('Chain Program'!$D$6:$D$120,MATCH($A11,'Chain Program'!$A$6:$A$120,0)),"Unknown ID"))</f>
        <v/>
      </c>
      <c r="D11" s="36" t="inlineStr">
        <is>
          <t>500mL</t>
        </is>
      </c>
      <c r="E11" s="36" t="inlineStr">
        <is>
          <t>TPR + Display</t>
        </is>
      </c>
      <c r="F11" s="36" t="inlineStr">
        <is>
          <t>500mL 2 for $5</t>
        </is>
      </c>
      <c r="G11" s="37" t="n">
        <v>2.5</v>
      </c>
      <c r="H11" s="37" t="n"/>
      <c r="I11" s="46" t="n">
        <v>46327</v>
      </c>
      <c r="J11" s="46" t="n">
        <v>46356</v>
      </c>
      <c r="K11" s="36" t="inlineStr">
        <is>
          <t>Y</t>
        </is>
      </c>
      <c r="L11" s="45">
        <f>IF(OR($A11="",$I11="",$J11=""),"",IF(TODAY()&lt;$I11,"Upcoming",IF(TODAY()&gt;$J11,"Expired","Active")))</f>
        <v/>
      </c>
      <c r="M11" s="45">
        <f>IF($L11="Active",$J11-TODAY(),"")</f>
        <v/>
      </c>
      <c r="N11" s="36" t="inlineStr">
        <is>
          <t>Non-Alc Chain 9/8/26</t>
        </is>
      </c>
      <c r="O11" s="47">
        <f>IF($L11="Active",$A11,"")</f>
        <v/>
      </c>
    </row>
    <row r="12">
      <c r="A12" s="36" t="inlineStr">
        <is>
          <t>Fever-Tree | Harmons</t>
        </is>
      </c>
      <c r="B12" s="45">
        <f>IF($A12="","",IFERROR(INDEX('Chain Program'!$B$6:$B$120,MATCH($A12,'Chain Program'!$A$6:$A$120,0)),"Unknown ID"))</f>
        <v/>
      </c>
      <c r="C12" s="45">
        <f>IF($A12="","",IFERROR(INDEX('Chain Program'!$D$6:$D$120,MATCH($A12,'Chain Program'!$A$6:$A$120,0)),"Unknown ID"))</f>
        <v/>
      </c>
      <c r="D12" s="36" t="inlineStr">
        <is>
          <t>4pk</t>
        </is>
      </c>
      <c r="E12" s="36" t="inlineStr">
        <is>
          <t>TPR + Display</t>
        </is>
      </c>
      <c r="F12" s="36" t="inlineStr">
        <is>
          <t>4pk $4.99</t>
        </is>
      </c>
      <c r="G12" s="37" t="n">
        <v>4.99</v>
      </c>
      <c r="H12" s="37" t="n"/>
      <c r="I12" s="46" t="n">
        <v>46357</v>
      </c>
      <c r="J12" s="46" t="n">
        <v>46387</v>
      </c>
      <c r="K12" s="36" t="inlineStr">
        <is>
          <t>Y</t>
        </is>
      </c>
      <c r="L12" s="45">
        <f>IF(OR($A12="",$I12="",$J12=""),"",IF(TODAY()&lt;$I12,"Upcoming",IF(TODAY()&gt;$J12,"Expired","Active")))</f>
        <v/>
      </c>
      <c r="M12" s="45">
        <f>IF($L12="Active",$J12-TODAY(),"")</f>
        <v/>
      </c>
      <c r="N12" s="36" t="inlineStr">
        <is>
          <t>Non-Alc Chain 9/8/26</t>
        </is>
      </c>
      <c r="O12" s="47">
        <f>IF($L12="Active",$A12,"")</f>
        <v/>
      </c>
    </row>
    <row r="13">
      <c r="A13" s="36" t="inlineStr">
        <is>
          <t>Fever-Tree | Harmons</t>
        </is>
      </c>
      <c r="B13" s="45">
        <f>IF($A13="","",IFERROR(INDEX('Chain Program'!$B$6:$B$120,MATCH($A13,'Chain Program'!$A$6:$A$120,0)),"Unknown ID"))</f>
        <v/>
      </c>
      <c r="C13" s="45">
        <f>IF($A13="","",IFERROR(INDEX('Chain Program'!$D$6:$D$120,MATCH($A13,'Chain Program'!$A$6:$A$120,0)),"Unknown ID"))</f>
        <v/>
      </c>
      <c r="D13" s="36" t="inlineStr">
        <is>
          <t>8pk</t>
        </is>
      </c>
      <c r="E13" s="36" t="inlineStr">
        <is>
          <t>TPR + Display</t>
        </is>
      </c>
      <c r="F13" s="36" t="inlineStr">
        <is>
          <t>8pk $5.99</t>
        </is>
      </c>
      <c r="G13" s="37" t="n">
        <v>5.99</v>
      </c>
      <c r="H13" s="37" t="n"/>
      <c r="I13" s="46" t="n">
        <v>46357</v>
      </c>
      <c r="J13" s="46" t="n">
        <v>46387</v>
      </c>
      <c r="K13" s="36" t="inlineStr">
        <is>
          <t>Y</t>
        </is>
      </c>
      <c r="L13" s="45">
        <f>IF(OR($A13="",$I13="",$J13=""),"",IF(TODAY()&lt;$I13,"Upcoming",IF(TODAY()&gt;$J13,"Expired","Active")))</f>
        <v/>
      </c>
      <c r="M13" s="45">
        <f>IF($L13="Active",$J13-TODAY(),"")</f>
        <v/>
      </c>
      <c r="N13" s="36" t="inlineStr">
        <is>
          <t>Non-Alc Chain 9/8/26</t>
        </is>
      </c>
      <c r="O13" s="47">
        <f>IF($L13="Active",$A13,"")</f>
        <v/>
      </c>
    </row>
    <row r="14">
      <c r="A14" s="36" t="inlineStr">
        <is>
          <t>Fever-Tree | Harmons</t>
        </is>
      </c>
      <c r="B14" s="45">
        <f>IF($A14="","",IFERROR(INDEX('Chain Program'!$B$6:$B$120,MATCH($A14,'Chain Program'!$A$6:$A$120,0)),"Unknown ID"))</f>
        <v/>
      </c>
      <c r="C14" s="45">
        <f>IF($A14="","",IFERROR(INDEX('Chain Program'!$D$6:$D$120,MATCH($A14,'Chain Program'!$A$6:$A$120,0)),"Unknown ID"))</f>
        <v/>
      </c>
      <c r="D14" s="36" t="inlineStr">
        <is>
          <t>500mL</t>
        </is>
      </c>
      <c r="E14" s="36" t="inlineStr">
        <is>
          <t>TPR + Display</t>
        </is>
      </c>
      <c r="F14" s="36" t="inlineStr">
        <is>
          <t>500mL 2 for $5</t>
        </is>
      </c>
      <c r="G14" s="37" t="n">
        <v>2.5</v>
      </c>
      <c r="H14" s="37" t="n"/>
      <c r="I14" s="46" t="n">
        <v>46357</v>
      </c>
      <c r="J14" s="46" t="n">
        <v>46387</v>
      </c>
      <c r="K14" s="36" t="inlineStr">
        <is>
          <t>Y</t>
        </is>
      </c>
      <c r="L14" s="45">
        <f>IF(OR($A14="",$I14="",$J14=""),"",IF(TODAY()&lt;$I14,"Upcoming",IF(TODAY()&gt;$J14,"Expired","Active")))</f>
        <v/>
      </c>
      <c r="M14" s="45">
        <f>IF($L14="Active",$J14-TODAY(),"")</f>
        <v/>
      </c>
      <c r="N14" s="36" t="inlineStr">
        <is>
          <t>Non-Alc Chain 9/8/26</t>
        </is>
      </c>
      <c r="O14" s="47">
        <f>IF($L14="Active",$A14,"")</f>
        <v/>
      </c>
    </row>
    <row r="15">
      <c r="A15" s="36" t="inlineStr">
        <is>
          <t>Henry's | WinCo Foods</t>
        </is>
      </c>
      <c r="B15" s="45">
        <f>IF($A15="","",IFERROR(INDEX('Chain Program'!$B$6:$B$120,MATCH($A15,'Chain Program'!$A$6:$A$120,0)),"Unknown ID"))</f>
        <v/>
      </c>
      <c r="C15" s="45">
        <f>IF($A15="","",IFERROR(INDEX('Chain Program'!$D$6:$D$120,MATCH($A15,'Chain Program'!$A$6:$A$120,0)),"Unknown ID"))</f>
        <v/>
      </c>
      <c r="D15" s="36" t="inlineStr">
        <is>
          <t>All</t>
        </is>
      </c>
      <c r="E15" s="36" t="inlineStr">
        <is>
          <t>Frontline TPR</t>
        </is>
      </c>
      <c r="F15" s="36" t="inlineStr">
        <is>
          <t>Frontline TPR ($23 frontline)</t>
        </is>
      </c>
      <c r="G15" s="37" t="n"/>
      <c r="H15" s="37" t="n">
        <v>23</v>
      </c>
      <c r="I15" s="46" t="n">
        <v>46174</v>
      </c>
      <c r="J15" s="46" t="n">
        <v>46182</v>
      </c>
      <c r="K15" s="36" t="inlineStr">
        <is>
          <t>N</t>
        </is>
      </c>
      <c r="L15" s="45">
        <f>IF(OR($A15="",$I15="",$J15=""),"",IF(TODAY()&lt;$I15,"Upcoming",IF(TODAY()&gt;$J15,"Expired","Active")))</f>
        <v/>
      </c>
      <c r="M15" s="45">
        <f>IF($L15="Active",$J15-TODAY(),"")</f>
        <v/>
      </c>
      <c r="N15" s="36" t="inlineStr">
        <is>
          <t>Non-Alc Chain 9/8/26</t>
        </is>
      </c>
      <c r="O15" s="47">
        <f>IF($L15="Active",$A15,"")</f>
        <v/>
      </c>
    </row>
    <row r="16">
      <c r="A16" s="36" t="inlineStr">
        <is>
          <t>Henry's | WinCo Foods</t>
        </is>
      </c>
      <c r="B16" s="45">
        <f>IF($A16="","",IFERROR(INDEX('Chain Program'!$B$6:$B$120,MATCH($A16,'Chain Program'!$A$6:$A$120,0)),"Unknown ID"))</f>
        <v/>
      </c>
      <c r="C16" s="45">
        <f>IF($A16="","",IFERROR(INDEX('Chain Program'!$D$6:$D$120,MATCH($A16,'Chain Program'!$A$6:$A$120,0)),"Unknown ID"))</f>
        <v/>
      </c>
      <c r="D16" s="36" t="inlineStr">
        <is>
          <t>All</t>
        </is>
      </c>
      <c r="E16" s="36" t="inlineStr">
        <is>
          <t>Frontline TPR</t>
        </is>
      </c>
      <c r="F16" s="36" t="inlineStr">
        <is>
          <t>Frontline TPR ($23 frontline)</t>
        </is>
      </c>
      <c r="G16" s="37" t="n"/>
      <c r="H16" s="37" t="n">
        <v>23</v>
      </c>
      <c r="I16" s="46" t="n">
        <v>46183</v>
      </c>
      <c r="J16" s="46" t="n">
        <v>46196</v>
      </c>
      <c r="K16" s="36" t="inlineStr">
        <is>
          <t>N</t>
        </is>
      </c>
      <c r="L16" s="45">
        <f>IF(OR($A16="",$I16="",$J16=""),"",IF(TODAY()&lt;$I16,"Upcoming",IF(TODAY()&gt;$J16,"Expired","Active")))</f>
        <v/>
      </c>
      <c r="M16" s="45">
        <f>IF($L16="Active",$J16-TODAY(),"")</f>
        <v/>
      </c>
      <c r="N16" s="36" t="inlineStr">
        <is>
          <t>Non-Alc Chain 9/8/26</t>
        </is>
      </c>
      <c r="O16" s="47">
        <f>IF($L16="Active",$A16,"")</f>
        <v/>
      </c>
    </row>
    <row r="17">
      <c r="A17" s="36" t="inlineStr">
        <is>
          <t>Henry's | WinCo Foods</t>
        </is>
      </c>
      <c r="B17" s="45">
        <f>IF($A17="","",IFERROR(INDEX('Chain Program'!$B$6:$B$120,MATCH($A17,'Chain Program'!$A$6:$A$120,0)),"Unknown ID"))</f>
        <v/>
      </c>
      <c r="C17" s="45">
        <f>IF($A17="","",IFERROR(INDEX('Chain Program'!$D$6:$D$120,MATCH($A17,'Chain Program'!$A$6:$A$120,0)),"Unknown ID"))</f>
        <v/>
      </c>
      <c r="D17" s="36" t="inlineStr">
        <is>
          <t>All</t>
        </is>
      </c>
      <c r="E17" s="36" t="inlineStr">
        <is>
          <t>TPR + Display</t>
        </is>
      </c>
      <c r="F17" s="36" t="inlineStr">
        <is>
          <t>Tier 2 $19.55 TPR + display</t>
        </is>
      </c>
      <c r="G17" s="37" t="n"/>
      <c r="H17" s="37" t="n">
        <v>19.55</v>
      </c>
      <c r="I17" s="46" t="n">
        <v>46197</v>
      </c>
      <c r="J17" s="46" t="n">
        <v>46210</v>
      </c>
      <c r="K17" s="36" t="inlineStr">
        <is>
          <t>Y</t>
        </is>
      </c>
      <c r="L17" s="45">
        <f>IF(OR($A17="",$I17="",$J17=""),"",IF(TODAY()&lt;$I17,"Upcoming",IF(TODAY()&gt;$J17,"Expired","Active")))</f>
        <v/>
      </c>
      <c r="M17" s="45">
        <f>IF($L17="Active",$J17-TODAY(),"")</f>
        <v/>
      </c>
      <c r="N17" s="36" t="inlineStr">
        <is>
          <t>Non-Alc Chain 9/8/26</t>
        </is>
      </c>
      <c r="O17" s="47">
        <f>IF($L17="Active",$A17,"")</f>
        <v/>
      </c>
    </row>
    <row r="18">
      <c r="A18" s="36" t="inlineStr">
        <is>
          <t>Henry's | WinCo Foods</t>
        </is>
      </c>
      <c r="B18" s="45">
        <f>IF($A18="","",IFERROR(INDEX('Chain Program'!$B$6:$B$120,MATCH($A18,'Chain Program'!$A$6:$A$120,0)),"Unknown ID"))</f>
        <v/>
      </c>
      <c r="C18" s="45">
        <f>IF($A18="","",IFERROR(INDEX('Chain Program'!$D$6:$D$120,MATCH($A18,'Chain Program'!$A$6:$A$120,0)),"Unknown ID"))</f>
        <v/>
      </c>
      <c r="D18" s="36" t="inlineStr">
        <is>
          <t>All</t>
        </is>
      </c>
      <c r="E18" s="36" t="inlineStr">
        <is>
          <t>TPR + Display</t>
        </is>
      </c>
      <c r="F18" s="36" t="inlineStr">
        <is>
          <t>Tier 2 $19.55 TPR + display</t>
        </is>
      </c>
      <c r="G18" s="37" t="n"/>
      <c r="H18" s="37" t="n">
        <v>19.55</v>
      </c>
      <c r="I18" s="46" t="n">
        <v>46211</v>
      </c>
      <c r="J18" s="46" t="n">
        <v>46224</v>
      </c>
      <c r="K18" s="36" t="inlineStr">
        <is>
          <t>Y</t>
        </is>
      </c>
      <c r="L18" s="45">
        <f>IF(OR($A18="",$I18="",$J18=""),"",IF(TODAY()&lt;$I18,"Upcoming",IF(TODAY()&gt;$J18,"Expired","Active")))</f>
        <v/>
      </c>
      <c r="M18" s="45">
        <f>IF($L18="Active",$J18-TODAY(),"")</f>
        <v/>
      </c>
      <c r="N18" s="36" t="inlineStr">
        <is>
          <t>Non-Alc Chain 9/8/26</t>
        </is>
      </c>
      <c r="O18" s="47">
        <f>IF($L18="Active",$A18,"")</f>
        <v/>
      </c>
    </row>
    <row r="19">
      <c r="A19" s="36" t="inlineStr">
        <is>
          <t>Henry's | WinCo Foods</t>
        </is>
      </c>
      <c r="B19" s="45">
        <f>IF($A19="","",IFERROR(INDEX('Chain Program'!$B$6:$B$120,MATCH($A19,'Chain Program'!$A$6:$A$120,0)),"Unknown ID"))</f>
        <v/>
      </c>
      <c r="C19" s="45">
        <f>IF($A19="","",IFERROR(INDEX('Chain Program'!$D$6:$D$120,MATCH($A19,'Chain Program'!$A$6:$A$120,0)),"Unknown ID"))</f>
        <v/>
      </c>
      <c r="D19" s="36" t="inlineStr">
        <is>
          <t>All</t>
        </is>
      </c>
      <c r="E19" s="36" t="inlineStr">
        <is>
          <t>Frontline TPR</t>
        </is>
      </c>
      <c r="F19" s="36" t="inlineStr">
        <is>
          <t>Frontline TPR ($23 frontline)</t>
        </is>
      </c>
      <c r="G19" s="37" t="n"/>
      <c r="H19" s="37" t="n">
        <v>23</v>
      </c>
      <c r="I19" s="46" t="n">
        <v>46225</v>
      </c>
      <c r="J19" s="46" t="n">
        <v>46238</v>
      </c>
      <c r="K19" s="36" t="inlineStr">
        <is>
          <t>N</t>
        </is>
      </c>
      <c r="L19" s="45">
        <f>IF(OR($A19="",$I19="",$J19=""),"",IF(TODAY()&lt;$I19,"Upcoming",IF(TODAY()&gt;$J19,"Expired","Active")))</f>
        <v/>
      </c>
      <c r="M19" s="45">
        <f>IF($L19="Active",$J19-TODAY(),"")</f>
        <v/>
      </c>
      <c r="N19" s="36" t="inlineStr">
        <is>
          <t>Non-Alc Chain 9/8/26</t>
        </is>
      </c>
      <c r="O19" s="47">
        <f>IF($L19="Active",$A19,"")</f>
        <v/>
      </c>
    </row>
    <row r="20">
      <c r="A20" s="36" t="inlineStr">
        <is>
          <t>Henry's | WinCo Foods</t>
        </is>
      </c>
      <c r="B20" s="45">
        <f>IF($A20="","",IFERROR(INDEX('Chain Program'!$B$6:$B$120,MATCH($A20,'Chain Program'!$A$6:$A$120,0)),"Unknown ID"))</f>
        <v/>
      </c>
      <c r="C20" s="45">
        <f>IF($A20="","",IFERROR(INDEX('Chain Program'!$D$6:$D$120,MATCH($A20,'Chain Program'!$A$6:$A$120,0)),"Unknown ID"))</f>
        <v/>
      </c>
      <c r="D20" s="36" t="inlineStr">
        <is>
          <t>All</t>
        </is>
      </c>
      <c r="E20" s="36" t="inlineStr">
        <is>
          <t>TPR + Display</t>
        </is>
      </c>
      <c r="F20" s="36" t="inlineStr">
        <is>
          <t>Tier 2 $19.55 TPR + display</t>
        </is>
      </c>
      <c r="G20" s="37" t="n"/>
      <c r="H20" s="37" t="n">
        <v>19.55</v>
      </c>
      <c r="I20" s="46" t="n">
        <v>46239</v>
      </c>
      <c r="J20" s="46" t="n">
        <v>46252</v>
      </c>
      <c r="K20" s="36" t="inlineStr">
        <is>
          <t>Y</t>
        </is>
      </c>
      <c r="L20" s="45">
        <f>IF(OR($A20="",$I20="",$J20=""),"",IF(TODAY()&lt;$I20,"Upcoming",IF(TODAY()&gt;$J20,"Expired","Active")))</f>
        <v/>
      </c>
      <c r="M20" s="45">
        <f>IF($L20="Active",$J20-TODAY(),"")</f>
        <v/>
      </c>
      <c r="N20" s="36" t="inlineStr">
        <is>
          <t>Non-Alc Chain 9/8/26</t>
        </is>
      </c>
      <c r="O20" s="47">
        <f>IF($L20="Active",$A20,"")</f>
        <v/>
      </c>
    </row>
    <row r="21">
      <c r="A21" s="36" t="inlineStr">
        <is>
          <t>Henry's | WinCo Foods</t>
        </is>
      </c>
      <c r="B21" s="45">
        <f>IF($A21="","",IFERROR(INDEX('Chain Program'!$B$6:$B$120,MATCH($A21,'Chain Program'!$A$6:$A$120,0)),"Unknown ID"))</f>
        <v/>
      </c>
      <c r="C21" s="45">
        <f>IF($A21="","",IFERROR(INDEX('Chain Program'!$D$6:$D$120,MATCH($A21,'Chain Program'!$A$6:$A$120,0)),"Unknown ID"))</f>
        <v/>
      </c>
      <c r="D21" s="36" t="inlineStr">
        <is>
          <t>All</t>
        </is>
      </c>
      <c r="E21" s="36" t="inlineStr">
        <is>
          <t>Frontline TPR</t>
        </is>
      </c>
      <c r="F21" s="36" t="inlineStr">
        <is>
          <t>Frontline TPR ($23 frontline)</t>
        </is>
      </c>
      <c r="G21" s="37" t="n"/>
      <c r="H21" s="37" t="n">
        <v>23</v>
      </c>
      <c r="I21" s="46" t="n">
        <v>46253</v>
      </c>
      <c r="J21" s="46" t="n">
        <v>46266</v>
      </c>
      <c r="K21" s="36" t="inlineStr">
        <is>
          <t>N</t>
        </is>
      </c>
      <c r="L21" s="45">
        <f>IF(OR($A21="",$I21="",$J21=""),"",IF(TODAY()&lt;$I21,"Upcoming",IF(TODAY()&gt;$J21,"Expired","Active")))</f>
        <v/>
      </c>
      <c r="M21" s="45">
        <f>IF($L21="Active",$J21-TODAY(),"")</f>
        <v/>
      </c>
      <c r="N21" s="36" t="inlineStr">
        <is>
          <t>Non-Alc Chain 9/8/26</t>
        </is>
      </c>
      <c r="O21" s="47">
        <f>IF($L21="Active",$A21,"")</f>
        <v/>
      </c>
    </row>
    <row r="22">
      <c r="A22" s="36" t="inlineStr">
        <is>
          <t>Henry's | WinCo Foods</t>
        </is>
      </c>
      <c r="B22" s="45">
        <f>IF($A22="","",IFERROR(INDEX('Chain Program'!$B$6:$B$120,MATCH($A22,'Chain Program'!$A$6:$A$120,0)),"Unknown ID"))</f>
        <v/>
      </c>
      <c r="C22" s="45">
        <f>IF($A22="","",IFERROR(INDEX('Chain Program'!$D$6:$D$120,MATCH($A22,'Chain Program'!$A$6:$A$120,0)),"Unknown ID"))</f>
        <v/>
      </c>
      <c r="D22" s="36" t="inlineStr">
        <is>
          <t>All</t>
        </is>
      </c>
      <c r="E22" s="36" t="inlineStr">
        <is>
          <t>TPR + Display</t>
        </is>
      </c>
      <c r="F22" s="36" t="inlineStr">
        <is>
          <t>Tier 2 $19.55 TPR + display</t>
        </is>
      </c>
      <c r="G22" s="37" t="n"/>
      <c r="H22" s="37" t="n">
        <v>19.55</v>
      </c>
      <c r="I22" s="46" t="n">
        <v>46267</v>
      </c>
      <c r="J22" s="46" t="n">
        <v>46280</v>
      </c>
      <c r="K22" s="36" t="inlineStr">
        <is>
          <t>Y</t>
        </is>
      </c>
      <c r="L22" s="45">
        <f>IF(OR($A22="",$I22="",$J22=""),"",IF(TODAY()&lt;$I22,"Upcoming",IF(TODAY()&gt;$J22,"Expired","Active")))</f>
        <v/>
      </c>
      <c r="M22" s="45">
        <f>IF($L22="Active",$J22-TODAY(),"")</f>
        <v/>
      </c>
      <c r="N22" s="36" t="inlineStr">
        <is>
          <t>Non-Alc Chain 9/8/26</t>
        </is>
      </c>
      <c r="O22" s="47">
        <f>IF($L22="Active",$A22,"")</f>
        <v/>
      </c>
    </row>
    <row r="23">
      <c r="A23" s="36" t="inlineStr">
        <is>
          <t>Henry's | WinCo Foods</t>
        </is>
      </c>
      <c r="B23" s="45">
        <f>IF($A23="","",IFERROR(INDEX('Chain Program'!$B$6:$B$120,MATCH($A23,'Chain Program'!$A$6:$A$120,0)),"Unknown ID"))</f>
        <v/>
      </c>
      <c r="C23" s="45">
        <f>IF($A23="","",IFERROR(INDEX('Chain Program'!$D$6:$D$120,MATCH($A23,'Chain Program'!$A$6:$A$120,0)),"Unknown ID"))</f>
        <v/>
      </c>
      <c r="D23" s="36" t="inlineStr">
        <is>
          <t>All</t>
        </is>
      </c>
      <c r="E23" s="36" t="inlineStr">
        <is>
          <t>Frontline TPR</t>
        </is>
      </c>
      <c r="F23" s="36" t="inlineStr">
        <is>
          <t>Frontline TPR ($23 frontline)</t>
        </is>
      </c>
      <c r="G23" s="37" t="n"/>
      <c r="H23" s="37" t="n">
        <v>23</v>
      </c>
      <c r="I23" s="46" t="n">
        <v>46281</v>
      </c>
      <c r="J23" s="46" t="n">
        <v>46294</v>
      </c>
      <c r="K23" s="36" t="inlineStr">
        <is>
          <t>N</t>
        </is>
      </c>
      <c r="L23" s="45">
        <f>IF(OR($A23="",$I23="",$J23=""),"",IF(TODAY()&lt;$I23,"Upcoming",IF(TODAY()&gt;$J23,"Expired","Active")))</f>
        <v/>
      </c>
      <c r="M23" s="45">
        <f>IF($L23="Active",$J23-TODAY(),"")</f>
        <v/>
      </c>
      <c r="N23" s="36" t="inlineStr">
        <is>
          <t>Non-Alc Chain 9/8/26</t>
        </is>
      </c>
      <c r="O23" s="47">
        <f>IF($L23="Active",$A23,"")</f>
        <v/>
      </c>
    </row>
    <row r="24">
      <c r="A24" s="36" t="inlineStr">
        <is>
          <t>Henry's | WinCo Foods</t>
        </is>
      </c>
      <c r="B24" s="45">
        <f>IF($A24="","",IFERROR(INDEX('Chain Program'!$B$6:$B$120,MATCH($A24,'Chain Program'!$A$6:$A$120,0)),"Unknown ID"))</f>
        <v/>
      </c>
      <c r="C24" s="45">
        <f>IF($A24="","",IFERROR(INDEX('Chain Program'!$D$6:$D$120,MATCH($A24,'Chain Program'!$A$6:$A$120,0)),"Unknown ID"))</f>
        <v/>
      </c>
      <c r="D24" s="36" t="inlineStr">
        <is>
          <t>All</t>
        </is>
      </c>
      <c r="E24" s="36" t="inlineStr">
        <is>
          <t>Frontline TPR</t>
        </is>
      </c>
      <c r="F24" s="36" t="inlineStr">
        <is>
          <t>Frontline TPR ($23 frontline)</t>
        </is>
      </c>
      <c r="G24" s="37" t="n"/>
      <c r="H24" s="37" t="n">
        <v>23</v>
      </c>
      <c r="I24" s="46" t="n">
        <v>46295</v>
      </c>
      <c r="J24" s="46" t="n">
        <v>46308</v>
      </c>
      <c r="K24" s="36" t="inlineStr">
        <is>
          <t>N</t>
        </is>
      </c>
      <c r="L24" s="45">
        <f>IF(OR($A24="",$I24="",$J24=""),"",IF(TODAY()&lt;$I24,"Upcoming",IF(TODAY()&gt;$J24,"Expired","Active")))</f>
        <v/>
      </c>
      <c r="M24" s="45">
        <f>IF($L24="Active",$J24-TODAY(),"")</f>
        <v/>
      </c>
      <c r="N24" s="36" t="inlineStr">
        <is>
          <t>Non-Alc Chain 9/8/26</t>
        </is>
      </c>
      <c r="O24" s="47">
        <f>IF($L24="Active",$A24,"")</f>
        <v/>
      </c>
    </row>
    <row r="25">
      <c r="A25" s="36" t="inlineStr">
        <is>
          <t>Henry's | WinCo Foods</t>
        </is>
      </c>
      <c r="B25" s="45">
        <f>IF($A25="","",IFERROR(INDEX('Chain Program'!$B$6:$B$120,MATCH($A25,'Chain Program'!$A$6:$A$120,0)),"Unknown ID"))</f>
        <v/>
      </c>
      <c r="C25" s="45">
        <f>IF($A25="","",IFERROR(INDEX('Chain Program'!$D$6:$D$120,MATCH($A25,'Chain Program'!$A$6:$A$120,0)),"Unknown ID"))</f>
        <v/>
      </c>
      <c r="D25" s="36" t="inlineStr">
        <is>
          <t>All</t>
        </is>
      </c>
      <c r="E25" s="36" t="inlineStr">
        <is>
          <t>TPR + Display</t>
        </is>
      </c>
      <c r="F25" s="36" t="inlineStr">
        <is>
          <t>Tier 2 $19.55 TPR + display</t>
        </is>
      </c>
      <c r="G25" s="37" t="n"/>
      <c r="H25" s="37" t="n">
        <v>19.55</v>
      </c>
      <c r="I25" s="46" t="n">
        <v>46309</v>
      </c>
      <c r="J25" s="46" t="n">
        <v>46322</v>
      </c>
      <c r="K25" s="36" t="inlineStr">
        <is>
          <t>Y</t>
        </is>
      </c>
      <c r="L25" s="45">
        <f>IF(OR($A25="",$I25="",$J25=""),"",IF(TODAY()&lt;$I25,"Upcoming",IF(TODAY()&gt;$J25,"Expired","Active")))</f>
        <v/>
      </c>
      <c r="M25" s="45">
        <f>IF($L25="Active",$J25-TODAY(),"")</f>
        <v/>
      </c>
      <c r="N25" s="36" t="inlineStr">
        <is>
          <t>Non-Alc Chain 9/8/26</t>
        </is>
      </c>
      <c r="O25" s="47">
        <f>IF($L25="Active",$A25,"")</f>
        <v/>
      </c>
    </row>
    <row r="26">
      <c r="A26" s="36" t="inlineStr">
        <is>
          <t>Henry's | WinCo Foods</t>
        </is>
      </c>
      <c r="B26" s="45">
        <f>IF($A26="","",IFERROR(INDEX('Chain Program'!$B$6:$B$120,MATCH($A26,'Chain Program'!$A$6:$A$120,0)),"Unknown ID"))</f>
        <v/>
      </c>
      <c r="C26" s="45">
        <f>IF($A26="","",IFERROR(INDEX('Chain Program'!$D$6:$D$120,MATCH($A26,'Chain Program'!$A$6:$A$120,0)),"Unknown ID"))</f>
        <v/>
      </c>
      <c r="D26" s="36" t="inlineStr">
        <is>
          <t>All</t>
        </is>
      </c>
      <c r="E26" s="36" t="inlineStr">
        <is>
          <t>TPR + Display</t>
        </is>
      </c>
      <c r="F26" s="36" t="inlineStr">
        <is>
          <t>Tier 2 $19.55 TPR + display</t>
        </is>
      </c>
      <c r="G26" s="37" t="n"/>
      <c r="H26" s="37" t="n">
        <v>19.55</v>
      </c>
      <c r="I26" s="46" t="n">
        <v>46323</v>
      </c>
      <c r="J26" s="46" t="n">
        <v>46336</v>
      </c>
      <c r="K26" s="36" t="inlineStr">
        <is>
          <t>Y</t>
        </is>
      </c>
      <c r="L26" s="45">
        <f>IF(OR($A26="",$I26="",$J26=""),"",IF(TODAY()&lt;$I26,"Upcoming",IF(TODAY()&gt;$J26,"Expired","Active")))</f>
        <v/>
      </c>
      <c r="M26" s="45">
        <f>IF($L26="Active",$J26-TODAY(),"")</f>
        <v/>
      </c>
      <c r="N26" s="36" t="inlineStr">
        <is>
          <t>Non-Alc Chain 9/8/26</t>
        </is>
      </c>
      <c r="O26" s="47">
        <f>IF($L26="Active",$A26,"")</f>
        <v/>
      </c>
    </row>
    <row r="27">
      <c r="A27" s="36" t="inlineStr">
        <is>
          <t>Henry's | WinCo Foods</t>
        </is>
      </c>
      <c r="B27" s="45">
        <f>IF($A27="","",IFERROR(INDEX('Chain Program'!$B$6:$B$120,MATCH($A27,'Chain Program'!$A$6:$A$120,0)),"Unknown ID"))</f>
        <v/>
      </c>
      <c r="C27" s="45">
        <f>IF($A27="","",IFERROR(INDEX('Chain Program'!$D$6:$D$120,MATCH($A27,'Chain Program'!$A$6:$A$120,0)),"Unknown ID"))</f>
        <v/>
      </c>
      <c r="D27" s="36" t="inlineStr">
        <is>
          <t>All</t>
        </is>
      </c>
      <c r="E27" s="36" t="inlineStr">
        <is>
          <t>TPR + Display</t>
        </is>
      </c>
      <c r="F27" s="36" t="inlineStr">
        <is>
          <t>Tier 3 $18.40 TPR + display</t>
        </is>
      </c>
      <c r="G27" s="37" t="n"/>
      <c r="H27" s="37" t="n">
        <v>18.4</v>
      </c>
      <c r="I27" s="46" t="n">
        <v>46337</v>
      </c>
      <c r="J27" s="46" t="n">
        <v>46352</v>
      </c>
      <c r="K27" s="36" t="inlineStr">
        <is>
          <t>Y</t>
        </is>
      </c>
      <c r="L27" s="45">
        <f>IF(OR($A27="",$I27="",$J27=""),"",IF(TODAY()&lt;$I27,"Upcoming",IF(TODAY()&gt;$J27,"Expired","Active")))</f>
        <v/>
      </c>
      <c r="M27" s="45">
        <f>IF($L27="Active",$J27-TODAY(),"")</f>
        <v/>
      </c>
      <c r="N27" s="36" t="inlineStr">
        <is>
          <t>Non-Alc Chain 9/8/26</t>
        </is>
      </c>
      <c r="O27" s="47">
        <f>IF($L27="Active",$A27,"")</f>
        <v/>
      </c>
    </row>
    <row r="28">
      <c r="A28" s="36" t="inlineStr">
        <is>
          <t>Henry's | WinCo Foods</t>
        </is>
      </c>
      <c r="B28" s="45">
        <f>IF($A28="","",IFERROR(INDEX('Chain Program'!$B$6:$B$120,MATCH($A28,'Chain Program'!$A$6:$A$120,0)),"Unknown ID"))</f>
        <v/>
      </c>
      <c r="C28" s="45">
        <f>IF($A28="","",IFERROR(INDEX('Chain Program'!$D$6:$D$120,MATCH($A28,'Chain Program'!$A$6:$A$120,0)),"Unknown ID"))</f>
        <v/>
      </c>
      <c r="D28" s="36" t="inlineStr">
        <is>
          <t>All</t>
        </is>
      </c>
      <c r="E28" s="36" t="inlineStr">
        <is>
          <t>Frontline TPR</t>
        </is>
      </c>
      <c r="F28" s="36" t="inlineStr">
        <is>
          <t>Frontline TPR ($23 frontline)</t>
        </is>
      </c>
      <c r="G28" s="37" t="n"/>
      <c r="H28" s="37" t="n">
        <v>23</v>
      </c>
      <c r="I28" s="46" t="n">
        <v>46353</v>
      </c>
      <c r="J28" s="46" t="n">
        <v>46364</v>
      </c>
      <c r="K28" s="36" t="inlineStr">
        <is>
          <t>N</t>
        </is>
      </c>
      <c r="L28" s="45">
        <f>IF(OR($A28="",$I28="",$J28=""),"",IF(TODAY()&lt;$I28,"Upcoming",IF(TODAY()&gt;$J28,"Expired","Active")))</f>
        <v/>
      </c>
      <c r="M28" s="45">
        <f>IF($L28="Active",$J28-TODAY(),"")</f>
        <v/>
      </c>
      <c r="N28" s="36" t="inlineStr">
        <is>
          <t>Non-Alc Chain 9/8/26</t>
        </is>
      </c>
      <c r="O28" s="47">
        <f>IF($L28="Active",$A28,"")</f>
        <v/>
      </c>
    </row>
    <row r="29">
      <c r="A29" s="36" t="inlineStr">
        <is>
          <t>Henry's | WinCo Foods</t>
        </is>
      </c>
      <c r="B29" s="45">
        <f>IF($A29="","",IFERROR(INDEX('Chain Program'!$B$6:$B$120,MATCH($A29,'Chain Program'!$A$6:$A$120,0)),"Unknown ID"))</f>
        <v/>
      </c>
      <c r="C29" s="45">
        <f>IF($A29="","",IFERROR(INDEX('Chain Program'!$D$6:$D$120,MATCH($A29,'Chain Program'!$A$6:$A$120,0)),"Unknown ID"))</f>
        <v/>
      </c>
      <c r="D29" s="36" t="inlineStr">
        <is>
          <t>All</t>
        </is>
      </c>
      <c r="E29" s="36" t="inlineStr">
        <is>
          <t>TPR + Display</t>
        </is>
      </c>
      <c r="F29" s="36" t="inlineStr">
        <is>
          <t>Tier 3 $18.40 TPR + display</t>
        </is>
      </c>
      <c r="G29" s="37" t="n"/>
      <c r="H29" s="37" t="n">
        <v>18.4</v>
      </c>
      <c r="I29" s="46" t="n">
        <v>46365</v>
      </c>
      <c r="J29" s="46" t="n">
        <v>46383</v>
      </c>
      <c r="K29" s="36" t="inlineStr">
        <is>
          <t>Y</t>
        </is>
      </c>
      <c r="L29" s="45">
        <f>IF(OR($A29="",$I29="",$J29=""),"",IF(TODAY()&lt;$I29,"Upcoming",IF(TODAY()&gt;$J29,"Expired","Active")))</f>
        <v/>
      </c>
      <c r="M29" s="45">
        <f>IF($L29="Active",$J29-TODAY(),"")</f>
        <v/>
      </c>
      <c r="N29" s="36" t="inlineStr">
        <is>
          <t>Non-Alc Chain 9/8/26</t>
        </is>
      </c>
      <c r="O29" s="47">
        <f>IF($L29="Active",$A29,"")</f>
        <v/>
      </c>
    </row>
    <row r="30">
      <c r="A30" s="36" t="inlineStr">
        <is>
          <t>Henry's | WinCo Foods</t>
        </is>
      </c>
      <c r="B30" s="45">
        <f>IF($A30="","",IFERROR(INDEX('Chain Program'!$B$6:$B$120,MATCH($A30,'Chain Program'!$A$6:$A$120,0)),"Unknown ID"))</f>
        <v/>
      </c>
      <c r="C30" s="45">
        <f>IF($A30="","",IFERROR(INDEX('Chain Program'!$D$6:$D$120,MATCH($A30,'Chain Program'!$A$6:$A$120,0)),"Unknown ID"))</f>
        <v/>
      </c>
      <c r="D30" s="36" t="inlineStr">
        <is>
          <t>All</t>
        </is>
      </c>
      <c r="E30" s="36" t="inlineStr">
        <is>
          <t>TPR + Display</t>
        </is>
      </c>
      <c r="F30" s="36" t="inlineStr">
        <is>
          <t>Tier 2 $19.55 TPR + display</t>
        </is>
      </c>
      <c r="G30" s="37" t="n"/>
      <c r="H30" s="37" t="n">
        <v>19.55</v>
      </c>
      <c r="I30" s="46" t="n">
        <v>46384</v>
      </c>
      <c r="J30" s="46" t="n">
        <v>46399</v>
      </c>
      <c r="K30" s="36" t="inlineStr">
        <is>
          <t>Y</t>
        </is>
      </c>
      <c r="L30" s="45">
        <f>IF(OR($A30="",$I30="",$J30=""),"",IF(TODAY()&lt;$I30,"Upcoming",IF(TODAY()&gt;$J30,"Expired","Active")))</f>
        <v/>
      </c>
      <c r="M30" s="45">
        <f>IF($L30="Active",$J30-TODAY(),"")</f>
        <v/>
      </c>
      <c r="N30" s="36" t="inlineStr">
        <is>
          <t>Non-Alc Chain 9/8/26</t>
        </is>
      </c>
      <c r="O30" s="47">
        <f>IF($L30="Active",$A30,"")</f>
        <v/>
      </c>
    </row>
    <row r="31">
      <c r="A31" s="36" t="inlineStr">
        <is>
          <t>Henry's | Yoke's Fresh Market</t>
        </is>
      </c>
      <c r="B31" s="45">
        <f>IF($A31="","",IFERROR(INDEX('Chain Program'!$B$6:$B$120,MATCH($A31,'Chain Program'!$A$6:$A$120,0)),"Unknown ID"))</f>
        <v/>
      </c>
      <c r="C31" s="45">
        <f>IF($A31="","",IFERROR(INDEX('Chain Program'!$D$6:$D$120,MATCH($A31,'Chain Program'!$A$6:$A$120,0)),"Unknown ID"))</f>
        <v/>
      </c>
      <c r="D31" s="36" t="inlineStr">
        <is>
          <t>All</t>
        </is>
      </c>
      <c r="E31" s="36" t="inlineStr">
        <is>
          <t>Case Cost</t>
        </is>
      </c>
      <c r="F31" s="36" t="inlineStr">
        <is>
          <t>$19.55 case cost; retail TBD</t>
        </is>
      </c>
      <c r="G31" s="37" t="n"/>
      <c r="H31" s="37" t="n">
        <v>19.55</v>
      </c>
      <c r="I31" s="46" t="n">
        <v>46174</v>
      </c>
      <c r="J31" s="46" t="n">
        <v>46273</v>
      </c>
      <c r="K31" s="36" t="inlineStr">
        <is>
          <t>N</t>
        </is>
      </c>
      <c r="L31" s="45">
        <f>IF(OR($A31="",$I31="",$J31=""),"",IF(TODAY()&lt;$I31,"Upcoming",IF(TODAY()&gt;$J31,"Expired","Active")))</f>
        <v/>
      </c>
      <c r="M31" s="45">
        <f>IF($L31="Active",$J31-TODAY(),"")</f>
        <v/>
      </c>
      <c r="N31" s="36" t="inlineStr">
        <is>
          <t>Non-Alc Chain 9/8/26</t>
        </is>
      </c>
      <c r="O31" s="47">
        <f>IF($L31="Active",$A31,"")</f>
        <v/>
      </c>
    </row>
    <row r="32">
      <c r="A32" s="36" t="inlineStr">
        <is>
          <t>Naked Life | WFM September Feature</t>
        </is>
      </c>
      <c r="B32" s="45">
        <f>IF($A32="","",IFERROR(INDEX('Chain Program'!$B$6:$B$120,MATCH($A32,'Chain Program'!$A$6:$A$120,0)),"Unknown ID"))</f>
        <v/>
      </c>
      <c r="C32" s="45">
        <f>IF($A32="","",IFERROR(INDEX('Chain Program'!$D$6:$D$120,MATCH($A32,'Chain Program'!$A$6:$A$120,0)),"Unknown ID"))</f>
        <v/>
      </c>
      <c r="D32" s="36" t="inlineStr">
        <is>
          <t>All</t>
        </is>
      </c>
      <c r="E32" s="36" t="inlineStr">
        <is>
          <t>Feature TPR</t>
        </is>
      </c>
      <c r="F32" s="36" t="inlineStr">
        <is>
          <t>Promo SRP $9.49 (cost $33.03)</t>
        </is>
      </c>
      <c r="G32" s="37" t="n">
        <v>9.49</v>
      </c>
      <c r="H32" s="37" t="n">
        <v>33.03</v>
      </c>
      <c r="I32" s="46" t="n">
        <v>46267</v>
      </c>
      <c r="J32" s="46" t="n">
        <v>46301</v>
      </c>
      <c r="K32" s="36" t="inlineStr">
        <is>
          <t>Y</t>
        </is>
      </c>
      <c r="L32" s="45">
        <f>IF(OR($A32="",$I32="",$J32=""),"",IF(TODAY()&lt;$I32,"Upcoming",IF(TODAY()&gt;$J32,"Expired","Active")))</f>
        <v/>
      </c>
      <c r="M32" s="45">
        <f>IF($L32="Active",$J32-TODAY(),"")</f>
        <v/>
      </c>
      <c r="N32" s="36" t="inlineStr">
        <is>
          <t>Non-Alc Chain 9/8/26</t>
        </is>
      </c>
      <c r="O32" s="47">
        <f>IF($L32="Active",$A32,"")</f>
        <v/>
      </c>
    </row>
    <row r="33">
      <c r="A33" s="36" t="inlineStr">
        <is>
          <t>ZOA | Mountain West North</t>
        </is>
      </c>
      <c r="B33" s="45">
        <f>IF($A33="","",IFERROR(INDEX('Chain Program'!$B$6:$B$120,MATCH($A33,'Chain Program'!$A$6:$A$120,0)),"Unknown ID"))</f>
        <v/>
      </c>
      <c r="C33" s="45">
        <f>IF($A33="","",IFERROR(INDEX('Chain Program'!$D$6:$D$120,MATCH($A33,'Chain Program'!$A$6:$A$120,0)),"Unknown ID"))</f>
        <v/>
      </c>
      <c r="D33" s="36" t="inlineStr">
        <is>
          <t>All</t>
        </is>
      </c>
      <c r="E33" s="36" t="inlineStr">
        <is>
          <t>TPR</t>
        </is>
      </c>
      <c r="F33" s="36" t="inlineStr">
        <is>
          <t>2 for $4</t>
        </is>
      </c>
      <c r="G33" s="37" t="n">
        <v>2</v>
      </c>
      <c r="H33" s="37" t="n"/>
      <c r="I33" s="46" t="n">
        <v>46235</v>
      </c>
      <c r="J33" s="46" t="n">
        <v>46387</v>
      </c>
      <c r="K33" s="36" t="inlineStr">
        <is>
          <t>Y</t>
        </is>
      </c>
      <c r="L33" s="45">
        <f>IF(OR($A33="",$I33="",$J33=""),"",IF(TODAY()&lt;$I33,"Upcoming",IF(TODAY()&gt;$J33,"Expired","Active")))</f>
        <v/>
      </c>
      <c r="M33" s="45">
        <f>IF($L33="Active",$J33-TODAY(),"")</f>
        <v/>
      </c>
      <c r="N33" s="36" t="inlineStr">
        <is>
          <t>Non-Alc Chain 9/8/26</t>
        </is>
      </c>
      <c r="O33" s="47">
        <f>IF($L33="Active",$A33,"")</f>
        <v/>
      </c>
    </row>
    <row r="34">
      <c r="A34" s="36" t="inlineStr">
        <is>
          <t>ZOA | Mountain West South</t>
        </is>
      </c>
      <c r="B34" s="45">
        <f>IF($A34="","",IFERROR(INDEX('Chain Program'!$B$6:$B$120,MATCH($A34,'Chain Program'!$A$6:$A$120,0)),"Unknown ID"))</f>
        <v/>
      </c>
      <c r="C34" s="45">
        <f>IF($A34="","",IFERROR(INDEX('Chain Program'!$D$6:$D$120,MATCH($A34,'Chain Program'!$A$6:$A$120,0)),"Unknown ID"))</f>
        <v/>
      </c>
      <c r="D34" s="36" t="inlineStr">
        <is>
          <t>All</t>
        </is>
      </c>
      <c r="E34" s="36" t="inlineStr">
        <is>
          <t>TPR</t>
        </is>
      </c>
      <c r="F34" s="36" t="inlineStr">
        <is>
          <t>2 for $4</t>
        </is>
      </c>
      <c r="G34" s="37" t="n">
        <v>2</v>
      </c>
      <c r="H34" s="37" t="n"/>
      <c r="I34" s="46" t="n">
        <v>46235</v>
      </c>
      <c r="J34" s="46" t="n">
        <v>46387</v>
      </c>
      <c r="K34" s="36" t="inlineStr">
        <is>
          <t>Y</t>
        </is>
      </c>
      <c r="L34" s="45">
        <f>IF(OR($A34="",$I34="",$J34=""),"",IF(TODAY()&lt;$I34,"Upcoming",IF(TODAY()&gt;$J34,"Expired","Active")))</f>
        <v/>
      </c>
      <c r="M34" s="45">
        <f>IF($L34="Active",$J34-TODAY(),"")</f>
        <v/>
      </c>
      <c r="N34" s="36" t="inlineStr">
        <is>
          <t>Non-Alc Chain 9/8/26</t>
        </is>
      </c>
      <c r="O34" s="47">
        <f>IF($L34="Active",$A34,"")</f>
        <v/>
      </c>
    </row>
    <row r="35">
      <c r="A35" s="36" t="inlineStr">
        <is>
          <t>ZOA | Smart &amp; Final</t>
        </is>
      </c>
      <c r="B35" s="45">
        <f>IF($A35="","",IFERROR(INDEX('Chain Program'!$B$6:$B$120,MATCH($A35,'Chain Program'!$A$6:$A$120,0)),"Unknown ID"))</f>
        <v/>
      </c>
      <c r="C35" s="45">
        <f>IF($A35="","",IFERROR(INDEX('Chain Program'!$D$6:$D$120,MATCH($A35,'Chain Program'!$A$6:$A$120,0)),"Unknown ID"))</f>
        <v/>
      </c>
      <c r="D35" s="36" t="inlineStr">
        <is>
          <t>12pk</t>
        </is>
      </c>
      <c r="E35" s="36" t="inlineStr">
        <is>
          <t>TPR</t>
        </is>
      </c>
      <c r="F35" s="36" t="inlineStr">
        <is>
          <t>12-pack $17.99</t>
        </is>
      </c>
      <c r="G35" s="37" t="n">
        <v>17.99</v>
      </c>
      <c r="H35" s="37" t="n"/>
      <c r="I35" s="46" t="n">
        <v>46260</v>
      </c>
      <c r="J35" s="46" t="n">
        <v>46287</v>
      </c>
      <c r="K35" s="36" t="inlineStr">
        <is>
          <t>Y</t>
        </is>
      </c>
      <c r="L35" s="45">
        <f>IF(OR($A35="",$I35="",$J35=""),"",IF(TODAY()&lt;$I35,"Upcoming",IF(TODAY()&gt;$J35,"Expired","Active")))</f>
        <v/>
      </c>
      <c r="M35" s="45">
        <f>IF($L35="Active",$J35-TODAY(),"")</f>
        <v/>
      </c>
      <c r="N35" s="36" t="inlineStr">
        <is>
          <t>Non-Alc Chain 9/8/26</t>
        </is>
      </c>
      <c r="O35" s="47">
        <f>IF($L35="Active",$A35,"")</f>
        <v/>
      </c>
    </row>
    <row r="36">
      <c r="A36" s="36" t="inlineStr">
        <is>
          <t>ZOA | Smart &amp; Final</t>
        </is>
      </c>
      <c r="B36" s="45">
        <f>IF($A36="","",IFERROR(INDEX('Chain Program'!$B$6:$B$120,MATCH($A36,'Chain Program'!$A$6:$A$120,0)),"Unknown ID"))</f>
        <v/>
      </c>
      <c r="C36" s="45">
        <f>IF($A36="","",IFERROR(INDEX('Chain Program'!$D$6:$D$120,MATCH($A36,'Chain Program'!$A$6:$A$120,0)),"Unknown ID"))</f>
        <v/>
      </c>
      <c r="D36" s="36" t="inlineStr">
        <is>
          <t>Singles (Frosted Grape/Tropical Punch)</t>
        </is>
      </c>
      <c r="E36" s="36" t="inlineStr">
        <is>
          <t>TPR</t>
        </is>
      </c>
      <c r="F36" s="36" t="inlineStr">
        <is>
          <t>Singles 2 for $3</t>
        </is>
      </c>
      <c r="G36" s="37" t="n">
        <v>1.5</v>
      </c>
      <c r="H36" s="37" t="n"/>
      <c r="I36" s="46" t="n">
        <v>46288</v>
      </c>
      <c r="J36" s="46" t="n">
        <v>46329</v>
      </c>
      <c r="K36" s="36" t="inlineStr">
        <is>
          <t>Y</t>
        </is>
      </c>
      <c r="L36" s="45">
        <f>IF(OR($A36="",$I36="",$J36=""),"",IF(TODAY()&lt;$I36,"Upcoming",IF(TODAY()&gt;$J36,"Expired","Active")))</f>
        <v/>
      </c>
      <c r="M36" s="45">
        <f>IF($L36="Active",$J36-TODAY(),"")</f>
        <v/>
      </c>
      <c r="N36" s="36" t="inlineStr">
        <is>
          <t>Non-Alc Chain 9/8/26</t>
        </is>
      </c>
      <c r="O36" s="47">
        <f>IF($L36="Active",$A36,"")</f>
        <v/>
      </c>
    </row>
    <row r="37">
      <c r="A37" s="36" t="inlineStr">
        <is>
          <t>ZOA | Southwest Division (SWD)</t>
        </is>
      </c>
      <c r="B37" s="45">
        <f>IF($A37="","",IFERROR(INDEX('Chain Program'!$B$6:$B$120,MATCH($A37,'Chain Program'!$A$6:$A$120,0)),"Unknown ID"))</f>
        <v/>
      </c>
      <c r="C37" s="45">
        <f>IF($A37="","",IFERROR(INDEX('Chain Program'!$D$6:$D$120,MATCH($A37,'Chain Program'!$A$6:$A$120,0)),"Unknown ID"))</f>
        <v/>
      </c>
      <c r="D37" s="36" t="inlineStr">
        <is>
          <t>All</t>
        </is>
      </c>
      <c r="E37" s="36" t="inlineStr">
        <is>
          <t>TPR</t>
        </is>
      </c>
      <c r="F37" s="36" t="inlineStr">
        <is>
          <t>2 for $4</t>
        </is>
      </c>
      <c r="G37" s="37" t="n">
        <v>2</v>
      </c>
      <c r="H37" s="37" t="n"/>
      <c r="I37" s="46" t="n">
        <v>46235</v>
      </c>
      <c r="J37" s="46" t="n">
        <v>46387</v>
      </c>
      <c r="K37" s="36" t="inlineStr">
        <is>
          <t>Y</t>
        </is>
      </c>
      <c r="L37" s="45">
        <f>IF(OR($A37="",$I37="",$J37=""),"",IF(TODAY()&lt;$I37,"Upcoming",IF(TODAY()&gt;$J37,"Expired","Active")))</f>
        <v/>
      </c>
      <c r="M37" s="45">
        <f>IF($L37="Active",$J37-TODAY(),"")</f>
        <v/>
      </c>
      <c r="N37" s="36" t="inlineStr">
        <is>
          <t>Non-Alc Chain 9/8/26</t>
        </is>
      </c>
      <c r="O37" s="47">
        <f>IF($L37="Active",$A37,"")</f>
        <v/>
      </c>
    </row>
    <row r="38">
      <c r="A38" s="36" t="inlineStr">
        <is>
          <t>ZOA | Yoke's Fresh Market</t>
        </is>
      </c>
      <c r="B38" s="45">
        <f>IF($A38="","",IFERROR(INDEX('Chain Program'!$B$6:$B$120,MATCH($A38,'Chain Program'!$A$6:$A$120,0)),"Unknown ID"))</f>
        <v/>
      </c>
      <c r="C38" s="45">
        <f>IF($A38="","",IFERROR(INDEX('Chain Program'!$D$6:$D$120,MATCH($A38,'Chain Program'!$A$6:$A$120,0)),"Unknown ID"))</f>
        <v/>
      </c>
      <c r="D38" s="36" t="inlineStr">
        <is>
          <t>All</t>
        </is>
      </c>
      <c r="E38" s="36" t="inlineStr">
        <is>
          <t>Case Cost</t>
        </is>
      </c>
      <c r="F38" s="36" t="inlineStr">
        <is>
          <t>$15.30 case cost; retail TBD</t>
        </is>
      </c>
      <c r="G38" s="37" t="n"/>
      <c r="H38" s="37" t="n">
        <v>15.3</v>
      </c>
      <c r="I38" s="46" t="n">
        <v>46236</v>
      </c>
      <c r="J38" s="46" t="n">
        <v>46298</v>
      </c>
      <c r="K38" s="36" t="inlineStr">
        <is>
          <t>N</t>
        </is>
      </c>
      <c r="L38" s="45">
        <f>IF(OR($A38="",$I38="",$J38=""),"",IF(TODAY()&lt;$I38,"Upcoming",IF(TODAY()&gt;$J38,"Expired","Active")))</f>
        <v/>
      </c>
      <c r="M38" s="45">
        <f>IF($L38="Active",$J38-TODAY(),"")</f>
        <v/>
      </c>
      <c r="N38" s="36" t="inlineStr">
        <is>
          <t>Non-Alc Chain 9/8/26</t>
        </is>
      </c>
      <c r="O38" s="47">
        <f>IF($L38="Active",$A38,"")</f>
        <v/>
      </c>
    </row>
    <row r="39">
      <c r="A39" s="36" t="inlineStr">
        <is>
          <t>Henry's | Bashas'</t>
        </is>
      </c>
      <c r="B39" s="45">
        <f>IF($A39="","",IFERROR(INDEX('Chain Program'!$B$6:$B$120,MATCH($A39,'Chain Program'!$A$6:$A$120,0)),"Unknown ID"))</f>
        <v/>
      </c>
      <c r="C39" s="45">
        <f>IF($A39="","",IFERROR(INDEX('Chain Program'!$D$6:$D$120,MATCH($A39,'Chain Program'!$A$6:$A$120,0)),"Unknown ID"))</f>
        <v/>
      </c>
      <c r="D39" s="36" t="inlineStr">
        <is>
          <t>All</t>
        </is>
      </c>
      <c r="E39" s="36" t="inlineStr">
        <is>
          <t>TPR</t>
        </is>
      </c>
      <c r="F39" s="36" t="inlineStr">
        <is>
          <t>TPR $5.99</t>
        </is>
      </c>
      <c r="G39" s="37" t="n">
        <v>5.99</v>
      </c>
      <c r="H39" s="37" t="n"/>
      <c r="I39" s="46" t="n">
        <v>45795</v>
      </c>
      <c r="J39" s="46" t="n">
        <v>45906</v>
      </c>
      <c r="K39" s="36" t="inlineStr">
        <is>
          <t>N</t>
        </is>
      </c>
      <c r="L39" s="45">
        <f>IF(OR($A39="",$I39="",$J39=""),"",IF(TODAY()&lt;$I39,"Upcoming",IF(TODAY()&gt;$J39,"Expired","Active")))</f>
        <v/>
      </c>
      <c r="M39" s="45">
        <f>IF($L39="Active",$J39-TODAY(),"")</f>
        <v/>
      </c>
      <c r="N39" s="36" t="inlineStr">
        <is>
          <t>HW Hot Sheet 8/25/25</t>
        </is>
      </c>
      <c r="O39" s="47">
        <f>IF($L39="Active",$A39,"")</f>
        <v/>
      </c>
    </row>
    <row r="40">
      <c r="A40" s="36" t="inlineStr">
        <is>
          <t>Henry's | Bashas'</t>
        </is>
      </c>
      <c r="B40" s="45">
        <f>IF($A40="","",IFERROR(INDEX('Chain Program'!$B$6:$B$120,MATCH($A40,'Chain Program'!$A$6:$A$120,0)),"Unknown ID"))</f>
        <v/>
      </c>
      <c r="C40" s="45">
        <f>IF($A40="","",IFERROR(INDEX('Chain Program'!$D$6:$D$120,MATCH($A40,'Chain Program'!$A$6:$A$120,0)),"Unknown ID"))</f>
        <v/>
      </c>
      <c r="D40" s="36" t="inlineStr">
        <is>
          <t>All</t>
        </is>
      </c>
      <c r="E40" s="36" t="inlineStr">
        <is>
          <t>TPR</t>
        </is>
      </c>
      <c r="F40" s="36" t="inlineStr">
        <is>
          <t>TPR $5.99</t>
        </is>
      </c>
      <c r="G40" s="37" t="n">
        <v>5.99</v>
      </c>
      <c r="H40" s="37" t="n"/>
      <c r="I40" s="46" t="n">
        <v>45929</v>
      </c>
      <c r="J40" s="46" t="n">
        <v>46025</v>
      </c>
      <c r="K40" s="36" t="inlineStr">
        <is>
          <t>N</t>
        </is>
      </c>
      <c r="L40" s="45">
        <f>IF(OR($A40="",$I40="",$J40=""),"",IF(TODAY()&lt;$I40,"Upcoming",IF(TODAY()&gt;$J40,"Expired","Active")))</f>
        <v/>
      </c>
      <c r="M40" s="45">
        <f>IF($L40="Active",$J40-TODAY(),"")</f>
        <v/>
      </c>
      <c r="N40" s="36" t="inlineStr">
        <is>
          <t>HW Hot Sheet 8/25/25</t>
        </is>
      </c>
      <c r="O40" s="47">
        <f>IF($L40="Active",$A40,"")</f>
        <v/>
      </c>
    </row>
    <row r="41">
      <c r="A41" s="36" t="inlineStr">
        <is>
          <t>Henry's | Bi-Mart</t>
        </is>
      </c>
      <c r="B41" s="45">
        <f>IF($A41="","",IFERROR(INDEX('Chain Program'!$B$6:$B$120,MATCH($A41,'Chain Program'!$A$6:$A$120,0)),"Unknown ID"))</f>
        <v/>
      </c>
      <c r="C41" s="45">
        <f>IF($A41="","",IFERROR(INDEX('Chain Program'!$D$6:$D$120,MATCH($A41,'Chain Program'!$A$6:$A$120,0)),"Unknown ID"))</f>
        <v/>
      </c>
      <c r="D41" s="36" t="inlineStr">
        <is>
          <t>All</t>
        </is>
      </c>
      <c r="E41" s="36" t="inlineStr">
        <is>
          <t>TPR</t>
        </is>
      </c>
      <c r="F41" s="36" t="inlineStr">
        <is>
          <t>TPR $4.99</t>
        </is>
      </c>
      <c r="G41" s="37" t="n">
        <v>4.99</v>
      </c>
      <c r="H41" s="37" t="n"/>
      <c r="I41" s="46" t="n">
        <v>45928</v>
      </c>
      <c r="J41" s="46" t="n">
        <v>46025</v>
      </c>
      <c r="K41" s="36" t="inlineStr">
        <is>
          <t>N</t>
        </is>
      </c>
      <c r="L41" s="45">
        <f>IF(OR($A41="",$I41="",$J41=""),"",IF(TODAY()&lt;$I41,"Upcoming",IF(TODAY()&gt;$J41,"Expired","Active")))</f>
        <v/>
      </c>
      <c r="M41" s="45">
        <f>IF($L41="Active",$J41-TODAY(),"")</f>
        <v/>
      </c>
      <c r="N41" s="36" t="inlineStr">
        <is>
          <t>HW Hot Sheet 8/25/25</t>
        </is>
      </c>
      <c r="O41" s="47">
        <f>IF($L41="Active",$A41,"")</f>
        <v/>
      </c>
    </row>
    <row r="42">
      <c r="A42" s="36" t="inlineStr">
        <is>
          <t>Henry's | C&amp;K / Ray's Food Place / Shop Smart</t>
        </is>
      </c>
      <c r="B42" s="45">
        <f>IF($A42="","",IFERROR(INDEX('Chain Program'!$B$6:$B$120,MATCH($A42,'Chain Program'!$A$6:$A$120,0)),"Unknown ID"))</f>
        <v/>
      </c>
      <c r="C42" s="45">
        <f>IF($A42="","",IFERROR(INDEX('Chain Program'!$D$6:$D$120,MATCH($A42,'Chain Program'!$A$6:$A$120,0)),"Unknown ID"))</f>
        <v/>
      </c>
      <c r="D42" s="36" t="inlineStr">
        <is>
          <t>All</t>
        </is>
      </c>
      <c r="E42" s="36" t="inlineStr">
        <is>
          <t>TPR</t>
        </is>
      </c>
      <c r="F42" s="36" t="inlineStr">
        <is>
          <t>TPR $5.99</t>
        </is>
      </c>
      <c r="G42" s="37" t="n">
        <v>5.99</v>
      </c>
      <c r="H42" s="37" t="n"/>
      <c r="I42" s="46" t="n">
        <v>45938</v>
      </c>
      <c r="J42" s="46" t="n">
        <v>45965</v>
      </c>
      <c r="K42" s="36" t="inlineStr">
        <is>
          <t>N</t>
        </is>
      </c>
      <c r="L42" s="45">
        <f>IF(OR($A42="",$I42="",$J42=""),"",IF(TODAY()&lt;$I42,"Upcoming",IF(TODAY()&gt;$J42,"Expired","Active")))</f>
        <v/>
      </c>
      <c r="M42" s="45">
        <f>IF($L42="Active",$J42-TODAY(),"")</f>
        <v/>
      </c>
      <c r="N42" s="36" t="inlineStr">
        <is>
          <t>HW Hot Sheet 8/25/25</t>
        </is>
      </c>
      <c r="O42" s="47">
        <f>IF($L42="Active",$A42,"")</f>
        <v/>
      </c>
    </row>
    <row r="43">
      <c r="A43" s="36" t="inlineStr">
        <is>
          <t>Henry's | C&amp;K / Ray's Food Place / Shop Smart</t>
        </is>
      </c>
      <c r="B43" s="45">
        <f>IF($A43="","",IFERROR(INDEX('Chain Program'!$B$6:$B$120,MATCH($A43,'Chain Program'!$A$6:$A$120,0)),"Unknown ID"))</f>
        <v/>
      </c>
      <c r="C43" s="45">
        <f>IF($A43="","",IFERROR(INDEX('Chain Program'!$D$6:$D$120,MATCH($A43,'Chain Program'!$A$6:$A$120,0)),"Unknown ID"))</f>
        <v/>
      </c>
      <c r="D43" s="36" t="inlineStr">
        <is>
          <t>All</t>
        </is>
      </c>
      <c r="E43" s="36" t="inlineStr">
        <is>
          <t>TPR</t>
        </is>
      </c>
      <c r="F43" s="36" t="inlineStr">
        <is>
          <t>TPR $5.99</t>
        </is>
      </c>
      <c r="G43" s="37" t="n">
        <v>5.99</v>
      </c>
      <c r="H43" s="37" t="n"/>
      <c r="I43" s="46" t="n">
        <v>45966</v>
      </c>
      <c r="J43" s="46" t="n">
        <v>45993</v>
      </c>
      <c r="K43" s="36" t="inlineStr">
        <is>
          <t>N</t>
        </is>
      </c>
      <c r="L43" s="45">
        <f>IF(OR($A43="",$I43="",$J43=""),"",IF(TODAY()&lt;$I43,"Upcoming",IF(TODAY()&gt;$J43,"Expired","Active")))</f>
        <v/>
      </c>
      <c r="M43" s="45">
        <f>IF($L43="Active",$J43-TODAY(),"")</f>
        <v/>
      </c>
      <c r="N43" s="36" t="inlineStr">
        <is>
          <t>HW Hot Sheet 8/25/25</t>
        </is>
      </c>
      <c r="O43" s="47">
        <f>IF($L43="Active",$A43,"")</f>
        <v/>
      </c>
    </row>
    <row r="44">
      <c r="A44" s="36" t="inlineStr">
        <is>
          <t>Henry's | C&amp;K / Ray's Food Place / Shop Smart</t>
        </is>
      </c>
      <c r="B44" s="45">
        <f>IF($A44="","",IFERROR(INDEX('Chain Program'!$B$6:$B$120,MATCH($A44,'Chain Program'!$A$6:$A$120,0)),"Unknown ID"))</f>
        <v/>
      </c>
      <c r="C44" s="45">
        <f>IF($A44="","",IFERROR(INDEX('Chain Program'!$D$6:$D$120,MATCH($A44,'Chain Program'!$A$6:$A$120,0)),"Unknown ID"))</f>
        <v/>
      </c>
      <c r="D44" s="36" t="inlineStr">
        <is>
          <t>All</t>
        </is>
      </c>
      <c r="E44" s="36" t="inlineStr">
        <is>
          <t>TPR</t>
        </is>
      </c>
      <c r="F44" s="36" t="inlineStr">
        <is>
          <t>TPR $5.99</t>
        </is>
      </c>
      <c r="G44" s="37" t="n">
        <v>5.99</v>
      </c>
      <c r="H44" s="37" t="n"/>
      <c r="I44" s="46" t="n">
        <v>45994</v>
      </c>
      <c r="J44" s="46" t="n">
        <v>46021</v>
      </c>
      <c r="K44" s="36" t="inlineStr">
        <is>
          <t>N</t>
        </is>
      </c>
      <c r="L44" s="45">
        <f>IF(OR($A44="",$I44="",$J44=""),"",IF(TODAY()&lt;$I44,"Upcoming",IF(TODAY()&gt;$J44,"Expired","Active")))</f>
        <v/>
      </c>
      <c r="M44" s="45">
        <f>IF($L44="Active",$J44-TODAY(),"")</f>
        <v/>
      </c>
      <c r="N44" s="36" t="inlineStr">
        <is>
          <t>HW Hot Sheet 8/25/25</t>
        </is>
      </c>
      <c r="O44" s="47">
        <f>IF($L44="Active",$A44,"")</f>
        <v/>
      </c>
    </row>
    <row r="45">
      <c r="A45" s="36" t="inlineStr">
        <is>
          <t>Henry's | Fred Meyer (Div. 701)</t>
        </is>
      </c>
      <c r="B45" s="45">
        <f>IF($A45="","",IFERROR(INDEX('Chain Program'!$B$6:$B$120,MATCH($A45,'Chain Program'!$A$6:$A$120,0)),"Unknown ID"))</f>
        <v/>
      </c>
      <c r="C45" s="45">
        <f>IF($A45="","",IFERROR(INDEX('Chain Program'!$D$6:$D$120,MATCH($A45,'Chain Program'!$A$6:$A$120,0)),"Unknown ID"))</f>
        <v/>
      </c>
      <c r="D45" s="36" t="inlineStr">
        <is>
          <t>All</t>
        </is>
      </c>
      <c r="E45" s="36" t="inlineStr">
        <is>
          <t>TPR</t>
        </is>
      </c>
      <c r="F45" s="36" t="inlineStr">
        <is>
          <t>TPR $6.49</t>
        </is>
      </c>
      <c r="G45" s="37" t="n">
        <v>6.49</v>
      </c>
      <c r="H45" s="37" t="n"/>
      <c r="I45" s="46" t="n">
        <v>45945</v>
      </c>
      <c r="J45" s="46" t="n">
        <v>46025</v>
      </c>
      <c r="K45" s="36" t="inlineStr">
        <is>
          <t>N</t>
        </is>
      </c>
      <c r="L45" s="45">
        <f>IF(OR($A45="",$I45="",$J45=""),"",IF(TODAY()&lt;$I45,"Upcoming",IF(TODAY()&gt;$J45,"Expired","Active")))</f>
        <v/>
      </c>
      <c r="M45" s="45">
        <f>IF($L45="Active",$J45-TODAY(),"")</f>
        <v/>
      </c>
      <c r="N45" s="36" t="inlineStr">
        <is>
          <t>HW Hot Sheet 8/25/25</t>
        </is>
      </c>
      <c r="O45" s="47">
        <f>IF($L45="Active",$A45,"")</f>
        <v/>
      </c>
    </row>
    <row r="46">
      <c r="A46" s="36" t="inlineStr">
        <is>
          <t>Henry's | Fry's (Div. 660)</t>
        </is>
      </c>
      <c r="B46" s="45">
        <f>IF($A46="","",IFERROR(INDEX('Chain Program'!$B$6:$B$120,MATCH($A46,'Chain Program'!$A$6:$A$120,0)),"Unknown ID"))</f>
        <v/>
      </c>
      <c r="C46" s="45">
        <f>IF($A46="","",IFERROR(INDEX('Chain Program'!$D$6:$D$120,MATCH($A46,'Chain Program'!$A$6:$A$120,0)),"Unknown ID"))</f>
        <v/>
      </c>
      <c r="D46" s="36" t="inlineStr">
        <is>
          <t>All</t>
        </is>
      </c>
      <c r="E46" s="36" t="inlineStr">
        <is>
          <t>TPR</t>
        </is>
      </c>
      <c r="F46" s="36" t="inlineStr">
        <is>
          <t>TPR $6.49</t>
        </is>
      </c>
      <c r="G46" s="37" t="n">
        <v>6.49</v>
      </c>
      <c r="H46" s="37" t="n"/>
      <c r="I46" s="46" t="n">
        <v>45945</v>
      </c>
      <c r="J46" s="46" t="n">
        <v>46025</v>
      </c>
      <c r="K46" s="36" t="inlineStr">
        <is>
          <t>N</t>
        </is>
      </c>
      <c r="L46" s="45">
        <f>IF(OR($A46="",$I46="",$J46=""),"",IF(TODAY()&lt;$I46,"Upcoming",IF(TODAY()&gt;$J46,"Expired","Active")))</f>
        <v/>
      </c>
      <c r="M46" s="45">
        <f>IF($L46="Active",$J46-TODAY(),"")</f>
        <v/>
      </c>
      <c r="N46" s="36" t="inlineStr">
        <is>
          <t>HW Hot Sheet 8/25/25</t>
        </is>
      </c>
      <c r="O46" s="47">
        <f>IF($L46="Active",$A46,"")</f>
        <v/>
      </c>
    </row>
    <row r="47">
      <c r="A47" s="36" t="inlineStr">
        <is>
          <t>Henry's | Haggen Div. #24</t>
        </is>
      </c>
      <c r="B47" s="45">
        <f>IF($A47="","",IFERROR(INDEX('Chain Program'!$B$6:$B$120,MATCH($A47,'Chain Program'!$A$6:$A$120,0)),"Unknown ID"))</f>
        <v/>
      </c>
      <c r="C47" s="45">
        <f>IF($A47="","",IFERROR(INDEX('Chain Program'!$D$6:$D$120,MATCH($A47,'Chain Program'!$A$6:$A$120,0)),"Unknown ID"))</f>
        <v/>
      </c>
      <c r="D47" s="36" t="inlineStr">
        <is>
          <t>All</t>
        </is>
      </c>
      <c r="E47" s="36" t="inlineStr">
        <is>
          <t>TPR</t>
        </is>
      </c>
      <c r="F47" s="36" t="inlineStr">
        <is>
          <t>TPR $5.99</t>
        </is>
      </c>
      <c r="G47" s="37" t="n">
        <v>5.99</v>
      </c>
      <c r="H47" s="37" t="n"/>
      <c r="I47" s="46" t="n">
        <v>45809</v>
      </c>
      <c r="J47" s="46" t="n">
        <v>45906</v>
      </c>
      <c r="K47" s="36" t="inlineStr">
        <is>
          <t>N</t>
        </is>
      </c>
      <c r="L47" s="45">
        <f>IF(OR($A47="",$I47="",$J47=""),"",IF(TODAY()&lt;$I47,"Upcoming",IF(TODAY()&gt;$J47,"Expired","Active")))</f>
        <v/>
      </c>
      <c r="M47" s="45">
        <f>IF($L47="Active",$J47-TODAY(),"")</f>
        <v/>
      </c>
      <c r="N47" s="36" t="inlineStr">
        <is>
          <t>HW Hot Sheet 8/25/25</t>
        </is>
      </c>
      <c r="O47" s="47">
        <f>IF($L47="Active",$A47,"")</f>
        <v/>
      </c>
    </row>
    <row r="48">
      <c r="A48" s="36" t="inlineStr">
        <is>
          <t>Henry's | Haggen Div. #24</t>
        </is>
      </c>
      <c r="B48" s="45">
        <f>IF($A48="","",IFERROR(INDEX('Chain Program'!$B$6:$B$120,MATCH($A48,'Chain Program'!$A$6:$A$120,0)),"Unknown ID"))</f>
        <v/>
      </c>
      <c r="C48" s="45">
        <f>IF($A48="","",IFERROR(INDEX('Chain Program'!$D$6:$D$120,MATCH($A48,'Chain Program'!$A$6:$A$120,0)),"Unknown ID"))</f>
        <v/>
      </c>
      <c r="D48" s="36" t="inlineStr">
        <is>
          <t>All</t>
        </is>
      </c>
      <c r="E48" s="36" t="inlineStr">
        <is>
          <t>TPR</t>
        </is>
      </c>
      <c r="F48" s="36" t="inlineStr">
        <is>
          <t>TPR $5.99</t>
        </is>
      </c>
      <c r="G48" s="37" t="n">
        <v>5.99</v>
      </c>
      <c r="H48" s="37" t="n"/>
      <c r="I48" s="46" t="n">
        <v>45935</v>
      </c>
      <c r="J48" s="46" t="n">
        <v>46025</v>
      </c>
      <c r="K48" s="36" t="inlineStr">
        <is>
          <t>N</t>
        </is>
      </c>
      <c r="L48" s="45">
        <f>IF(OR($A48="",$I48="",$J48=""),"",IF(TODAY()&lt;$I48,"Upcoming",IF(TODAY()&gt;$J48,"Expired","Active")))</f>
        <v/>
      </c>
      <c r="M48" s="45">
        <f>IF($L48="Active",$J48-TODAY(),"")</f>
        <v/>
      </c>
      <c r="N48" s="36" t="inlineStr">
        <is>
          <t>HW Hot Sheet 8/25/25</t>
        </is>
      </c>
      <c r="O48" s="47">
        <f>IF($L48="Active",$A48,"")</f>
        <v/>
      </c>
    </row>
    <row r="49">
      <c r="A49" s="36" t="inlineStr">
        <is>
          <t>Henry's | Harvest Foods</t>
        </is>
      </c>
      <c r="B49" s="45">
        <f>IF($A49="","",IFERROR(INDEX('Chain Program'!$B$6:$B$120,MATCH($A49,'Chain Program'!$A$6:$A$120,0)),"Unknown ID"))</f>
        <v/>
      </c>
      <c r="C49" s="45">
        <f>IF($A49="","",IFERROR(INDEX('Chain Program'!$D$6:$D$120,MATCH($A49,'Chain Program'!$A$6:$A$120,0)),"Unknown ID"))</f>
        <v/>
      </c>
      <c r="D49" s="36" t="inlineStr">
        <is>
          <t>All</t>
        </is>
      </c>
      <c r="E49" s="36" t="inlineStr">
        <is>
          <t>TPR</t>
        </is>
      </c>
      <c r="F49" s="36" t="inlineStr">
        <is>
          <t>TPR $5.99</t>
        </is>
      </c>
      <c r="G49" s="37" t="n">
        <v>5.99</v>
      </c>
      <c r="H49" s="37" t="n"/>
      <c r="I49" s="46" t="n">
        <v>45990</v>
      </c>
      <c r="J49" s="46" t="n">
        <v>46025</v>
      </c>
      <c r="K49" s="36" t="inlineStr">
        <is>
          <t>N</t>
        </is>
      </c>
      <c r="L49" s="45">
        <f>IF(OR($A49="",$I49="",$J49=""),"",IF(TODAY()&lt;$I49,"Upcoming",IF(TODAY()&gt;$J49,"Expired","Active")))</f>
        <v/>
      </c>
      <c r="M49" s="45">
        <f>IF($L49="Active",$J49-TODAY(),"")</f>
        <v/>
      </c>
      <c r="N49" s="36" t="inlineStr">
        <is>
          <t>HW Hot Sheet 8/25/25</t>
        </is>
      </c>
      <c r="O49" s="47">
        <f>IF($L49="Active",$A49,"")</f>
        <v/>
      </c>
    </row>
    <row r="50">
      <c r="A50" s="36" t="inlineStr">
        <is>
          <t>Henry's | Intermountain Div. #30</t>
        </is>
      </c>
      <c r="B50" s="45">
        <f>IF($A50="","",IFERROR(INDEX('Chain Program'!$B$6:$B$120,MATCH($A50,'Chain Program'!$A$6:$A$120,0)),"Unknown ID"))</f>
        <v/>
      </c>
      <c r="C50" s="45">
        <f>IF($A50="","",IFERROR(INDEX('Chain Program'!$D$6:$D$120,MATCH($A50,'Chain Program'!$A$6:$A$120,0)),"Unknown ID"))</f>
        <v/>
      </c>
      <c r="D50" s="36" t="inlineStr">
        <is>
          <t>All</t>
        </is>
      </c>
      <c r="E50" s="36" t="inlineStr">
        <is>
          <t>TPR</t>
        </is>
      </c>
      <c r="F50" s="36" t="inlineStr">
        <is>
          <t>TPR $5.99</t>
        </is>
      </c>
      <c r="G50" s="37" t="n">
        <v>5.99</v>
      </c>
      <c r="H50" s="37" t="n"/>
      <c r="I50" s="46" t="n">
        <v>45809</v>
      </c>
      <c r="J50" s="46" t="n">
        <v>45906</v>
      </c>
      <c r="K50" s="36" t="inlineStr">
        <is>
          <t>N</t>
        </is>
      </c>
      <c r="L50" s="45">
        <f>IF(OR($A50="",$I50="",$J50=""),"",IF(TODAY()&lt;$I50,"Upcoming",IF(TODAY()&gt;$J50,"Expired","Active")))</f>
        <v/>
      </c>
      <c r="M50" s="45">
        <f>IF($L50="Active",$J50-TODAY(),"")</f>
        <v/>
      </c>
      <c r="N50" s="36" t="inlineStr">
        <is>
          <t>HW Hot Sheet 8/25/25</t>
        </is>
      </c>
      <c r="O50" s="47">
        <f>IF($L50="Active",$A50,"")</f>
        <v/>
      </c>
    </row>
    <row r="51">
      <c r="A51" s="36" t="inlineStr">
        <is>
          <t>Henry's | Intermountain Div. #30</t>
        </is>
      </c>
      <c r="B51" s="45">
        <f>IF($A51="","",IFERROR(INDEX('Chain Program'!$B$6:$B$120,MATCH($A51,'Chain Program'!$A$6:$A$120,0)),"Unknown ID"))</f>
        <v/>
      </c>
      <c r="C51" s="45">
        <f>IF($A51="","",IFERROR(INDEX('Chain Program'!$D$6:$D$120,MATCH($A51,'Chain Program'!$A$6:$A$120,0)),"Unknown ID"))</f>
        <v/>
      </c>
      <c r="D51" s="36" t="inlineStr">
        <is>
          <t>All</t>
        </is>
      </c>
      <c r="E51" s="36" t="inlineStr">
        <is>
          <t>TPR</t>
        </is>
      </c>
      <c r="F51" s="36" t="inlineStr">
        <is>
          <t>TPR $5.99</t>
        </is>
      </c>
      <c r="G51" s="37" t="n">
        <v>5.99</v>
      </c>
      <c r="H51" s="37" t="n"/>
      <c r="I51" s="46" t="n">
        <v>45935</v>
      </c>
      <c r="J51" s="46" t="n">
        <v>46025</v>
      </c>
      <c r="K51" s="36" t="inlineStr">
        <is>
          <t>N</t>
        </is>
      </c>
      <c r="L51" s="45">
        <f>IF(OR($A51="",$I51="",$J51=""),"",IF(TODAY()&lt;$I51,"Upcoming",IF(TODAY()&gt;$J51,"Expired","Active")))</f>
        <v/>
      </c>
      <c r="M51" s="45">
        <f>IF($L51="Active",$J51-TODAY(),"")</f>
        <v/>
      </c>
      <c r="N51" s="36" t="inlineStr">
        <is>
          <t>HW Hot Sheet 8/25/25</t>
        </is>
      </c>
      <c r="O51" s="47">
        <f>IF($L51="Active",$A51,"")</f>
        <v/>
      </c>
    </row>
    <row r="52">
      <c r="A52" s="36" t="inlineStr">
        <is>
          <t>Henry's | Metropolitan Market</t>
        </is>
      </c>
      <c r="B52" s="45">
        <f>IF($A52="","",IFERROR(INDEX('Chain Program'!$B$6:$B$120,MATCH($A52,'Chain Program'!$A$6:$A$120,0)),"Unknown ID"))</f>
        <v/>
      </c>
      <c r="C52" s="45">
        <f>IF($A52="","",IFERROR(INDEX('Chain Program'!$D$6:$D$120,MATCH($A52,'Chain Program'!$A$6:$A$120,0)),"Unknown ID"))</f>
        <v/>
      </c>
      <c r="D52" s="36" t="inlineStr">
        <is>
          <t>All</t>
        </is>
      </c>
      <c r="E52" s="36" t="inlineStr">
        <is>
          <t>TPR</t>
        </is>
      </c>
      <c r="F52" s="36" t="inlineStr">
        <is>
          <t>TPR $5.99</t>
        </is>
      </c>
      <c r="G52" s="37" t="n">
        <v>5.99</v>
      </c>
      <c r="H52" s="37" t="n"/>
      <c r="I52" s="46" t="n">
        <v>45928</v>
      </c>
      <c r="J52" s="46" t="n">
        <v>46025</v>
      </c>
      <c r="K52" s="36" t="inlineStr">
        <is>
          <t>N</t>
        </is>
      </c>
      <c r="L52" s="45">
        <f>IF(OR($A52="",$I52="",$J52=""),"",IF(TODAY()&lt;$I52,"Upcoming",IF(TODAY()&gt;$J52,"Expired","Active")))</f>
        <v/>
      </c>
      <c r="M52" s="45">
        <f>IF($L52="Active",$J52-TODAY(),"")</f>
        <v/>
      </c>
      <c r="N52" s="36" t="inlineStr">
        <is>
          <t>HW Hot Sheet 8/25/25</t>
        </is>
      </c>
      <c r="O52" s="47">
        <f>IF($L52="Active",$A52,"")</f>
        <v/>
      </c>
    </row>
    <row r="53">
      <c r="A53" s="36" t="inlineStr">
        <is>
          <t>Henry's | NorCal Div. #25 (incl. HI)</t>
        </is>
      </c>
      <c r="B53" s="45">
        <f>IF($A53="","",IFERROR(INDEX('Chain Program'!$B$6:$B$120,MATCH($A53,'Chain Program'!$A$6:$A$120,0)),"Unknown ID"))</f>
        <v/>
      </c>
      <c r="C53" s="45">
        <f>IF($A53="","",IFERROR(INDEX('Chain Program'!$D$6:$D$120,MATCH($A53,'Chain Program'!$A$6:$A$120,0)),"Unknown ID"))</f>
        <v/>
      </c>
      <c r="D53" s="36" t="inlineStr">
        <is>
          <t>All</t>
        </is>
      </c>
      <c r="E53" s="36" t="inlineStr">
        <is>
          <t>TPR</t>
        </is>
      </c>
      <c r="F53" s="36" t="inlineStr">
        <is>
          <t>TPR $5.99</t>
        </is>
      </c>
      <c r="G53" s="37" t="n">
        <v>5.99</v>
      </c>
      <c r="H53" s="37" t="n"/>
      <c r="I53" s="46" t="n">
        <v>45809</v>
      </c>
      <c r="J53" s="46" t="n">
        <v>45906</v>
      </c>
      <c r="K53" s="36" t="inlineStr">
        <is>
          <t>N</t>
        </is>
      </c>
      <c r="L53" s="45">
        <f>IF(OR($A53="",$I53="",$J53=""),"",IF(TODAY()&lt;$I53,"Upcoming",IF(TODAY()&gt;$J53,"Expired","Active")))</f>
        <v/>
      </c>
      <c r="M53" s="45">
        <f>IF($L53="Active",$J53-TODAY(),"")</f>
        <v/>
      </c>
      <c r="N53" s="36" t="inlineStr">
        <is>
          <t>HW Hot Sheet 8/25/25</t>
        </is>
      </c>
      <c r="O53" s="47">
        <f>IF($L53="Active",$A53,"")</f>
        <v/>
      </c>
    </row>
    <row r="54">
      <c r="A54" s="36" t="inlineStr">
        <is>
          <t>Henry's | NorCal Div. #25 (incl. HI)</t>
        </is>
      </c>
      <c r="B54" s="45">
        <f>IF($A54="","",IFERROR(INDEX('Chain Program'!$B$6:$B$120,MATCH($A54,'Chain Program'!$A$6:$A$120,0)),"Unknown ID"))</f>
        <v/>
      </c>
      <c r="C54" s="45">
        <f>IF($A54="","",IFERROR(INDEX('Chain Program'!$D$6:$D$120,MATCH($A54,'Chain Program'!$A$6:$A$120,0)),"Unknown ID"))</f>
        <v/>
      </c>
      <c r="D54" s="36" t="inlineStr">
        <is>
          <t>All</t>
        </is>
      </c>
      <c r="E54" s="36" t="inlineStr">
        <is>
          <t>TPR</t>
        </is>
      </c>
      <c r="F54" s="36" t="inlineStr">
        <is>
          <t>TPR $5.99</t>
        </is>
      </c>
      <c r="G54" s="37" t="n">
        <v>5.99</v>
      </c>
      <c r="H54" s="37" t="n"/>
      <c r="I54" s="46" t="n">
        <v>45935</v>
      </c>
      <c r="J54" s="46" t="n">
        <v>46025</v>
      </c>
      <c r="K54" s="36" t="inlineStr">
        <is>
          <t>N</t>
        </is>
      </c>
      <c r="L54" s="45">
        <f>IF(OR($A54="",$I54="",$J54=""),"",IF(TODAY()&lt;$I54,"Upcoming",IF(TODAY()&gt;$J54,"Expired","Active")))</f>
        <v/>
      </c>
      <c r="M54" s="45">
        <f>IF($L54="Active",$J54-TODAY(),"")</f>
        <v/>
      </c>
      <c r="N54" s="36" t="inlineStr">
        <is>
          <t>HW Hot Sheet 8/25/25</t>
        </is>
      </c>
      <c r="O54" s="47">
        <f>IF($L54="Active",$A54,"")</f>
        <v/>
      </c>
    </row>
    <row r="55">
      <c r="A55" s="36" t="inlineStr">
        <is>
          <t>Henry's | Northwest Grocers (NWG)</t>
        </is>
      </c>
      <c r="B55" s="45">
        <f>IF($A55="","",IFERROR(INDEX('Chain Program'!$B$6:$B$120,MATCH($A55,'Chain Program'!$A$6:$A$120,0)),"Unknown ID"))</f>
        <v/>
      </c>
      <c r="C55" s="45">
        <f>IF($A55="","",IFERROR(INDEX('Chain Program'!$D$6:$D$120,MATCH($A55,'Chain Program'!$A$6:$A$120,0)),"Unknown ID"))</f>
        <v/>
      </c>
      <c r="D55" s="36" t="inlineStr">
        <is>
          <t>All</t>
        </is>
      </c>
      <c r="E55" s="36" t="inlineStr">
        <is>
          <t>TPR</t>
        </is>
      </c>
      <c r="F55" s="36" t="inlineStr">
        <is>
          <t>TPR $5.99</t>
        </is>
      </c>
      <c r="G55" s="37" t="n">
        <v>5.99</v>
      </c>
      <c r="H55" s="37" t="n"/>
      <c r="I55" s="46" t="n">
        <v>45929</v>
      </c>
      <c r="J55" s="46" t="n">
        <v>46025</v>
      </c>
      <c r="K55" s="36" t="inlineStr">
        <is>
          <t>N</t>
        </is>
      </c>
      <c r="L55" s="45">
        <f>IF(OR($A55="",$I55="",$J55=""),"",IF(TODAY()&lt;$I55,"Upcoming",IF(TODAY()&gt;$J55,"Expired","Active")))</f>
        <v/>
      </c>
      <c r="M55" s="45">
        <f>IF($L55="Active",$J55-TODAY(),"")</f>
        <v/>
      </c>
      <c r="N55" s="36" t="inlineStr">
        <is>
          <t>HW Hot Sheet 8/25/25</t>
        </is>
      </c>
      <c r="O55" s="47">
        <f>IF($L55="Active",$A55,"")</f>
        <v/>
      </c>
    </row>
    <row r="56">
      <c r="A56" s="36" t="inlineStr">
        <is>
          <t>Henry's | Nugget Markets</t>
        </is>
      </c>
      <c r="B56" s="45">
        <f>IF($A56="","",IFERROR(INDEX('Chain Program'!$B$6:$B$120,MATCH($A56,'Chain Program'!$A$6:$A$120,0)),"Unknown ID"))</f>
        <v/>
      </c>
      <c r="C56" s="45">
        <f>IF($A56="","",IFERROR(INDEX('Chain Program'!$D$6:$D$120,MATCH($A56,'Chain Program'!$A$6:$A$120,0)),"Unknown ID"))</f>
        <v/>
      </c>
      <c r="D56" s="36" t="inlineStr">
        <is>
          <t>All</t>
        </is>
      </c>
      <c r="E56" s="36" t="inlineStr">
        <is>
          <t>TPR</t>
        </is>
      </c>
      <c r="F56" s="36" t="inlineStr">
        <is>
          <t>TPR $5.99</t>
        </is>
      </c>
      <c r="G56" s="37" t="n">
        <v>5.99</v>
      </c>
      <c r="H56" s="37" t="n"/>
      <c r="I56" s="46" t="n">
        <v>45929</v>
      </c>
      <c r="J56" s="46" t="n">
        <v>46025</v>
      </c>
      <c r="K56" s="36" t="inlineStr">
        <is>
          <t>N</t>
        </is>
      </c>
      <c r="L56" s="45">
        <f>IF(OR($A56="",$I56="",$J56=""),"",IF(TODAY()&lt;$I56,"Upcoming",IF(TODAY()&gt;$J56,"Expired","Active")))</f>
        <v/>
      </c>
      <c r="M56" s="45">
        <f>IF($L56="Active",$J56-TODAY(),"")</f>
        <v/>
      </c>
      <c r="N56" s="36" t="inlineStr">
        <is>
          <t>HW Hot Sheet 8/25/25</t>
        </is>
      </c>
      <c r="O56" s="47">
        <f>IF($L56="Active",$A56,"")</f>
        <v/>
      </c>
    </row>
    <row r="57">
      <c r="A57" s="36" t="inlineStr">
        <is>
          <t>Henry's | Plaid Pantry</t>
        </is>
      </c>
      <c r="B57" s="45">
        <f>IF($A57="","",IFERROR(INDEX('Chain Program'!$B$6:$B$120,MATCH($A57,'Chain Program'!$A$6:$A$120,0)),"Unknown ID"))</f>
        <v/>
      </c>
      <c r="C57" s="45">
        <f>IF($A57="","",IFERROR(INDEX('Chain Program'!$D$6:$D$120,MATCH($A57,'Chain Program'!$A$6:$A$120,0)),"Unknown ID"))</f>
        <v/>
      </c>
      <c r="D57" s="36" t="inlineStr">
        <is>
          <t>All</t>
        </is>
      </c>
      <c r="E57" s="36" t="inlineStr">
        <is>
          <t>TPR</t>
        </is>
      </c>
      <c r="F57" s="36" t="inlineStr">
        <is>
          <t>2 for $3.00</t>
        </is>
      </c>
      <c r="G57" s="37" t="n">
        <v>1.5</v>
      </c>
      <c r="H57" s="37" t="n"/>
      <c r="I57" s="46" t="n">
        <v>45935</v>
      </c>
      <c r="J57" s="46" t="n">
        <v>45962</v>
      </c>
      <c r="K57" s="36" t="inlineStr">
        <is>
          <t>N</t>
        </is>
      </c>
      <c r="L57" s="45">
        <f>IF(OR($A57="",$I57="",$J57=""),"",IF(TODAY()&lt;$I57,"Upcoming",IF(TODAY()&gt;$J57,"Expired","Active")))</f>
        <v/>
      </c>
      <c r="M57" s="45">
        <f>IF($L57="Active",$J57-TODAY(),"")</f>
        <v/>
      </c>
      <c r="N57" s="36" t="inlineStr">
        <is>
          <t>HW Hot Sheet 8/25/25</t>
        </is>
      </c>
      <c r="O57" s="47">
        <f>IF($L57="Active",$A57,"")</f>
        <v/>
      </c>
    </row>
    <row r="58">
      <c r="A58" s="36" t="inlineStr">
        <is>
          <t>Henry's | Plaid Pantry</t>
        </is>
      </c>
      <c r="B58" s="45">
        <f>IF($A58="","",IFERROR(INDEX('Chain Program'!$B$6:$B$120,MATCH($A58,'Chain Program'!$A$6:$A$120,0)),"Unknown ID"))</f>
        <v/>
      </c>
      <c r="C58" s="45">
        <f>IF($A58="","",IFERROR(INDEX('Chain Program'!$D$6:$D$120,MATCH($A58,'Chain Program'!$A$6:$A$120,0)),"Unknown ID"))</f>
        <v/>
      </c>
      <c r="D58" s="36" t="inlineStr">
        <is>
          <t>All</t>
        </is>
      </c>
      <c r="E58" s="36" t="inlineStr">
        <is>
          <t>TPR</t>
        </is>
      </c>
      <c r="F58" s="36" t="inlineStr">
        <is>
          <t>2 for $3.00</t>
        </is>
      </c>
      <c r="G58" s="37" t="n">
        <v>1.5</v>
      </c>
      <c r="H58" s="37" t="n"/>
      <c r="I58" s="46" t="n">
        <v>45963</v>
      </c>
      <c r="J58" s="46" t="n">
        <v>45990</v>
      </c>
      <c r="K58" s="36" t="inlineStr">
        <is>
          <t>N</t>
        </is>
      </c>
      <c r="L58" s="45">
        <f>IF(OR($A58="",$I58="",$J58=""),"",IF(TODAY()&lt;$I58,"Upcoming",IF(TODAY()&gt;$J58,"Expired","Active")))</f>
        <v/>
      </c>
      <c r="M58" s="45">
        <f>IF($L58="Active",$J58-TODAY(),"")</f>
        <v/>
      </c>
      <c r="N58" s="36" t="inlineStr">
        <is>
          <t>HW Hot Sheet 8/25/25</t>
        </is>
      </c>
      <c r="O58" s="47">
        <f>IF($L58="Active",$A58,"")</f>
        <v/>
      </c>
    </row>
    <row r="59">
      <c r="A59" s="36" t="inlineStr">
        <is>
          <t>Henry's | Plaid Pantry</t>
        </is>
      </c>
      <c r="B59" s="45">
        <f>IF($A59="","",IFERROR(INDEX('Chain Program'!$B$6:$B$120,MATCH($A59,'Chain Program'!$A$6:$A$120,0)),"Unknown ID"))</f>
        <v/>
      </c>
      <c r="C59" s="45">
        <f>IF($A59="","",IFERROR(INDEX('Chain Program'!$D$6:$D$120,MATCH($A59,'Chain Program'!$A$6:$A$120,0)),"Unknown ID"))</f>
        <v/>
      </c>
      <c r="D59" s="36" t="inlineStr">
        <is>
          <t>All</t>
        </is>
      </c>
      <c r="E59" s="36" t="inlineStr">
        <is>
          <t>TPR</t>
        </is>
      </c>
      <c r="F59" s="36" t="inlineStr">
        <is>
          <t>2 for $3.00</t>
        </is>
      </c>
      <c r="G59" s="37" t="n">
        <v>1.5</v>
      </c>
      <c r="H59" s="37" t="n"/>
      <c r="I59" s="46" t="n">
        <v>45991</v>
      </c>
      <c r="J59" s="46" t="n">
        <v>46025</v>
      </c>
      <c r="K59" s="36" t="inlineStr">
        <is>
          <t>N</t>
        </is>
      </c>
      <c r="L59" s="45">
        <f>IF(OR($A59="",$I59="",$J59=""),"",IF(TODAY()&lt;$I59,"Upcoming",IF(TODAY()&gt;$J59,"Expired","Active")))</f>
        <v/>
      </c>
      <c r="M59" s="45">
        <f>IF($L59="Active",$J59-TODAY(),"")</f>
        <v/>
      </c>
      <c r="N59" s="36" t="inlineStr">
        <is>
          <t>HW Hot Sheet 8/25/25</t>
        </is>
      </c>
      <c r="O59" s="47">
        <f>IF($L59="Active",$A59,"")</f>
        <v/>
      </c>
    </row>
    <row r="60">
      <c r="A60" s="36" t="inlineStr">
        <is>
          <t>Henry's | QFC (Div. 705)</t>
        </is>
      </c>
      <c r="B60" s="45">
        <f>IF($A60="","",IFERROR(INDEX('Chain Program'!$B$6:$B$120,MATCH($A60,'Chain Program'!$A$6:$A$120,0)),"Unknown ID"))</f>
        <v/>
      </c>
      <c r="C60" s="45">
        <f>IF($A60="","",IFERROR(INDEX('Chain Program'!$D$6:$D$120,MATCH($A60,'Chain Program'!$A$6:$A$120,0)),"Unknown ID"))</f>
        <v/>
      </c>
      <c r="D60" s="36" t="inlineStr">
        <is>
          <t>All</t>
        </is>
      </c>
      <c r="E60" s="36" t="inlineStr">
        <is>
          <t>TPR</t>
        </is>
      </c>
      <c r="F60" s="36" t="inlineStr">
        <is>
          <t>TPR $6.49</t>
        </is>
      </c>
      <c r="G60" s="37" t="n">
        <v>6.49</v>
      </c>
      <c r="H60" s="37" t="n"/>
      <c r="I60" s="46" t="n">
        <v>45945</v>
      </c>
      <c r="J60" s="46" t="n">
        <v>46025</v>
      </c>
      <c r="K60" s="36" t="inlineStr">
        <is>
          <t>N</t>
        </is>
      </c>
      <c r="L60" s="45">
        <f>IF(OR($A60="",$I60="",$J60=""),"",IF(TODAY()&lt;$I60,"Upcoming",IF(TODAY()&gt;$J60,"Expired","Active")))</f>
        <v/>
      </c>
      <c r="M60" s="45">
        <f>IF($L60="Active",$J60-TODAY(),"")</f>
        <v/>
      </c>
      <c r="N60" s="36" t="inlineStr">
        <is>
          <t>HW Hot Sheet 8/25/25</t>
        </is>
      </c>
      <c r="O60" s="47">
        <f>IF($L60="Active",$A60,"")</f>
        <v/>
      </c>
    </row>
    <row r="61">
      <c r="A61" s="36" t="inlineStr">
        <is>
          <t>Henry's | Raley's</t>
        </is>
      </c>
      <c r="B61" s="45">
        <f>IF($A61="","",IFERROR(INDEX('Chain Program'!$B$6:$B$120,MATCH($A61,'Chain Program'!$A$6:$A$120,0)),"Unknown ID"))</f>
        <v/>
      </c>
      <c r="C61" s="45">
        <f>IF($A61="","",IFERROR(INDEX('Chain Program'!$D$6:$D$120,MATCH($A61,'Chain Program'!$A$6:$A$120,0)),"Unknown ID"))</f>
        <v/>
      </c>
      <c r="D61" s="36" t="inlineStr">
        <is>
          <t>All</t>
        </is>
      </c>
      <c r="E61" s="36" t="inlineStr">
        <is>
          <t>TPR</t>
        </is>
      </c>
      <c r="F61" s="36" t="inlineStr">
        <is>
          <t>TPR $5.99</t>
        </is>
      </c>
      <c r="G61" s="37" t="n">
        <v>5.99</v>
      </c>
      <c r="H61" s="37" t="n"/>
      <c r="I61" s="46" t="n">
        <v>45796</v>
      </c>
      <c r="J61" s="46" t="n">
        <v>45906</v>
      </c>
      <c r="K61" s="36" t="inlineStr">
        <is>
          <t>N</t>
        </is>
      </c>
      <c r="L61" s="45">
        <f>IF(OR($A61="",$I61="",$J61=""),"",IF(TODAY()&lt;$I61,"Upcoming",IF(TODAY()&gt;$J61,"Expired","Active")))</f>
        <v/>
      </c>
      <c r="M61" s="45">
        <f>IF($L61="Active",$J61-TODAY(),"")</f>
        <v/>
      </c>
      <c r="N61" s="36" t="inlineStr">
        <is>
          <t>HW Hot Sheet 8/25/25</t>
        </is>
      </c>
      <c r="O61" s="47">
        <f>IF($L61="Active",$A61,"")</f>
        <v/>
      </c>
    </row>
    <row r="62">
      <c r="A62" s="36" t="inlineStr">
        <is>
          <t>Henry's | Raley's</t>
        </is>
      </c>
      <c r="B62" s="45">
        <f>IF($A62="","",IFERROR(INDEX('Chain Program'!$B$6:$B$120,MATCH($A62,'Chain Program'!$A$6:$A$120,0)),"Unknown ID"))</f>
        <v/>
      </c>
      <c r="C62" s="45">
        <f>IF($A62="","",IFERROR(INDEX('Chain Program'!$D$6:$D$120,MATCH($A62,'Chain Program'!$A$6:$A$120,0)),"Unknown ID"))</f>
        <v/>
      </c>
      <c r="D62" s="36" t="inlineStr">
        <is>
          <t>All</t>
        </is>
      </c>
      <c r="E62" s="36" t="inlineStr">
        <is>
          <t>TPR</t>
        </is>
      </c>
      <c r="F62" s="36" t="inlineStr">
        <is>
          <t>TPR $5.99</t>
        </is>
      </c>
      <c r="G62" s="37" t="n">
        <v>5.99</v>
      </c>
      <c r="H62" s="37" t="n"/>
      <c r="I62" s="46" t="n">
        <v>45929</v>
      </c>
      <c r="J62" s="46" t="n">
        <v>46025</v>
      </c>
      <c r="K62" s="36" t="inlineStr">
        <is>
          <t>N</t>
        </is>
      </c>
      <c r="L62" s="45">
        <f>IF(OR($A62="",$I62="",$J62=""),"",IF(TODAY()&lt;$I62,"Upcoming",IF(TODAY()&gt;$J62,"Expired","Active")))</f>
        <v/>
      </c>
      <c r="M62" s="45">
        <f>IF($L62="Active",$J62-TODAY(),"")</f>
        <v/>
      </c>
      <c r="N62" s="36" t="inlineStr">
        <is>
          <t>HW Hot Sheet 8/25/25</t>
        </is>
      </c>
      <c r="O62" s="47">
        <f>IF($L62="Active",$A62,"")</f>
        <v/>
      </c>
    </row>
    <row r="63">
      <c r="A63" s="36" t="inlineStr">
        <is>
          <t>Henry's | Ralphs SoCal (Div. 703)</t>
        </is>
      </c>
      <c r="B63" s="45">
        <f>IF($A63="","",IFERROR(INDEX('Chain Program'!$B$6:$B$120,MATCH($A63,'Chain Program'!$A$6:$A$120,0)),"Unknown ID"))</f>
        <v/>
      </c>
      <c r="C63" s="45">
        <f>IF($A63="","",IFERROR(INDEX('Chain Program'!$D$6:$D$120,MATCH($A63,'Chain Program'!$A$6:$A$120,0)),"Unknown ID"))</f>
        <v/>
      </c>
      <c r="D63" s="36" t="inlineStr">
        <is>
          <t>All</t>
        </is>
      </c>
      <c r="E63" s="36" t="inlineStr">
        <is>
          <t>TPR</t>
        </is>
      </c>
      <c r="F63" s="36" t="inlineStr">
        <is>
          <t>TPR $6.49</t>
        </is>
      </c>
      <c r="G63" s="37" t="n">
        <v>6.49</v>
      </c>
      <c r="H63" s="37" t="n"/>
      <c r="I63" s="46" t="n">
        <v>45945</v>
      </c>
      <c r="J63" s="46" t="n">
        <v>46025</v>
      </c>
      <c r="K63" s="36" t="inlineStr">
        <is>
          <t>N</t>
        </is>
      </c>
      <c r="L63" s="45">
        <f>IF(OR($A63="",$I63="",$J63=""),"",IF(TODAY()&lt;$I63,"Upcoming",IF(TODAY()&gt;$J63,"Expired","Active")))</f>
        <v/>
      </c>
      <c r="M63" s="45">
        <f>IF($L63="Active",$J63-TODAY(),"")</f>
        <v/>
      </c>
      <c r="N63" s="36" t="inlineStr">
        <is>
          <t>HW Hot Sheet 8/25/25</t>
        </is>
      </c>
      <c r="O63" s="47">
        <f>IF($L63="Active",$A63,"")</f>
        <v/>
      </c>
    </row>
    <row r="64">
      <c r="A64" s="36" t="inlineStr">
        <is>
          <t>Henry's | Ridley's Family Markets</t>
        </is>
      </c>
      <c r="B64" s="45">
        <f>IF($A64="","",IFERROR(INDEX('Chain Program'!$B$6:$B$120,MATCH($A64,'Chain Program'!$A$6:$A$120,0)),"Unknown ID"))</f>
        <v/>
      </c>
      <c r="C64" s="45">
        <f>IF($A64="","",IFERROR(INDEX('Chain Program'!$D$6:$D$120,MATCH($A64,'Chain Program'!$A$6:$A$120,0)),"Unknown ID"))</f>
        <v/>
      </c>
      <c r="D64" s="36" t="inlineStr">
        <is>
          <t>All</t>
        </is>
      </c>
      <c r="E64" s="36" t="inlineStr">
        <is>
          <t>TPR</t>
        </is>
      </c>
      <c r="F64" s="36" t="inlineStr">
        <is>
          <t>TPR $5.49</t>
        </is>
      </c>
      <c r="G64" s="37" t="n">
        <v>5.49</v>
      </c>
      <c r="H64" s="37" t="n"/>
      <c r="I64" s="46" t="n">
        <v>45991</v>
      </c>
      <c r="J64" s="46" t="n">
        <v>46025</v>
      </c>
      <c r="K64" s="36" t="inlineStr">
        <is>
          <t>N</t>
        </is>
      </c>
      <c r="L64" s="45">
        <f>IF(OR($A64="",$I64="",$J64=""),"",IF(TODAY()&lt;$I64,"Upcoming",IF(TODAY()&gt;$J64,"Expired","Active")))</f>
        <v/>
      </c>
      <c r="M64" s="45">
        <f>IF($L64="Active",$J64-TODAY(),"")</f>
        <v/>
      </c>
      <c r="N64" s="36" t="inlineStr">
        <is>
          <t>HW Hot Sheet 8/25/25</t>
        </is>
      </c>
      <c r="O64" s="47">
        <f>IF($L64="Active",$A64,"")</f>
        <v/>
      </c>
    </row>
    <row r="65">
      <c r="A65" s="36" t="inlineStr">
        <is>
          <t>Henry's | Rosauers</t>
        </is>
      </c>
      <c r="B65" s="45">
        <f>IF($A65="","",IFERROR(INDEX('Chain Program'!$B$6:$B$120,MATCH($A65,'Chain Program'!$A$6:$A$120,0)),"Unknown ID"))</f>
        <v/>
      </c>
      <c r="C65" s="45">
        <f>IF($A65="","",IFERROR(INDEX('Chain Program'!$D$6:$D$120,MATCH($A65,'Chain Program'!$A$6:$A$120,0)),"Unknown ID"))</f>
        <v/>
      </c>
      <c r="D65" s="36" t="inlineStr">
        <is>
          <t>All</t>
        </is>
      </c>
      <c r="E65" s="36" t="inlineStr">
        <is>
          <t>TPR</t>
        </is>
      </c>
      <c r="F65" s="36" t="inlineStr">
        <is>
          <t>TPR $5.99</t>
        </is>
      </c>
      <c r="G65" s="37" t="n">
        <v>5.99</v>
      </c>
      <c r="H65" s="37" t="n"/>
      <c r="I65" s="46" t="n">
        <v>45796</v>
      </c>
      <c r="J65" s="46" t="n">
        <v>45906</v>
      </c>
      <c r="K65" s="36" t="inlineStr">
        <is>
          <t>N</t>
        </is>
      </c>
      <c r="L65" s="45">
        <f>IF(OR($A65="",$I65="",$J65=""),"",IF(TODAY()&lt;$I65,"Upcoming",IF(TODAY()&gt;$J65,"Expired","Active")))</f>
        <v/>
      </c>
      <c r="M65" s="45">
        <f>IF($L65="Active",$J65-TODAY(),"")</f>
        <v/>
      </c>
      <c r="N65" s="36" t="inlineStr">
        <is>
          <t>HW Hot Sheet 8/25/25</t>
        </is>
      </c>
      <c r="O65" s="47">
        <f>IF($L65="Active",$A65,"")</f>
        <v/>
      </c>
    </row>
    <row r="66">
      <c r="A66" s="36" t="inlineStr">
        <is>
          <t>Henry's | Rosauers</t>
        </is>
      </c>
      <c r="B66" s="45">
        <f>IF($A66="","",IFERROR(INDEX('Chain Program'!$B$6:$B$120,MATCH($A66,'Chain Program'!$A$6:$A$120,0)),"Unknown ID"))</f>
        <v/>
      </c>
      <c r="C66" s="45">
        <f>IF($A66="","",IFERROR(INDEX('Chain Program'!$D$6:$D$120,MATCH($A66,'Chain Program'!$A$6:$A$120,0)),"Unknown ID"))</f>
        <v/>
      </c>
      <c r="D66" s="36" t="inlineStr">
        <is>
          <t>All</t>
        </is>
      </c>
      <c r="E66" s="36" t="inlineStr">
        <is>
          <t>Deep TPR</t>
        </is>
      </c>
      <c r="F66" s="36" t="inlineStr">
        <is>
          <t>Deep TPR $5.29</t>
        </is>
      </c>
      <c r="G66" s="37" t="n">
        <v>5.29</v>
      </c>
      <c r="H66" s="37" t="n"/>
      <c r="I66" s="46" t="n">
        <v>45899</v>
      </c>
      <c r="J66" s="46" t="n">
        <v>45912</v>
      </c>
      <c r="K66" s="36" t="inlineStr">
        <is>
          <t>N</t>
        </is>
      </c>
      <c r="L66" s="45">
        <f>IF(OR($A66="",$I66="",$J66=""),"",IF(TODAY()&lt;$I66,"Upcoming",IF(TODAY()&gt;$J66,"Expired","Active")))</f>
        <v/>
      </c>
      <c r="M66" s="45">
        <f>IF($L66="Active",$J66-TODAY(),"")</f>
        <v/>
      </c>
      <c r="N66" s="36" t="inlineStr">
        <is>
          <t>HW Hot Sheet 8/25/25</t>
        </is>
      </c>
      <c r="O66" s="47">
        <f>IF($L66="Active",$A66,"")</f>
        <v/>
      </c>
    </row>
    <row r="67">
      <c r="A67" s="36" t="inlineStr">
        <is>
          <t>Henry's | Rosauers</t>
        </is>
      </c>
      <c r="B67" s="45">
        <f>IF($A67="","",IFERROR(INDEX('Chain Program'!$B$6:$B$120,MATCH($A67,'Chain Program'!$A$6:$A$120,0)),"Unknown ID"))</f>
        <v/>
      </c>
      <c r="C67" s="45">
        <f>IF($A67="","",IFERROR(INDEX('Chain Program'!$D$6:$D$120,MATCH($A67,'Chain Program'!$A$6:$A$120,0)),"Unknown ID"))</f>
        <v/>
      </c>
      <c r="D67" s="36" t="inlineStr">
        <is>
          <t>All</t>
        </is>
      </c>
      <c r="E67" s="36" t="inlineStr">
        <is>
          <t>TPR</t>
        </is>
      </c>
      <c r="F67" s="36" t="inlineStr">
        <is>
          <t>TPR $5.99</t>
        </is>
      </c>
      <c r="G67" s="37" t="n">
        <v>5.99</v>
      </c>
      <c r="H67" s="37" t="n"/>
      <c r="I67" s="46" t="n">
        <v>45929</v>
      </c>
      <c r="J67" s="46" t="n">
        <v>46025</v>
      </c>
      <c r="K67" s="36" t="inlineStr">
        <is>
          <t>N</t>
        </is>
      </c>
      <c r="L67" s="45">
        <f>IF(OR($A67="",$I67="",$J67=""),"",IF(TODAY()&lt;$I67,"Upcoming",IF(TODAY()&gt;$J67,"Expired","Active")))</f>
        <v/>
      </c>
      <c r="M67" s="45">
        <f>IF($L67="Active",$J67-TODAY(),"")</f>
        <v/>
      </c>
      <c r="N67" s="36" t="inlineStr">
        <is>
          <t>HW Hot Sheet 8/25/25</t>
        </is>
      </c>
      <c r="O67" s="47">
        <f>IF($L67="Active",$A67,"")</f>
        <v/>
      </c>
    </row>
    <row r="68">
      <c r="A68" s="36" t="inlineStr">
        <is>
          <t>Henry's | SFWY Portland Div. #19</t>
        </is>
      </c>
      <c r="B68" s="45">
        <f>IF($A68="","",IFERROR(INDEX('Chain Program'!$B$6:$B$120,MATCH($A68,'Chain Program'!$A$6:$A$120,0)),"Unknown ID"))</f>
        <v/>
      </c>
      <c r="C68" s="45">
        <f>IF($A68="","",IFERROR(INDEX('Chain Program'!$D$6:$D$120,MATCH($A68,'Chain Program'!$A$6:$A$120,0)),"Unknown ID"))</f>
        <v/>
      </c>
      <c r="D68" s="36" t="inlineStr">
        <is>
          <t>All</t>
        </is>
      </c>
      <c r="E68" s="36" t="inlineStr">
        <is>
          <t>TPR</t>
        </is>
      </c>
      <c r="F68" s="36" t="inlineStr">
        <is>
          <t>TPR $5.99</t>
        </is>
      </c>
      <c r="G68" s="37" t="n">
        <v>5.99</v>
      </c>
      <c r="H68" s="37" t="n"/>
      <c r="I68" s="46" t="n">
        <v>45809</v>
      </c>
      <c r="J68" s="46" t="n">
        <v>45906</v>
      </c>
      <c r="K68" s="36" t="inlineStr">
        <is>
          <t>N</t>
        </is>
      </c>
      <c r="L68" s="45">
        <f>IF(OR($A68="",$I68="",$J68=""),"",IF(TODAY()&lt;$I68,"Upcoming",IF(TODAY()&gt;$J68,"Expired","Active")))</f>
        <v/>
      </c>
      <c r="M68" s="45">
        <f>IF($L68="Active",$J68-TODAY(),"")</f>
        <v/>
      </c>
      <c r="N68" s="36" t="inlineStr">
        <is>
          <t>HW Hot Sheet 8/25/25</t>
        </is>
      </c>
      <c r="O68" s="47">
        <f>IF($L68="Active",$A68,"")</f>
        <v/>
      </c>
    </row>
    <row r="69">
      <c r="A69" s="36" t="inlineStr">
        <is>
          <t>Henry's | SFWY Portland Div. #19</t>
        </is>
      </c>
      <c r="B69" s="45">
        <f>IF($A69="","",IFERROR(INDEX('Chain Program'!$B$6:$B$120,MATCH($A69,'Chain Program'!$A$6:$A$120,0)),"Unknown ID"))</f>
        <v/>
      </c>
      <c r="C69" s="45">
        <f>IF($A69="","",IFERROR(INDEX('Chain Program'!$D$6:$D$120,MATCH($A69,'Chain Program'!$A$6:$A$120,0)),"Unknown ID"))</f>
        <v/>
      </c>
      <c r="D69" s="36" t="inlineStr">
        <is>
          <t>All</t>
        </is>
      </c>
      <c r="E69" s="36" t="inlineStr">
        <is>
          <t>TPR</t>
        </is>
      </c>
      <c r="F69" s="36" t="inlineStr">
        <is>
          <t>TPR $5.99</t>
        </is>
      </c>
      <c r="G69" s="37" t="n">
        <v>5.99</v>
      </c>
      <c r="H69" s="37" t="n"/>
      <c r="I69" s="46" t="n">
        <v>45935</v>
      </c>
      <c r="J69" s="46" t="n">
        <v>46025</v>
      </c>
      <c r="K69" s="36" t="inlineStr">
        <is>
          <t>N</t>
        </is>
      </c>
      <c r="L69" s="45">
        <f>IF(OR($A69="",$I69="",$J69=""),"",IF(TODAY()&lt;$I69,"Upcoming",IF(TODAY()&gt;$J69,"Expired","Active")))</f>
        <v/>
      </c>
      <c r="M69" s="45">
        <f>IF($L69="Active",$J69-TODAY(),"")</f>
        <v/>
      </c>
      <c r="N69" s="36" t="inlineStr">
        <is>
          <t>HW Hot Sheet 8/25/25</t>
        </is>
      </c>
      <c r="O69" s="47">
        <f>IF($L69="Active",$A69,"")</f>
        <v/>
      </c>
    </row>
    <row r="70">
      <c r="A70" s="36" t="inlineStr">
        <is>
          <t>Henry's | Save Mart / Lucky</t>
        </is>
      </c>
      <c r="B70" s="45">
        <f>IF($A70="","",IFERROR(INDEX('Chain Program'!$B$6:$B$120,MATCH($A70,'Chain Program'!$A$6:$A$120,0)),"Unknown ID"))</f>
        <v/>
      </c>
      <c r="C70" s="45">
        <f>IF($A70="","",IFERROR(INDEX('Chain Program'!$D$6:$D$120,MATCH($A70,'Chain Program'!$A$6:$A$120,0)),"Unknown ID"))</f>
        <v/>
      </c>
      <c r="D70" s="36" t="inlineStr">
        <is>
          <t>All</t>
        </is>
      </c>
      <c r="E70" s="36" t="inlineStr">
        <is>
          <t>TPR</t>
        </is>
      </c>
      <c r="F70" s="36" t="inlineStr">
        <is>
          <t>TPR $5.99</t>
        </is>
      </c>
      <c r="G70" s="37" t="n">
        <v>5.99</v>
      </c>
      <c r="H70" s="37" t="n"/>
      <c r="I70" s="46" t="n">
        <v>45809</v>
      </c>
      <c r="J70" s="46" t="n">
        <v>45906</v>
      </c>
      <c r="K70" s="36" t="inlineStr">
        <is>
          <t>N</t>
        </is>
      </c>
      <c r="L70" s="45">
        <f>IF(OR($A70="",$I70="",$J70=""),"",IF(TODAY()&lt;$I70,"Upcoming",IF(TODAY()&gt;$J70,"Expired","Active")))</f>
        <v/>
      </c>
      <c r="M70" s="45">
        <f>IF($L70="Active",$J70-TODAY(),"")</f>
        <v/>
      </c>
      <c r="N70" s="36" t="inlineStr">
        <is>
          <t>HW Hot Sheet 8/25/25</t>
        </is>
      </c>
      <c r="O70" s="47">
        <f>IF($L70="Active",$A70,"")</f>
        <v/>
      </c>
    </row>
    <row r="71">
      <c r="A71" s="36" t="inlineStr">
        <is>
          <t>Henry's | Save Mart / Lucky</t>
        </is>
      </c>
      <c r="B71" s="45">
        <f>IF($A71="","",IFERROR(INDEX('Chain Program'!$B$6:$B$120,MATCH($A71,'Chain Program'!$A$6:$A$120,0)),"Unknown ID"))</f>
        <v/>
      </c>
      <c r="C71" s="45">
        <f>IF($A71="","",IFERROR(INDEX('Chain Program'!$D$6:$D$120,MATCH($A71,'Chain Program'!$A$6:$A$120,0)),"Unknown ID"))</f>
        <v/>
      </c>
      <c r="D71" s="36" t="inlineStr">
        <is>
          <t>All</t>
        </is>
      </c>
      <c r="E71" s="36" t="inlineStr">
        <is>
          <t>TPR</t>
        </is>
      </c>
      <c r="F71" s="36" t="inlineStr">
        <is>
          <t>TPR $5.99</t>
        </is>
      </c>
      <c r="G71" s="37" t="n">
        <v>5.99</v>
      </c>
      <c r="H71" s="37" t="n"/>
      <c r="I71" s="46" t="n">
        <v>45935</v>
      </c>
      <c r="J71" s="46" t="n">
        <v>46025</v>
      </c>
      <c r="K71" s="36" t="inlineStr">
        <is>
          <t>N</t>
        </is>
      </c>
      <c r="L71" s="45">
        <f>IF(OR($A71="",$I71="",$J71=""),"",IF(TODAY()&lt;$I71,"Upcoming",IF(TODAY()&gt;$J71,"Expired","Active")))</f>
        <v/>
      </c>
      <c r="M71" s="45">
        <f>IF($L71="Active",$J71-TODAY(),"")</f>
        <v/>
      </c>
      <c r="N71" s="36" t="inlineStr">
        <is>
          <t>HW Hot Sheet 8/25/25</t>
        </is>
      </c>
      <c r="O71" s="47">
        <f>IF($L71="Active",$A71,"")</f>
        <v/>
      </c>
    </row>
    <row r="72">
      <c r="A72" s="36" t="inlineStr">
        <is>
          <t>Henry's | Seattle Div. #27</t>
        </is>
      </c>
      <c r="B72" s="45">
        <f>IF($A72="","",IFERROR(INDEX('Chain Program'!$B$6:$B$120,MATCH($A72,'Chain Program'!$A$6:$A$120,0)),"Unknown ID"))</f>
        <v/>
      </c>
      <c r="C72" s="45">
        <f>IF($A72="","",IFERROR(INDEX('Chain Program'!$D$6:$D$120,MATCH($A72,'Chain Program'!$A$6:$A$120,0)),"Unknown ID"))</f>
        <v/>
      </c>
      <c r="D72" s="36" t="inlineStr">
        <is>
          <t>All</t>
        </is>
      </c>
      <c r="E72" s="36" t="inlineStr">
        <is>
          <t>TPR</t>
        </is>
      </c>
      <c r="F72" s="36" t="inlineStr">
        <is>
          <t>TPR $5.99</t>
        </is>
      </c>
      <c r="G72" s="37" t="n">
        <v>5.99</v>
      </c>
      <c r="H72" s="37" t="n"/>
      <c r="I72" s="46" t="n">
        <v>45809</v>
      </c>
      <c r="J72" s="46" t="n">
        <v>45906</v>
      </c>
      <c r="K72" s="36" t="inlineStr">
        <is>
          <t>N</t>
        </is>
      </c>
      <c r="L72" s="45">
        <f>IF(OR($A72="",$I72="",$J72=""),"",IF(TODAY()&lt;$I72,"Upcoming",IF(TODAY()&gt;$J72,"Expired","Active")))</f>
        <v/>
      </c>
      <c r="M72" s="45">
        <f>IF($L72="Active",$J72-TODAY(),"")</f>
        <v/>
      </c>
      <c r="N72" s="36" t="inlineStr">
        <is>
          <t>HW Hot Sheet 8/25/25</t>
        </is>
      </c>
      <c r="O72" s="47">
        <f>IF($L72="Active",$A72,"")</f>
        <v/>
      </c>
    </row>
    <row r="73">
      <c r="A73" s="36" t="inlineStr">
        <is>
          <t>Henry's | Seattle Div. #27</t>
        </is>
      </c>
      <c r="B73" s="45">
        <f>IF($A73="","",IFERROR(INDEX('Chain Program'!$B$6:$B$120,MATCH($A73,'Chain Program'!$A$6:$A$120,0)),"Unknown ID"))</f>
        <v/>
      </c>
      <c r="C73" s="45">
        <f>IF($A73="","",IFERROR(INDEX('Chain Program'!$D$6:$D$120,MATCH($A73,'Chain Program'!$A$6:$A$120,0)),"Unknown ID"))</f>
        <v/>
      </c>
      <c r="D73" s="36" t="inlineStr">
        <is>
          <t>All</t>
        </is>
      </c>
      <c r="E73" s="36" t="inlineStr">
        <is>
          <t>TPR</t>
        </is>
      </c>
      <c r="F73" s="36" t="inlineStr">
        <is>
          <t>TPR $5.99</t>
        </is>
      </c>
      <c r="G73" s="37" t="n">
        <v>5.99</v>
      </c>
      <c r="H73" s="37" t="n"/>
      <c r="I73" s="46" t="n">
        <v>45935</v>
      </c>
      <c r="J73" s="46" t="n">
        <v>46025</v>
      </c>
      <c r="K73" s="36" t="inlineStr">
        <is>
          <t>N</t>
        </is>
      </c>
      <c r="L73" s="45">
        <f>IF(OR($A73="",$I73="",$J73=""),"",IF(TODAY()&lt;$I73,"Upcoming",IF(TODAY()&gt;$J73,"Expired","Active")))</f>
        <v/>
      </c>
      <c r="M73" s="45">
        <f>IF($L73="Active",$J73-TODAY(),"")</f>
        <v/>
      </c>
      <c r="N73" s="36" t="inlineStr">
        <is>
          <t>HW Hot Sheet 8/25/25</t>
        </is>
      </c>
      <c r="O73" s="47">
        <f>IF($L73="Active",$A73,"")</f>
        <v/>
      </c>
    </row>
    <row r="74">
      <c r="A74" s="36" t="inlineStr">
        <is>
          <t>Henry's | Smith's</t>
        </is>
      </c>
      <c r="B74" s="45">
        <f>IF($A74="","",IFERROR(INDEX('Chain Program'!$B$6:$B$120,MATCH($A74,'Chain Program'!$A$6:$A$120,0)),"Unknown ID"))</f>
        <v/>
      </c>
      <c r="C74" s="45">
        <f>IF($A74="","",IFERROR(INDEX('Chain Program'!$D$6:$D$120,MATCH($A74,'Chain Program'!$A$6:$A$120,0)),"Unknown ID"))</f>
        <v/>
      </c>
      <c r="D74" s="36" t="inlineStr">
        <is>
          <t>All</t>
        </is>
      </c>
      <c r="E74" s="36" t="inlineStr">
        <is>
          <t>TPR</t>
        </is>
      </c>
      <c r="F74" s="36" t="inlineStr">
        <is>
          <t>TPR $6.49</t>
        </is>
      </c>
      <c r="G74" s="37" t="n">
        <v>6.49</v>
      </c>
      <c r="H74" s="37" t="n"/>
      <c r="I74" s="46" t="n">
        <v>45945</v>
      </c>
      <c r="J74" s="46" t="n">
        <v>46025</v>
      </c>
      <c r="K74" s="36" t="inlineStr">
        <is>
          <t>N</t>
        </is>
      </c>
      <c r="L74" s="45">
        <f>IF(OR($A74="",$I74="",$J74=""),"",IF(TODAY()&lt;$I74,"Upcoming",IF(TODAY()&gt;$J74,"Expired","Active")))</f>
        <v/>
      </c>
      <c r="M74" s="45">
        <f>IF($L74="Active",$J74-TODAY(),"")</f>
        <v/>
      </c>
      <c r="N74" s="36" t="inlineStr">
        <is>
          <t>HW Hot Sheet 8/25/25</t>
        </is>
      </c>
      <c r="O74" s="47">
        <f>IF($L74="Active",$A74,"")</f>
        <v/>
      </c>
    </row>
    <row r="75">
      <c r="A75" s="36" t="inlineStr">
        <is>
          <t>Henry's | SoCal Div. #29</t>
        </is>
      </c>
      <c r="B75" s="45">
        <f>IF($A75="","",IFERROR(INDEX('Chain Program'!$B$6:$B$120,MATCH($A75,'Chain Program'!$A$6:$A$120,0)),"Unknown ID"))</f>
        <v/>
      </c>
      <c r="C75" s="45">
        <f>IF($A75="","",IFERROR(INDEX('Chain Program'!$D$6:$D$120,MATCH($A75,'Chain Program'!$A$6:$A$120,0)),"Unknown ID"))</f>
        <v/>
      </c>
      <c r="D75" s="36" t="inlineStr">
        <is>
          <t>All</t>
        </is>
      </c>
      <c r="E75" s="36" t="inlineStr">
        <is>
          <t>TPR</t>
        </is>
      </c>
      <c r="F75" s="36" t="inlineStr">
        <is>
          <t>TPR $5.99</t>
        </is>
      </c>
      <c r="G75" s="37" t="n">
        <v>5.99</v>
      </c>
      <c r="H75" s="37" t="n"/>
      <c r="I75" s="46" t="n">
        <v>45809</v>
      </c>
      <c r="J75" s="46" t="n">
        <v>45906</v>
      </c>
      <c r="K75" s="36" t="inlineStr">
        <is>
          <t>N</t>
        </is>
      </c>
      <c r="L75" s="45">
        <f>IF(OR($A75="",$I75="",$J75=""),"",IF(TODAY()&lt;$I75,"Upcoming",IF(TODAY()&gt;$J75,"Expired","Active")))</f>
        <v/>
      </c>
      <c r="M75" s="45">
        <f>IF($L75="Active",$J75-TODAY(),"")</f>
        <v/>
      </c>
      <c r="N75" s="36" t="inlineStr">
        <is>
          <t>HW Hot Sheet 8/25/25</t>
        </is>
      </c>
      <c r="O75" s="47">
        <f>IF($L75="Active",$A75,"")</f>
        <v/>
      </c>
    </row>
    <row r="76">
      <c r="A76" s="36" t="inlineStr">
        <is>
          <t>Henry's | SoCal Div. #29</t>
        </is>
      </c>
      <c r="B76" s="45">
        <f>IF($A76="","",IFERROR(INDEX('Chain Program'!$B$6:$B$120,MATCH($A76,'Chain Program'!$A$6:$A$120,0)),"Unknown ID"))</f>
        <v/>
      </c>
      <c r="C76" s="45">
        <f>IF($A76="","",IFERROR(INDEX('Chain Program'!$D$6:$D$120,MATCH($A76,'Chain Program'!$A$6:$A$120,0)),"Unknown ID"))</f>
        <v/>
      </c>
      <c r="D76" s="36" t="inlineStr">
        <is>
          <t>All</t>
        </is>
      </c>
      <c r="E76" s="36" t="inlineStr">
        <is>
          <t>TPR</t>
        </is>
      </c>
      <c r="F76" s="36" t="inlineStr">
        <is>
          <t>TPR $5.99</t>
        </is>
      </c>
      <c r="G76" s="37" t="n">
        <v>5.99</v>
      </c>
      <c r="H76" s="37" t="n"/>
      <c r="I76" s="46" t="n">
        <v>45935</v>
      </c>
      <c r="J76" s="46" t="n">
        <v>46025</v>
      </c>
      <c r="K76" s="36" t="inlineStr">
        <is>
          <t>N</t>
        </is>
      </c>
      <c r="L76" s="45">
        <f>IF(OR($A76="",$I76="",$J76=""),"",IF(TODAY()&lt;$I76,"Upcoming",IF(TODAY()&gt;$J76,"Expired","Active")))</f>
        <v/>
      </c>
      <c r="M76" s="45">
        <f>IF($L76="Active",$J76-TODAY(),"")</f>
        <v/>
      </c>
      <c r="N76" s="36" t="inlineStr">
        <is>
          <t>HW Hot Sheet 8/25/25</t>
        </is>
      </c>
      <c r="O76" s="47">
        <f>IF($L76="Active",$A76,"")</f>
        <v/>
      </c>
    </row>
    <row r="77">
      <c r="A77" s="36" t="inlineStr">
        <is>
          <t>Henry's | Southwest Division (SWD) #17</t>
        </is>
      </c>
      <c r="B77" s="45">
        <f>IF($A77="","",IFERROR(INDEX('Chain Program'!$B$6:$B$120,MATCH($A77,'Chain Program'!$A$6:$A$120,0)),"Unknown ID"))</f>
        <v/>
      </c>
      <c r="C77" s="45">
        <f>IF($A77="","",IFERROR(INDEX('Chain Program'!$D$6:$D$120,MATCH($A77,'Chain Program'!$A$6:$A$120,0)),"Unknown ID"))</f>
        <v/>
      </c>
      <c r="D77" s="36" t="inlineStr">
        <is>
          <t>All</t>
        </is>
      </c>
      <c r="E77" s="36" t="inlineStr">
        <is>
          <t>TPR</t>
        </is>
      </c>
      <c r="F77" s="36" t="inlineStr">
        <is>
          <t>TPR $5.99</t>
        </is>
      </c>
      <c r="G77" s="37" t="n">
        <v>5.99</v>
      </c>
      <c r="H77" s="37" t="n"/>
      <c r="I77" s="46" t="n">
        <v>45809</v>
      </c>
      <c r="J77" s="46" t="n">
        <v>45906</v>
      </c>
      <c r="K77" s="36" t="inlineStr">
        <is>
          <t>N</t>
        </is>
      </c>
      <c r="L77" s="45">
        <f>IF(OR($A77="",$I77="",$J77=""),"",IF(TODAY()&lt;$I77,"Upcoming",IF(TODAY()&gt;$J77,"Expired","Active")))</f>
        <v/>
      </c>
      <c r="M77" s="45">
        <f>IF($L77="Active",$J77-TODAY(),"")</f>
        <v/>
      </c>
      <c r="N77" s="36" t="inlineStr">
        <is>
          <t>HW Hot Sheet 8/25/25</t>
        </is>
      </c>
      <c r="O77" s="47">
        <f>IF($L77="Active",$A77,"")</f>
        <v/>
      </c>
    </row>
    <row r="78">
      <c r="A78" s="36" t="inlineStr">
        <is>
          <t>Henry's | Southwest Division (SWD) #17</t>
        </is>
      </c>
      <c r="B78" s="45">
        <f>IF($A78="","",IFERROR(INDEX('Chain Program'!$B$6:$B$120,MATCH($A78,'Chain Program'!$A$6:$A$120,0)),"Unknown ID"))</f>
        <v/>
      </c>
      <c r="C78" s="45">
        <f>IF($A78="","",IFERROR(INDEX('Chain Program'!$D$6:$D$120,MATCH($A78,'Chain Program'!$A$6:$A$120,0)),"Unknown ID"))</f>
        <v/>
      </c>
      <c r="D78" s="36" t="inlineStr">
        <is>
          <t>All</t>
        </is>
      </c>
      <c r="E78" s="36" t="inlineStr">
        <is>
          <t>TPR</t>
        </is>
      </c>
      <c r="F78" s="36" t="inlineStr">
        <is>
          <t>TPR $5.99</t>
        </is>
      </c>
      <c r="G78" s="37" t="n">
        <v>5.99</v>
      </c>
      <c r="H78" s="37" t="n"/>
      <c r="I78" s="46" t="n">
        <v>45935</v>
      </c>
      <c r="J78" s="46" t="n">
        <v>46025</v>
      </c>
      <c r="K78" s="36" t="inlineStr">
        <is>
          <t>N</t>
        </is>
      </c>
      <c r="L78" s="45">
        <f>IF(OR($A78="",$I78="",$J78=""),"",IF(TODAY()&lt;$I78,"Upcoming",IF(TODAY()&gt;$J78,"Expired","Active")))</f>
        <v/>
      </c>
      <c r="M78" s="45">
        <f>IF($L78="Active",$J78-TODAY(),"")</f>
        <v/>
      </c>
      <c r="N78" s="36" t="inlineStr">
        <is>
          <t>HW Hot Sheet 8/25/25</t>
        </is>
      </c>
      <c r="O78" s="47">
        <f>IF($L78="Active",$A78,"")</f>
        <v/>
      </c>
    </row>
    <row r="79">
      <c r="A79" s="36" t="inlineStr">
        <is>
          <t>Henry's | Stater Bros.</t>
        </is>
      </c>
      <c r="B79" s="45">
        <f>IF($A79="","",IFERROR(INDEX('Chain Program'!$B$6:$B$120,MATCH($A79,'Chain Program'!$A$6:$A$120,0)),"Unknown ID"))</f>
        <v/>
      </c>
      <c r="C79" s="45">
        <f>IF($A79="","",IFERROR(INDEX('Chain Program'!$D$6:$D$120,MATCH($A79,'Chain Program'!$A$6:$A$120,0)),"Unknown ID"))</f>
        <v/>
      </c>
      <c r="D79" s="36" t="inlineStr">
        <is>
          <t>All</t>
        </is>
      </c>
      <c r="E79" s="36" t="inlineStr">
        <is>
          <t>TPR</t>
        </is>
      </c>
      <c r="F79" s="36" t="inlineStr">
        <is>
          <t>TPR $5.99</t>
        </is>
      </c>
      <c r="G79" s="37" t="n">
        <v>5.99</v>
      </c>
      <c r="H79" s="37" t="n"/>
      <c r="I79" s="46" t="n">
        <v>45929</v>
      </c>
      <c r="J79" s="46" t="n">
        <v>46025</v>
      </c>
      <c r="K79" s="36" t="inlineStr">
        <is>
          <t>N</t>
        </is>
      </c>
      <c r="L79" s="45">
        <f>IF(OR($A79="",$I79="",$J79=""),"",IF(TODAY()&lt;$I79,"Upcoming",IF(TODAY()&gt;$J79,"Expired","Active")))</f>
        <v/>
      </c>
      <c r="M79" s="45">
        <f>IF($L79="Active",$J79-TODAY(),"")</f>
        <v/>
      </c>
      <c r="N79" s="36" t="inlineStr">
        <is>
          <t>HW Hot Sheet 8/25/25</t>
        </is>
      </c>
      <c r="O79" s="47">
        <f>IF($L79="Active",$A79,"")</f>
        <v/>
      </c>
    </row>
    <row r="80">
      <c r="A80" s="36" t="inlineStr">
        <is>
          <t>Henry's | Town &amp; Country Markets</t>
        </is>
      </c>
      <c r="B80" s="45">
        <f>IF($A80="","",IFERROR(INDEX('Chain Program'!$B$6:$B$120,MATCH($A80,'Chain Program'!$A$6:$A$120,0)),"Unknown ID"))</f>
        <v/>
      </c>
      <c r="C80" s="45">
        <f>IF($A80="","",IFERROR(INDEX('Chain Program'!$D$6:$D$120,MATCH($A80,'Chain Program'!$A$6:$A$120,0)),"Unknown ID"))</f>
        <v/>
      </c>
      <c r="D80" s="36" t="inlineStr">
        <is>
          <t>All</t>
        </is>
      </c>
      <c r="E80" s="36" t="inlineStr">
        <is>
          <t>TPR</t>
        </is>
      </c>
      <c r="F80" s="36" t="inlineStr">
        <is>
          <t>TPR $6.49</t>
        </is>
      </c>
      <c r="G80" s="37" t="n">
        <v>6.49</v>
      </c>
      <c r="H80" s="37" t="n"/>
      <c r="I80" s="46" t="n">
        <v>45928</v>
      </c>
      <c r="J80" s="46" t="n">
        <v>46025</v>
      </c>
      <c r="K80" s="36" t="inlineStr">
        <is>
          <t>N</t>
        </is>
      </c>
      <c r="L80" s="45">
        <f>IF(OR($A80="",$I80="",$J80=""),"",IF(TODAY()&lt;$I80,"Upcoming",IF(TODAY()&gt;$J80,"Expired","Active")))</f>
        <v/>
      </c>
      <c r="M80" s="45">
        <f>IF($L80="Active",$J80-TODAY(),"")</f>
        <v/>
      </c>
      <c r="N80" s="36" t="inlineStr">
        <is>
          <t>HW Hot Sheet 8/25/25</t>
        </is>
      </c>
      <c r="O80" s="47">
        <f>IF($L80="Active",$A80,"")</f>
        <v/>
      </c>
    </row>
    <row r="81">
      <c r="A81" s="36" t="inlineStr">
        <is>
          <t>Henry's | WinCo Foods</t>
        </is>
      </c>
      <c r="B81" s="45">
        <f>IF($A81="","",IFERROR(INDEX('Chain Program'!$B$6:$B$120,MATCH($A81,'Chain Program'!$A$6:$A$120,0)),"Unknown ID"))</f>
        <v/>
      </c>
      <c r="C81" s="45">
        <f>IF($A81="","",IFERROR(INDEX('Chain Program'!$D$6:$D$120,MATCH($A81,'Chain Program'!$A$6:$A$120,0)),"Unknown ID"))</f>
        <v/>
      </c>
      <c r="D81" s="36" t="inlineStr">
        <is>
          <t>All</t>
        </is>
      </c>
      <c r="E81" s="36" t="inlineStr">
        <is>
          <t>TPR</t>
        </is>
      </c>
      <c r="F81" s="36" t="inlineStr">
        <is>
          <t>TPR $5.88</t>
        </is>
      </c>
      <c r="G81" s="37" t="n">
        <v>5.88</v>
      </c>
      <c r="H81" s="37" t="n"/>
      <c r="I81" s="46" t="n">
        <v>45803</v>
      </c>
      <c r="J81" s="46" t="n">
        <v>45902</v>
      </c>
      <c r="K81" s="36" t="inlineStr">
        <is>
          <t>N</t>
        </is>
      </c>
      <c r="L81" s="45">
        <f>IF(OR($A81="",$I81="",$J81=""),"",IF(TODAY()&lt;$I81,"Upcoming",IF(TODAY()&gt;$J81,"Expired","Active")))</f>
        <v/>
      </c>
      <c r="M81" s="45">
        <f>IF($L81="Active",$J81-TODAY(),"")</f>
        <v/>
      </c>
      <c r="N81" s="36" t="inlineStr">
        <is>
          <t>HW Hot Sheet 8/25/25</t>
        </is>
      </c>
      <c r="O81" s="47">
        <f>IF($L81="Active",$A81,"")</f>
        <v/>
      </c>
    </row>
    <row r="82">
      <c r="A82" s="36" t="inlineStr">
        <is>
          <t>Henry's | WinCo Foods</t>
        </is>
      </c>
      <c r="B82" s="45">
        <f>IF($A82="","",IFERROR(INDEX('Chain Program'!$B$6:$B$120,MATCH($A82,'Chain Program'!$A$6:$A$120,0)),"Unknown ID"))</f>
        <v/>
      </c>
      <c r="C82" s="45">
        <f>IF($A82="","",IFERROR(INDEX('Chain Program'!$D$6:$D$120,MATCH($A82,'Chain Program'!$A$6:$A$120,0)),"Unknown ID"))</f>
        <v/>
      </c>
      <c r="D82" s="36" t="inlineStr">
        <is>
          <t>All</t>
        </is>
      </c>
      <c r="E82" s="36" t="inlineStr">
        <is>
          <t>TPR</t>
        </is>
      </c>
      <c r="F82" s="36" t="inlineStr">
        <is>
          <t>TPR $5.88</t>
        </is>
      </c>
      <c r="G82" s="37" t="n">
        <v>5.88</v>
      </c>
      <c r="H82" s="37" t="n"/>
      <c r="I82" s="46" t="n">
        <v>45929</v>
      </c>
      <c r="J82" s="46" t="n">
        <v>46025</v>
      </c>
      <c r="K82" s="36" t="inlineStr">
        <is>
          <t>N</t>
        </is>
      </c>
      <c r="L82" s="45">
        <f>IF(OR($A82="",$I82="",$J82=""),"",IF(TODAY()&lt;$I82,"Upcoming",IF(TODAY()&gt;$J82,"Expired","Active")))</f>
        <v/>
      </c>
      <c r="M82" s="45">
        <f>IF($L82="Active",$J82-TODAY(),"")</f>
        <v/>
      </c>
      <c r="N82" s="36" t="inlineStr">
        <is>
          <t>HW Hot Sheet 8/25/25</t>
        </is>
      </c>
      <c r="O82" s="47">
        <f>IF($L82="Active",$A82,"")</f>
        <v/>
      </c>
    </row>
    <row r="83">
      <c r="A83" s="36" t="inlineStr">
        <is>
          <t>Henry's | Yoke's Fresh Market</t>
        </is>
      </c>
      <c r="B83" s="45">
        <f>IF($A83="","",IFERROR(INDEX('Chain Program'!$B$6:$B$120,MATCH($A83,'Chain Program'!$A$6:$A$120,0)),"Unknown ID"))</f>
        <v/>
      </c>
      <c r="C83" s="45">
        <f>IF($A83="","",IFERROR(INDEX('Chain Program'!$D$6:$D$120,MATCH($A83,'Chain Program'!$A$6:$A$120,0)),"Unknown ID"))</f>
        <v/>
      </c>
      <c r="D83" s="36" t="inlineStr">
        <is>
          <t>All</t>
        </is>
      </c>
      <c r="E83" s="36" t="inlineStr">
        <is>
          <t>TPR</t>
        </is>
      </c>
      <c r="F83" s="36" t="inlineStr">
        <is>
          <t>TPR $5.99</t>
        </is>
      </c>
      <c r="G83" s="37" t="n">
        <v>5.99</v>
      </c>
      <c r="H83" s="37" t="n"/>
      <c r="I83" s="46" t="n">
        <v>45796</v>
      </c>
      <c r="J83" s="46" t="n">
        <v>45906</v>
      </c>
      <c r="K83" s="36" t="inlineStr">
        <is>
          <t>N</t>
        </is>
      </c>
      <c r="L83" s="45">
        <f>IF(OR($A83="",$I83="",$J83=""),"",IF(TODAY()&lt;$I83,"Upcoming",IF(TODAY()&gt;$J83,"Expired","Active")))</f>
        <v/>
      </c>
      <c r="M83" s="45">
        <f>IF($L83="Active",$J83-TODAY(),"")</f>
        <v/>
      </c>
      <c r="N83" s="36" t="inlineStr">
        <is>
          <t>HW Hot Sheet 8/25/25</t>
        </is>
      </c>
      <c r="O83" s="47">
        <f>IF($L83="Active",$A83,"")</f>
        <v/>
      </c>
    </row>
    <row r="84">
      <c r="A84" s="36" t="inlineStr">
        <is>
          <t>Henry's | Yoke's Fresh Market</t>
        </is>
      </c>
      <c r="B84" s="45">
        <f>IF($A84="","",IFERROR(INDEX('Chain Program'!$B$6:$B$120,MATCH($A84,'Chain Program'!$A$6:$A$120,0)),"Unknown ID"))</f>
        <v/>
      </c>
      <c r="C84" s="45">
        <f>IF($A84="","",IFERROR(INDEX('Chain Program'!$D$6:$D$120,MATCH($A84,'Chain Program'!$A$6:$A$120,0)),"Unknown ID"))</f>
        <v/>
      </c>
      <c r="D84" s="36" t="inlineStr">
        <is>
          <t>All</t>
        </is>
      </c>
      <c r="E84" s="36" t="inlineStr">
        <is>
          <t>Deep TPR</t>
        </is>
      </c>
      <c r="F84" s="36" t="inlineStr">
        <is>
          <t>Deep TPR $5.29</t>
        </is>
      </c>
      <c r="G84" s="37" t="n">
        <v>5.29</v>
      </c>
      <c r="H84" s="37" t="n"/>
      <c r="I84" s="46" t="n">
        <v>45873</v>
      </c>
      <c r="J84" s="46" t="n">
        <v>45881</v>
      </c>
      <c r="K84" s="36" t="inlineStr">
        <is>
          <t>N</t>
        </is>
      </c>
      <c r="L84" s="45">
        <f>IF(OR($A84="",$I84="",$J84=""),"",IF(TODAY()&lt;$I84,"Upcoming",IF(TODAY()&gt;$J84,"Expired","Active")))</f>
        <v/>
      </c>
      <c r="M84" s="45">
        <f>IF($L84="Active",$J84-TODAY(),"")</f>
        <v/>
      </c>
      <c r="N84" s="36" t="inlineStr">
        <is>
          <t>HW Hot Sheet 8/25/25</t>
        </is>
      </c>
      <c r="O84" s="47">
        <f>IF($L84="Active",$A84,"")</f>
        <v/>
      </c>
    </row>
    <row r="85">
      <c r="A85" s="36" t="inlineStr">
        <is>
          <t>Henry's | Yoke's Fresh Market</t>
        </is>
      </c>
      <c r="B85" s="45">
        <f>IF($A85="","",IFERROR(INDEX('Chain Program'!$B$6:$B$120,MATCH($A85,'Chain Program'!$A$6:$A$120,0)),"Unknown ID"))</f>
        <v/>
      </c>
      <c r="C85" s="45">
        <f>IF($A85="","",IFERROR(INDEX('Chain Program'!$D$6:$D$120,MATCH($A85,'Chain Program'!$A$6:$A$120,0)),"Unknown ID"))</f>
        <v/>
      </c>
      <c r="D85" s="36" t="inlineStr">
        <is>
          <t>All</t>
        </is>
      </c>
      <c r="E85" s="36" t="inlineStr">
        <is>
          <t>TPR</t>
        </is>
      </c>
      <c r="F85" s="36" t="inlineStr">
        <is>
          <t>TPR $5.99</t>
        </is>
      </c>
      <c r="G85" s="37" t="n">
        <v>5.99</v>
      </c>
      <c r="H85" s="37" t="n"/>
      <c r="I85" s="46" t="n">
        <v>45929</v>
      </c>
      <c r="J85" s="46" t="n">
        <v>46025</v>
      </c>
      <c r="K85" s="36" t="inlineStr">
        <is>
          <t>N</t>
        </is>
      </c>
      <c r="L85" s="45">
        <f>IF(OR($A85="",$I85="",$J85=""),"",IF(TODAY()&lt;$I85,"Upcoming",IF(TODAY()&gt;$J85,"Expired","Active")))</f>
        <v/>
      </c>
      <c r="M85" s="45">
        <f>IF($L85="Active",$J85-TODAY(),"")</f>
        <v/>
      </c>
      <c r="N85" s="36" t="inlineStr">
        <is>
          <t>HW Hot Sheet 8/25/25</t>
        </is>
      </c>
      <c r="O85" s="47">
        <f>IF($L85="Active",$A85,"")</f>
        <v/>
      </c>
    </row>
    <row r="86">
      <c r="A86" s="36" t="inlineStr">
        <is>
          <t>Henry's | Yoke's Fresh Market</t>
        </is>
      </c>
      <c r="B86" s="45">
        <f>IF($A86="","",IFERROR(INDEX('Chain Program'!$B$6:$B$120,MATCH($A86,'Chain Program'!$A$6:$A$120,0)),"Unknown ID"))</f>
        <v/>
      </c>
      <c r="C86" s="45">
        <f>IF($A86="","",IFERROR(INDEX('Chain Program'!$D$6:$D$120,MATCH($A86,'Chain Program'!$A$6:$A$120,0)),"Unknown ID"))</f>
        <v/>
      </c>
      <c r="D86" s="36" t="inlineStr">
        <is>
          <t>All</t>
        </is>
      </c>
      <c r="E86" s="36" t="inlineStr">
        <is>
          <t>Sweet Deal</t>
        </is>
      </c>
      <c r="F86" s="36" t="inlineStr">
        <is>
          <t>Sweet Deal $4.99</t>
        </is>
      </c>
      <c r="G86" s="37" t="n">
        <v>4.99</v>
      </c>
      <c r="H86" s="37" t="n"/>
      <c r="I86" s="46" t="n">
        <v>45959</v>
      </c>
      <c r="J86" s="46" t="n">
        <v>45972</v>
      </c>
      <c r="K86" s="36" t="inlineStr">
        <is>
          <t>N</t>
        </is>
      </c>
      <c r="L86" s="45">
        <f>IF(OR($A86="",$I86="",$J86=""),"",IF(TODAY()&lt;$I86,"Upcoming",IF(TODAY()&gt;$J86,"Expired","Active")))</f>
        <v/>
      </c>
      <c r="M86" s="45">
        <f>IF($L86="Active",$J86-TODAY(),"")</f>
        <v/>
      </c>
      <c r="N86" s="36" t="inlineStr">
        <is>
          <t>HW Hot Sheet 8/25/25</t>
        </is>
      </c>
      <c r="O86" s="47">
        <f>IF($L86="Active",$A86,"")</f>
        <v/>
      </c>
    </row>
    <row r="87">
      <c r="A87" s="48" t="n"/>
      <c r="B87" s="45">
        <f>IF($A87="","",IFERROR(INDEX('Chain Program'!$B$6:$B$120,MATCH($A87,'Chain Program'!$A$6:$A$120,0)),"Unknown ID"))</f>
        <v/>
      </c>
      <c r="C87" s="45">
        <f>IF($A87="","",IFERROR(INDEX('Chain Program'!$D$6:$D$120,MATCH($A87,'Chain Program'!$A$6:$A$120,0)),"Unknown ID"))</f>
        <v/>
      </c>
      <c r="D87" s="48" t="n"/>
      <c r="E87" s="48" t="n"/>
      <c r="F87" s="48" t="n"/>
      <c r="G87" s="49" t="n"/>
      <c r="H87" s="49" t="n"/>
      <c r="I87" s="41" t="n"/>
      <c r="J87" s="41" t="n"/>
      <c r="K87" s="48" t="n"/>
      <c r="L87" s="45">
        <f>IF(OR($A87="",$I87="",$J87=""),"",IF(TODAY()&lt;$I87,"Upcoming",IF(TODAY()&gt;$J87,"Expired","Active")))</f>
        <v/>
      </c>
      <c r="M87" s="45">
        <f>IF($L87="Active",$J87-TODAY(),"")</f>
        <v/>
      </c>
      <c r="N87" s="48" t="n"/>
      <c r="O87" s="47">
        <f>IF($L87="Active",$A87,"")</f>
        <v/>
      </c>
    </row>
    <row r="88">
      <c r="A88" s="48" t="n"/>
      <c r="B88" s="45">
        <f>IF($A88="","",IFERROR(INDEX('Chain Program'!$B$6:$B$120,MATCH($A88,'Chain Program'!$A$6:$A$120,0)),"Unknown ID"))</f>
        <v/>
      </c>
      <c r="C88" s="45">
        <f>IF($A88="","",IFERROR(INDEX('Chain Program'!$D$6:$D$120,MATCH($A88,'Chain Program'!$A$6:$A$120,0)),"Unknown ID"))</f>
        <v/>
      </c>
      <c r="D88" s="48" t="n"/>
      <c r="E88" s="48" t="n"/>
      <c r="F88" s="48" t="n"/>
      <c r="G88" s="49" t="n"/>
      <c r="H88" s="49" t="n"/>
      <c r="I88" s="41" t="n"/>
      <c r="J88" s="41" t="n"/>
      <c r="K88" s="48" t="n"/>
      <c r="L88" s="45">
        <f>IF(OR($A88="",$I88="",$J88=""),"",IF(TODAY()&lt;$I88,"Upcoming",IF(TODAY()&gt;$J88,"Expired","Active")))</f>
        <v/>
      </c>
      <c r="M88" s="45">
        <f>IF($L88="Active",$J88-TODAY(),"")</f>
        <v/>
      </c>
      <c r="N88" s="48" t="n"/>
      <c r="O88" s="47">
        <f>IF($L88="Active",$A88,"")</f>
        <v/>
      </c>
    </row>
    <row r="89">
      <c r="A89" s="48" t="n"/>
      <c r="B89" s="45">
        <f>IF($A89="","",IFERROR(INDEX('Chain Program'!$B$6:$B$120,MATCH($A89,'Chain Program'!$A$6:$A$120,0)),"Unknown ID"))</f>
        <v/>
      </c>
      <c r="C89" s="45">
        <f>IF($A89="","",IFERROR(INDEX('Chain Program'!$D$6:$D$120,MATCH($A89,'Chain Program'!$A$6:$A$120,0)),"Unknown ID"))</f>
        <v/>
      </c>
      <c r="D89" s="48" t="n"/>
      <c r="E89" s="48" t="n"/>
      <c r="F89" s="48" t="n"/>
      <c r="G89" s="49" t="n"/>
      <c r="H89" s="49" t="n"/>
      <c r="I89" s="41" t="n"/>
      <c r="J89" s="41" t="n"/>
      <c r="K89" s="48" t="n"/>
      <c r="L89" s="45">
        <f>IF(OR($A89="",$I89="",$J89=""),"",IF(TODAY()&lt;$I89,"Upcoming",IF(TODAY()&gt;$J89,"Expired","Active")))</f>
        <v/>
      </c>
      <c r="M89" s="45">
        <f>IF($L89="Active",$J89-TODAY(),"")</f>
        <v/>
      </c>
      <c r="N89" s="48" t="n"/>
      <c r="O89" s="47">
        <f>IF($L89="Active",$A89,"")</f>
        <v/>
      </c>
    </row>
    <row r="90">
      <c r="A90" s="48" t="n"/>
      <c r="B90" s="45">
        <f>IF($A90="","",IFERROR(INDEX('Chain Program'!$B$6:$B$120,MATCH($A90,'Chain Program'!$A$6:$A$120,0)),"Unknown ID"))</f>
        <v/>
      </c>
      <c r="C90" s="45">
        <f>IF($A90="","",IFERROR(INDEX('Chain Program'!$D$6:$D$120,MATCH($A90,'Chain Program'!$A$6:$A$120,0)),"Unknown ID"))</f>
        <v/>
      </c>
      <c r="D90" s="48" t="n"/>
      <c r="E90" s="48" t="n"/>
      <c r="F90" s="48" t="n"/>
      <c r="G90" s="49" t="n"/>
      <c r="H90" s="49" t="n"/>
      <c r="I90" s="41" t="n"/>
      <c r="J90" s="41" t="n"/>
      <c r="K90" s="48" t="n"/>
      <c r="L90" s="45">
        <f>IF(OR($A90="",$I90="",$J90=""),"",IF(TODAY()&lt;$I90,"Upcoming",IF(TODAY()&gt;$J90,"Expired","Active")))</f>
        <v/>
      </c>
      <c r="M90" s="45">
        <f>IF($L90="Active",$J90-TODAY(),"")</f>
        <v/>
      </c>
      <c r="N90" s="48" t="n"/>
      <c r="O90" s="47">
        <f>IF($L90="Active",$A90,"")</f>
        <v/>
      </c>
    </row>
    <row r="91">
      <c r="A91" s="48" t="n"/>
      <c r="B91" s="45">
        <f>IF($A91="","",IFERROR(INDEX('Chain Program'!$B$6:$B$120,MATCH($A91,'Chain Program'!$A$6:$A$120,0)),"Unknown ID"))</f>
        <v/>
      </c>
      <c r="C91" s="45">
        <f>IF($A91="","",IFERROR(INDEX('Chain Program'!$D$6:$D$120,MATCH($A91,'Chain Program'!$A$6:$A$120,0)),"Unknown ID"))</f>
        <v/>
      </c>
      <c r="D91" s="48" t="n"/>
      <c r="E91" s="48" t="n"/>
      <c r="F91" s="48" t="n"/>
      <c r="G91" s="49" t="n"/>
      <c r="H91" s="49" t="n"/>
      <c r="I91" s="41" t="n"/>
      <c r="J91" s="41" t="n"/>
      <c r="K91" s="48" t="n"/>
      <c r="L91" s="45">
        <f>IF(OR($A91="",$I91="",$J91=""),"",IF(TODAY()&lt;$I91,"Upcoming",IF(TODAY()&gt;$J91,"Expired","Active")))</f>
        <v/>
      </c>
      <c r="M91" s="45">
        <f>IF($L91="Active",$J91-TODAY(),"")</f>
        <v/>
      </c>
      <c r="N91" s="48" t="n"/>
      <c r="O91" s="47">
        <f>IF($L91="Active",$A91,"")</f>
        <v/>
      </c>
    </row>
    <row r="92">
      <c r="A92" s="48" t="n"/>
      <c r="B92" s="45">
        <f>IF($A92="","",IFERROR(INDEX('Chain Program'!$B$6:$B$120,MATCH($A92,'Chain Program'!$A$6:$A$120,0)),"Unknown ID"))</f>
        <v/>
      </c>
      <c r="C92" s="45">
        <f>IF($A92="","",IFERROR(INDEX('Chain Program'!$D$6:$D$120,MATCH($A92,'Chain Program'!$A$6:$A$120,0)),"Unknown ID"))</f>
        <v/>
      </c>
      <c r="D92" s="48" t="n"/>
      <c r="E92" s="48" t="n"/>
      <c r="F92" s="48" t="n"/>
      <c r="G92" s="49" t="n"/>
      <c r="H92" s="49" t="n"/>
      <c r="I92" s="41" t="n"/>
      <c r="J92" s="41" t="n"/>
      <c r="K92" s="48" t="n"/>
      <c r="L92" s="45">
        <f>IF(OR($A92="",$I92="",$J92=""),"",IF(TODAY()&lt;$I92,"Upcoming",IF(TODAY()&gt;$J92,"Expired","Active")))</f>
        <v/>
      </c>
      <c r="M92" s="45">
        <f>IF($L92="Active",$J92-TODAY(),"")</f>
        <v/>
      </c>
      <c r="N92" s="48" t="n"/>
      <c r="O92" s="47">
        <f>IF($L92="Active",$A92,"")</f>
        <v/>
      </c>
    </row>
    <row r="93">
      <c r="A93" s="48" t="n"/>
      <c r="B93" s="45">
        <f>IF($A93="","",IFERROR(INDEX('Chain Program'!$B$6:$B$120,MATCH($A93,'Chain Program'!$A$6:$A$120,0)),"Unknown ID"))</f>
        <v/>
      </c>
      <c r="C93" s="45">
        <f>IF($A93="","",IFERROR(INDEX('Chain Program'!$D$6:$D$120,MATCH($A93,'Chain Program'!$A$6:$A$120,0)),"Unknown ID"))</f>
        <v/>
      </c>
      <c r="D93" s="48" t="n"/>
      <c r="E93" s="48" t="n"/>
      <c r="F93" s="48" t="n"/>
      <c r="G93" s="49" t="n"/>
      <c r="H93" s="49" t="n"/>
      <c r="I93" s="41" t="n"/>
      <c r="J93" s="41" t="n"/>
      <c r="K93" s="48" t="n"/>
      <c r="L93" s="45">
        <f>IF(OR($A93="",$I93="",$J93=""),"",IF(TODAY()&lt;$I93,"Upcoming",IF(TODAY()&gt;$J93,"Expired","Active")))</f>
        <v/>
      </c>
      <c r="M93" s="45">
        <f>IF($L93="Active",$J93-TODAY(),"")</f>
        <v/>
      </c>
      <c r="N93" s="48" t="n"/>
      <c r="O93" s="47">
        <f>IF($L93="Active",$A93,"")</f>
        <v/>
      </c>
    </row>
    <row r="94">
      <c r="A94" s="48" t="n"/>
      <c r="B94" s="45">
        <f>IF($A94="","",IFERROR(INDEX('Chain Program'!$B$6:$B$120,MATCH($A94,'Chain Program'!$A$6:$A$120,0)),"Unknown ID"))</f>
        <v/>
      </c>
      <c r="C94" s="45">
        <f>IF($A94="","",IFERROR(INDEX('Chain Program'!$D$6:$D$120,MATCH($A94,'Chain Program'!$A$6:$A$120,0)),"Unknown ID"))</f>
        <v/>
      </c>
      <c r="D94" s="48" t="n"/>
      <c r="E94" s="48" t="n"/>
      <c r="F94" s="48" t="n"/>
      <c r="G94" s="49" t="n"/>
      <c r="H94" s="49" t="n"/>
      <c r="I94" s="41" t="n"/>
      <c r="J94" s="41" t="n"/>
      <c r="K94" s="48" t="n"/>
      <c r="L94" s="45">
        <f>IF(OR($A94="",$I94="",$J94=""),"",IF(TODAY()&lt;$I94,"Upcoming",IF(TODAY()&gt;$J94,"Expired","Active")))</f>
        <v/>
      </c>
      <c r="M94" s="45">
        <f>IF($L94="Active",$J94-TODAY(),"")</f>
        <v/>
      </c>
      <c r="N94" s="48" t="n"/>
      <c r="O94" s="47">
        <f>IF($L94="Active",$A94,"")</f>
        <v/>
      </c>
    </row>
    <row r="95">
      <c r="A95" s="48" t="n"/>
      <c r="B95" s="45">
        <f>IF($A95="","",IFERROR(INDEX('Chain Program'!$B$6:$B$120,MATCH($A95,'Chain Program'!$A$6:$A$120,0)),"Unknown ID"))</f>
        <v/>
      </c>
      <c r="C95" s="45">
        <f>IF($A95="","",IFERROR(INDEX('Chain Program'!$D$6:$D$120,MATCH($A95,'Chain Program'!$A$6:$A$120,0)),"Unknown ID"))</f>
        <v/>
      </c>
      <c r="D95" s="48" t="n"/>
      <c r="E95" s="48" t="n"/>
      <c r="F95" s="48" t="n"/>
      <c r="G95" s="49" t="n"/>
      <c r="H95" s="49" t="n"/>
      <c r="I95" s="41" t="n"/>
      <c r="J95" s="41" t="n"/>
      <c r="K95" s="48" t="n"/>
      <c r="L95" s="45">
        <f>IF(OR($A95="",$I95="",$J95=""),"",IF(TODAY()&lt;$I95,"Upcoming",IF(TODAY()&gt;$J95,"Expired","Active")))</f>
        <v/>
      </c>
      <c r="M95" s="45">
        <f>IF($L95="Active",$J95-TODAY(),"")</f>
        <v/>
      </c>
      <c r="N95" s="48" t="n"/>
      <c r="O95" s="47">
        <f>IF($L95="Active",$A95,"")</f>
        <v/>
      </c>
    </row>
    <row r="96">
      <c r="A96" s="48" t="n"/>
      <c r="B96" s="45">
        <f>IF($A96="","",IFERROR(INDEX('Chain Program'!$B$6:$B$120,MATCH($A96,'Chain Program'!$A$6:$A$120,0)),"Unknown ID"))</f>
        <v/>
      </c>
      <c r="C96" s="45">
        <f>IF($A96="","",IFERROR(INDEX('Chain Program'!$D$6:$D$120,MATCH($A96,'Chain Program'!$A$6:$A$120,0)),"Unknown ID"))</f>
        <v/>
      </c>
      <c r="D96" s="48" t="n"/>
      <c r="E96" s="48" t="n"/>
      <c r="F96" s="48" t="n"/>
      <c r="G96" s="49" t="n"/>
      <c r="H96" s="49" t="n"/>
      <c r="I96" s="41" t="n"/>
      <c r="J96" s="41" t="n"/>
      <c r="K96" s="48" t="n"/>
      <c r="L96" s="45">
        <f>IF(OR($A96="",$I96="",$J96=""),"",IF(TODAY()&lt;$I96,"Upcoming",IF(TODAY()&gt;$J96,"Expired","Active")))</f>
        <v/>
      </c>
      <c r="M96" s="45">
        <f>IF($L96="Active",$J96-TODAY(),"")</f>
        <v/>
      </c>
      <c r="N96" s="48" t="n"/>
      <c r="O96" s="47">
        <f>IF($L96="Active",$A96,"")</f>
        <v/>
      </c>
    </row>
    <row r="97">
      <c r="A97" s="48" t="n"/>
      <c r="B97" s="45">
        <f>IF($A97="","",IFERROR(INDEX('Chain Program'!$B$6:$B$120,MATCH($A97,'Chain Program'!$A$6:$A$120,0)),"Unknown ID"))</f>
        <v/>
      </c>
      <c r="C97" s="45">
        <f>IF($A97="","",IFERROR(INDEX('Chain Program'!$D$6:$D$120,MATCH($A97,'Chain Program'!$A$6:$A$120,0)),"Unknown ID"))</f>
        <v/>
      </c>
      <c r="D97" s="48" t="n"/>
      <c r="E97" s="48" t="n"/>
      <c r="F97" s="48" t="n"/>
      <c r="G97" s="49" t="n"/>
      <c r="H97" s="49" t="n"/>
      <c r="I97" s="41" t="n"/>
      <c r="J97" s="41" t="n"/>
      <c r="K97" s="48" t="n"/>
      <c r="L97" s="45">
        <f>IF(OR($A97="",$I97="",$J97=""),"",IF(TODAY()&lt;$I97,"Upcoming",IF(TODAY()&gt;$J97,"Expired","Active")))</f>
        <v/>
      </c>
      <c r="M97" s="45">
        <f>IF($L97="Active",$J97-TODAY(),"")</f>
        <v/>
      </c>
      <c r="N97" s="48" t="n"/>
      <c r="O97" s="47">
        <f>IF($L97="Active",$A97,"")</f>
        <v/>
      </c>
    </row>
    <row r="98">
      <c r="A98" s="48" t="n"/>
      <c r="B98" s="45">
        <f>IF($A98="","",IFERROR(INDEX('Chain Program'!$B$6:$B$120,MATCH($A98,'Chain Program'!$A$6:$A$120,0)),"Unknown ID"))</f>
        <v/>
      </c>
      <c r="C98" s="45">
        <f>IF($A98="","",IFERROR(INDEX('Chain Program'!$D$6:$D$120,MATCH($A98,'Chain Program'!$A$6:$A$120,0)),"Unknown ID"))</f>
        <v/>
      </c>
      <c r="D98" s="48" t="n"/>
      <c r="E98" s="48" t="n"/>
      <c r="F98" s="48" t="n"/>
      <c r="G98" s="49" t="n"/>
      <c r="H98" s="49" t="n"/>
      <c r="I98" s="41" t="n"/>
      <c r="J98" s="41" t="n"/>
      <c r="K98" s="48" t="n"/>
      <c r="L98" s="45">
        <f>IF(OR($A98="",$I98="",$J98=""),"",IF(TODAY()&lt;$I98,"Upcoming",IF(TODAY()&gt;$J98,"Expired","Active")))</f>
        <v/>
      </c>
      <c r="M98" s="45">
        <f>IF($L98="Active",$J98-TODAY(),"")</f>
        <v/>
      </c>
      <c r="N98" s="48" t="n"/>
      <c r="O98" s="47">
        <f>IF($L98="Active",$A98,"")</f>
        <v/>
      </c>
    </row>
    <row r="99">
      <c r="A99" s="48" t="n"/>
      <c r="B99" s="45">
        <f>IF($A99="","",IFERROR(INDEX('Chain Program'!$B$6:$B$120,MATCH($A99,'Chain Program'!$A$6:$A$120,0)),"Unknown ID"))</f>
        <v/>
      </c>
      <c r="C99" s="45">
        <f>IF($A99="","",IFERROR(INDEX('Chain Program'!$D$6:$D$120,MATCH($A99,'Chain Program'!$A$6:$A$120,0)),"Unknown ID"))</f>
        <v/>
      </c>
      <c r="D99" s="48" t="n"/>
      <c r="E99" s="48" t="n"/>
      <c r="F99" s="48" t="n"/>
      <c r="G99" s="49" t="n"/>
      <c r="H99" s="49" t="n"/>
      <c r="I99" s="41" t="n"/>
      <c r="J99" s="41" t="n"/>
      <c r="K99" s="48" t="n"/>
      <c r="L99" s="45">
        <f>IF(OR($A99="",$I99="",$J99=""),"",IF(TODAY()&lt;$I99,"Upcoming",IF(TODAY()&gt;$J99,"Expired","Active")))</f>
        <v/>
      </c>
      <c r="M99" s="45">
        <f>IF($L99="Active",$J99-TODAY(),"")</f>
        <v/>
      </c>
      <c r="N99" s="48" t="n"/>
      <c r="O99" s="47">
        <f>IF($L99="Active",$A99,"")</f>
        <v/>
      </c>
    </row>
    <row r="100">
      <c r="A100" s="48" t="n"/>
      <c r="B100" s="45">
        <f>IF($A100="","",IFERROR(INDEX('Chain Program'!$B$6:$B$120,MATCH($A100,'Chain Program'!$A$6:$A$120,0)),"Unknown ID"))</f>
        <v/>
      </c>
      <c r="C100" s="45">
        <f>IF($A100="","",IFERROR(INDEX('Chain Program'!$D$6:$D$120,MATCH($A100,'Chain Program'!$A$6:$A$120,0)),"Unknown ID"))</f>
        <v/>
      </c>
      <c r="D100" s="48" t="n"/>
      <c r="E100" s="48" t="n"/>
      <c r="F100" s="48" t="n"/>
      <c r="G100" s="49" t="n"/>
      <c r="H100" s="49" t="n"/>
      <c r="I100" s="41" t="n"/>
      <c r="J100" s="41" t="n"/>
      <c r="K100" s="48" t="n"/>
      <c r="L100" s="45">
        <f>IF(OR($A100="",$I100="",$J100=""),"",IF(TODAY()&lt;$I100,"Upcoming",IF(TODAY()&gt;$J100,"Expired","Active")))</f>
        <v/>
      </c>
      <c r="M100" s="45">
        <f>IF($L100="Active",$J100-TODAY(),"")</f>
        <v/>
      </c>
      <c r="N100" s="48" t="n"/>
      <c r="O100" s="47">
        <f>IF($L100="Active",$A100,"")</f>
        <v/>
      </c>
    </row>
    <row r="101">
      <c r="A101" s="48" t="n"/>
      <c r="B101" s="45">
        <f>IF($A101="","",IFERROR(INDEX('Chain Program'!$B$6:$B$120,MATCH($A101,'Chain Program'!$A$6:$A$120,0)),"Unknown ID"))</f>
        <v/>
      </c>
      <c r="C101" s="45">
        <f>IF($A101="","",IFERROR(INDEX('Chain Program'!$D$6:$D$120,MATCH($A101,'Chain Program'!$A$6:$A$120,0)),"Unknown ID"))</f>
        <v/>
      </c>
      <c r="D101" s="48" t="n"/>
      <c r="E101" s="48" t="n"/>
      <c r="F101" s="48" t="n"/>
      <c r="G101" s="49" t="n"/>
      <c r="H101" s="49" t="n"/>
      <c r="I101" s="41" t="n"/>
      <c r="J101" s="41" t="n"/>
      <c r="K101" s="48" t="n"/>
      <c r="L101" s="45">
        <f>IF(OR($A101="",$I101="",$J101=""),"",IF(TODAY()&lt;$I101,"Upcoming",IF(TODAY()&gt;$J101,"Expired","Active")))</f>
        <v/>
      </c>
      <c r="M101" s="45">
        <f>IF($L101="Active",$J101-TODAY(),"")</f>
        <v/>
      </c>
      <c r="N101" s="48" t="n"/>
      <c r="O101" s="47">
        <f>IF($L101="Active",$A101,"")</f>
        <v/>
      </c>
    </row>
    <row r="102">
      <c r="A102" s="48" t="n"/>
      <c r="B102" s="45">
        <f>IF($A102="","",IFERROR(INDEX('Chain Program'!$B$6:$B$120,MATCH($A102,'Chain Program'!$A$6:$A$120,0)),"Unknown ID"))</f>
        <v/>
      </c>
      <c r="C102" s="45">
        <f>IF($A102="","",IFERROR(INDEX('Chain Program'!$D$6:$D$120,MATCH($A102,'Chain Program'!$A$6:$A$120,0)),"Unknown ID"))</f>
        <v/>
      </c>
      <c r="D102" s="48" t="n"/>
      <c r="E102" s="48" t="n"/>
      <c r="F102" s="48" t="n"/>
      <c r="G102" s="49" t="n"/>
      <c r="H102" s="49" t="n"/>
      <c r="I102" s="41" t="n"/>
      <c r="J102" s="41" t="n"/>
      <c r="K102" s="48" t="n"/>
      <c r="L102" s="45">
        <f>IF(OR($A102="",$I102="",$J102=""),"",IF(TODAY()&lt;$I102,"Upcoming",IF(TODAY()&gt;$J102,"Expired","Active")))</f>
        <v/>
      </c>
      <c r="M102" s="45">
        <f>IF($L102="Active",$J102-TODAY(),"")</f>
        <v/>
      </c>
      <c r="N102" s="48" t="n"/>
      <c r="O102" s="47">
        <f>IF($L102="Active",$A102,"")</f>
        <v/>
      </c>
    </row>
    <row r="103">
      <c r="A103" s="48" t="n"/>
      <c r="B103" s="45">
        <f>IF($A103="","",IFERROR(INDEX('Chain Program'!$B$6:$B$120,MATCH($A103,'Chain Program'!$A$6:$A$120,0)),"Unknown ID"))</f>
        <v/>
      </c>
      <c r="C103" s="45">
        <f>IF($A103="","",IFERROR(INDEX('Chain Program'!$D$6:$D$120,MATCH($A103,'Chain Program'!$A$6:$A$120,0)),"Unknown ID"))</f>
        <v/>
      </c>
      <c r="D103" s="48" t="n"/>
      <c r="E103" s="48" t="n"/>
      <c r="F103" s="48" t="n"/>
      <c r="G103" s="49" t="n"/>
      <c r="H103" s="49" t="n"/>
      <c r="I103" s="41" t="n"/>
      <c r="J103" s="41" t="n"/>
      <c r="K103" s="48" t="n"/>
      <c r="L103" s="45">
        <f>IF(OR($A103="",$I103="",$J103=""),"",IF(TODAY()&lt;$I103,"Upcoming",IF(TODAY()&gt;$J103,"Expired","Active")))</f>
        <v/>
      </c>
      <c r="M103" s="45">
        <f>IF($L103="Active",$J103-TODAY(),"")</f>
        <v/>
      </c>
      <c r="N103" s="48" t="n"/>
      <c r="O103" s="47">
        <f>IF($L103="Active",$A103,"")</f>
        <v/>
      </c>
    </row>
    <row r="104">
      <c r="A104" s="48" t="n"/>
      <c r="B104" s="45">
        <f>IF($A104="","",IFERROR(INDEX('Chain Program'!$B$6:$B$120,MATCH($A104,'Chain Program'!$A$6:$A$120,0)),"Unknown ID"))</f>
        <v/>
      </c>
      <c r="C104" s="45">
        <f>IF($A104="","",IFERROR(INDEX('Chain Program'!$D$6:$D$120,MATCH($A104,'Chain Program'!$A$6:$A$120,0)),"Unknown ID"))</f>
        <v/>
      </c>
      <c r="D104" s="48" t="n"/>
      <c r="E104" s="48" t="n"/>
      <c r="F104" s="48" t="n"/>
      <c r="G104" s="49" t="n"/>
      <c r="H104" s="49" t="n"/>
      <c r="I104" s="41" t="n"/>
      <c r="J104" s="41" t="n"/>
      <c r="K104" s="48" t="n"/>
      <c r="L104" s="45">
        <f>IF(OR($A104="",$I104="",$J104=""),"",IF(TODAY()&lt;$I104,"Upcoming",IF(TODAY()&gt;$J104,"Expired","Active")))</f>
        <v/>
      </c>
      <c r="M104" s="45">
        <f>IF($L104="Active",$J104-TODAY(),"")</f>
        <v/>
      </c>
      <c r="N104" s="48" t="n"/>
      <c r="O104" s="47">
        <f>IF($L104="Active",$A104,"")</f>
        <v/>
      </c>
    </row>
    <row r="105">
      <c r="A105" s="48" t="n"/>
      <c r="B105" s="45">
        <f>IF($A105="","",IFERROR(INDEX('Chain Program'!$B$6:$B$120,MATCH($A105,'Chain Program'!$A$6:$A$120,0)),"Unknown ID"))</f>
        <v/>
      </c>
      <c r="C105" s="45">
        <f>IF($A105="","",IFERROR(INDEX('Chain Program'!$D$6:$D$120,MATCH($A105,'Chain Program'!$A$6:$A$120,0)),"Unknown ID"))</f>
        <v/>
      </c>
      <c r="D105" s="48" t="n"/>
      <c r="E105" s="48" t="n"/>
      <c r="F105" s="48" t="n"/>
      <c r="G105" s="49" t="n"/>
      <c r="H105" s="49" t="n"/>
      <c r="I105" s="41" t="n"/>
      <c r="J105" s="41" t="n"/>
      <c r="K105" s="48" t="n"/>
      <c r="L105" s="45">
        <f>IF(OR($A105="",$I105="",$J105=""),"",IF(TODAY()&lt;$I105,"Upcoming",IF(TODAY()&gt;$J105,"Expired","Active")))</f>
        <v/>
      </c>
      <c r="M105" s="45">
        <f>IF($L105="Active",$J105-TODAY(),"")</f>
        <v/>
      </c>
      <c r="N105" s="48" t="n"/>
      <c r="O105" s="47">
        <f>IF($L105="Active",$A105,"")</f>
        <v/>
      </c>
    </row>
    <row r="106">
      <c r="A106" s="48" t="n"/>
      <c r="B106" s="45">
        <f>IF($A106="","",IFERROR(INDEX('Chain Program'!$B$6:$B$120,MATCH($A106,'Chain Program'!$A$6:$A$120,0)),"Unknown ID"))</f>
        <v/>
      </c>
      <c r="C106" s="45">
        <f>IF($A106="","",IFERROR(INDEX('Chain Program'!$D$6:$D$120,MATCH($A106,'Chain Program'!$A$6:$A$120,0)),"Unknown ID"))</f>
        <v/>
      </c>
      <c r="D106" s="48" t="n"/>
      <c r="E106" s="48" t="n"/>
      <c r="F106" s="48" t="n"/>
      <c r="G106" s="49" t="n"/>
      <c r="H106" s="49" t="n"/>
      <c r="I106" s="41" t="n"/>
      <c r="J106" s="41" t="n"/>
      <c r="K106" s="48" t="n"/>
      <c r="L106" s="45">
        <f>IF(OR($A106="",$I106="",$J106=""),"",IF(TODAY()&lt;$I106,"Upcoming",IF(TODAY()&gt;$J106,"Expired","Active")))</f>
        <v/>
      </c>
      <c r="M106" s="45">
        <f>IF($L106="Active",$J106-TODAY(),"")</f>
        <v/>
      </c>
      <c r="N106" s="48" t="n"/>
      <c r="O106" s="47">
        <f>IF($L106="Active",$A106,"")</f>
        <v/>
      </c>
    </row>
    <row r="107">
      <c r="A107" s="48" t="n"/>
      <c r="B107" s="45">
        <f>IF($A107="","",IFERROR(INDEX('Chain Program'!$B$6:$B$120,MATCH($A107,'Chain Program'!$A$6:$A$120,0)),"Unknown ID"))</f>
        <v/>
      </c>
      <c r="C107" s="45">
        <f>IF($A107="","",IFERROR(INDEX('Chain Program'!$D$6:$D$120,MATCH($A107,'Chain Program'!$A$6:$A$120,0)),"Unknown ID"))</f>
        <v/>
      </c>
      <c r="D107" s="48" t="n"/>
      <c r="E107" s="48" t="n"/>
      <c r="F107" s="48" t="n"/>
      <c r="G107" s="49" t="n"/>
      <c r="H107" s="49" t="n"/>
      <c r="I107" s="41" t="n"/>
      <c r="J107" s="41" t="n"/>
      <c r="K107" s="48" t="n"/>
      <c r="L107" s="45">
        <f>IF(OR($A107="",$I107="",$J107=""),"",IF(TODAY()&lt;$I107,"Upcoming",IF(TODAY()&gt;$J107,"Expired","Active")))</f>
        <v/>
      </c>
      <c r="M107" s="45">
        <f>IF($L107="Active",$J107-TODAY(),"")</f>
        <v/>
      </c>
      <c r="N107" s="48" t="n"/>
      <c r="O107" s="47">
        <f>IF($L107="Active",$A107,"")</f>
        <v/>
      </c>
    </row>
    <row r="108">
      <c r="A108" s="48" t="n"/>
      <c r="B108" s="45">
        <f>IF($A108="","",IFERROR(INDEX('Chain Program'!$B$6:$B$120,MATCH($A108,'Chain Program'!$A$6:$A$120,0)),"Unknown ID"))</f>
        <v/>
      </c>
      <c r="C108" s="45">
        <f>IF($A108="","",IFERROR(INDEX('Chain Program'!$D$6:$D$120,MATCH($A108,'Chain Program'!$A$6:$A$120,0)),"Unknown ID"))</f>
        <v/>
      </c>
      <c r="D108" s="48" t="n"/>
      <c r="E108" s="48" t="n"/>
      <c r="F108" s="48" t="n"/>
      <c r="G108" s="49" t="n"/>
      <c r="H108" s="49" t="n"/>
      <c r="I108" s="41" t="n"/>
      <c r="J108" s="41" t="n"/>
      <c r="K108" s="48" t="n"/>
      <c r="L108" s="45">
        <f>IF(OR($A108="",$I108="",$J108=""),"",IF(TODAY()&lt;$I108,"Upcoming",IF(TODAY()&gt;$J108,"Expired","Active")))</f>
        <v/>
      </c>
      <c r="M108" s="45">
        <f>IF($L108="Active",$J108-TODAY(),"")</f>
        <v/>
      </c>
      <c r="N108" s="48" t="n"/>
      <c r="O108" s="47">
        <f>IF($L108="Active",$A108,"")</f>
        <v/>
      </c>
    </row>
    <row r="109">
      <c r="A109" s="48" t="n"/>
      <c r="B109" s="45">
        <f>IF($A109="","",IFERROR(INDEX('Chain Program'!$B$6:$B$120,MATCH($A109,'Chain Program'!$A$6:$A$120,0)),"Unknown ID"))</f>
        <v/>
      </c>
      <c r="C109" s="45">
        <f>IF($A109="","",IFERROR(INDEX('Chain Program'!$D$6:$D$120,MATCH($A109,'Chain Program'!$A$6:$A$120,0)),"Unknown ID"))</f>
        <v/>
      </c>
      <c r="D109" s="48" t="n"/>
      <c r="E109" s="48" t="n"/>
      <c r="F109" s="48" t="n"/>
      <c r="G109" s="49" t="n"/>
      <c r="H109" s="49" t="n"/>
      <c r="I109" s="41" t="n"/>
      <c r="J109" s="41" t="n"/>
      <c r="K109" s="48" t="n"/>
      <c r="L109" s="45">
        <f>IF(OR($A109="",$I109="",$J109=""),"",IF(TODAY()&lt;$I109,"Upcoming",IF(TODAY()&gt;$J109,"Expired","Active")))</f>
        <v/>
      </c>
      <c r="M109" s="45">
        <f>IF($L109="Active",$J109-TODAY(),"")</f>
        <v/>
      </c>
      <c r="N109" s="48" t="n"/>
      <c r="O109" s="47">
        <f>IF($L109="Active",$A109,"")</f>
        <v/>
      </c>
    </row>
    <row r="110">
      <c r="A110" s="48" t="n"/>
      <c r="B110" s="45">
        <f>IF($A110="","",IFERROR(INDEX('Chain Program'!$B$6:$B$120,MATCH($A110,'Chain Program'!$A$6:$A$120,0)),"Unknown ID"))</f>
        <v/>
      </c>
      <c r="C110" s="45">
        <f>IF($A110="","",IFERROR(INDEX('Chain Program'!$D$6:$D$120,MATCH($A110,'Chain Program'!$A$6:$A$120,0)),"Unknown ID"))</f>
        <v/>
      </c>
      <c r="D110" s="48" t="n"/>
      <c r="E110" s="48" t="n"/>
      <c r="F110" s="48" t="n"/>
      <c r="G110" s="49" t="n"/>
      <c r="H110" s="49" t="n"/>
      <c r="I110" s="41" t="n"/>
      <c r="J110" s="41" t="n"/>
      <c r="K110" s="48" t="n"/>
      <c r="L110" s="45">
        <f>IF(OR($A110="",$I110="",$J110=""),"",IF(TODAY()&lt;$I110,"Upcoming",IF(TODAY()&gt;$J110,"Expired","Active")))</f>
        <v/>
      </c>
      <c r="M110" s="45">
        <f>IF($L110="Active",$J110-TODAY(),"")</f>
        <v/>
      </c>
      <c r="N110" s="48" t="n"/>
      <c r="O110" s="47">
        <f>IF($L110="Active",$A110,"")</f>
        <v/>
      </c>
    </row>
    <row r="111">
      <c r="A111" s="48" t="n"/>
      <c r="B111" s="45">
        <f>IF($A111="","",IFERROR(INDEX('Chain Program'!$B$6:$B$120,MATCH($A111,'Chain Program'!$A$6:$A$120,0)),"Unknown ID"))</f>
        <v/>
      </c>
      <c r="C111" s="45">
        <f>IF($A111="","",IFERROR(INDEX('Chain Program'!$D$6:$D$120,MATCH($A111,'Chain Program'!$A$6:$A$120,0)),"Unknown ID"))</f>
        <v/>
      </c>
      <c r="D111" s="48" t="n"/>
      <c r="E111" s="48" t="n"/>
      <c r="F111" s="48" t="n"/>
      <c r="G111" s="49" t="n"/>
      <c r="H111" s="49" t="n"/>
      <c r="I111" s="41" t="n"/>
      <c r="J111" s="41" t="n"/>
      <c r="K111" s="48" t="n"/>
      <c r="L111" s="45">
        <f>IF(OR($A111="",$I111="",$J111=""),"",IF(TODAY()&lt;$I111,"Upcoming",IF(TODAY()&gt;$J111,"Expired","Active")))</f>
        <v/>
      </c>
      <c r="M111" s="45">
        <f>IF($L111="Active",$J111-TODAY(),"")</f>
        <v/>
      </c>
      <c r="N111" s="48" t="n"/>
      <c r="O111" s="47">
        <f>IF($L111="Active",$A111,"")</f>
        <v/>
      </c>
    </row>
    <row r="112">
      <c r="A112" s="48" t="n"/>
      <c r="B112" s="45">
        <f>IF($A112="","",IFERROR(INDEX('Chain Program'!$B$6:$B$120,MATCH($A112,'Chain Program'!$A$6:$A$120,0)),"Unknown ID"))</f>
        <v/>
      </c>
      <c r="C112" s="45">
        <f>IF($A112="","",IFERROR(INDEX('Chain Program'!$D$6:$D$120,MATCH($A112,'Chain Program'!$A$6:$A$120,0)),"Unknown ID"))</f>
        <v/>
      </c>
      <c r="D112" s="48" t="n"/>
      <c r="E112" s="48" t="n"/>
      <c r="F112" s="48" t="n"/>
      <c r="G112" s="49" t="n"/>
      <c r="H112" s="49" t="n"/>
      <c r="I112" s="41" t="n"/>
      <c r="J112" s="41" t="n"/>
      <c r="K112" s="48" t="n"/>
      <c r="L112" s="45">
        <f>IF(OR($A112="",$I112="",$J112=""),"",IF(TODAY()&lt;$I112,"Upcoming",IF(TODAY()&gt;$J112,"Expired","Active")))</f>
        <v/>
      </c>
      <c r="M112" s="45">
        <f>IF($L112="Active",$J112-TODAY(),"")</f>
        <v/>
      </c>
      <c r="N112" s="48" t="n"/>
      <c r="O112" s="47">
        <f>IF($L112="Active",$A112,"")</f>
        <v/>
      </c>
    </row>
    <row r="113">
      <c r="A113" s="48" t="n"/>
      <c r="B113" s="45">
        <f>IF($A113="","",IFERROR(INDEX('Chain Program'!$B$6:$B$120,MATCH($A113,'Chain Program'!$A$6:$A$120,0)),"Unknown ID"))</f>
        <v/>
      </c>
      <c r="C113" s="45">
        <f>IF($A113="","",IFERROR(INDEX('Chain Program'!$D$6:$D$120,MATCH($A113,'Chain Program'!$A$6:$A$120,0)),"Unknown ID"))</f>
        <v/>
      </c>
      <c r="D113" s="48" t="n"/>
      <c r="E113" s="48" t="n"/>
      <c r="F113" s="48" t="n"/>
      <c r="G113" s="49" t="n"/>
      <c r="H113" s="49" t="n"/>
      <c r="I113" s="41" t="n"/>
      <c r="J113" s="41" t="n"/>
      <c r="K113" s="48" t="n"/>
      <c r="L113" s="45">
        <f>IF(OR($A113="",$I113="",$J113=""),"",IF(TODAY()&lt;$I113,"Upcoming",IF(TODAY()&gt;$J113,"Expired","Active")))</f>
        <v/>
      </c>
      <c r="M113" s="45">
        <f>IF($L113="Active",$J113-TODAY(),"")</f>
        <v/>
      </c>
      <c r="N113" s="48" t="n"/>
      <c r="O113" s="47">
        <f>IF($L113="Active",$A113,"")</f>
        <v/>
      </c>
    </row>
    <row r="114">
      <c r="A114" s="48" t="n"/>
      <c r="B114" s="45">
        <f>IF($A114="","",IFERROR(INDEX('Chain Program'!$B$6:$B$120,MATCH($A114,'Chain Program'!$A$6:$A$120,0)),"Unknown ID"))</f>
        <v/>
      </c>
      <c r="C114" s="45">
        <f>IF($A114="","",IFERROR(INDEX('Chain Program'!$D$6:$D$120,MATCH($A114,'Chain Program'!$A$6:$A$120,0)),"Unknown ID"))</f>
        <v/>
      </c>
      <c r="D114" s="48" t="n"/>
      <c r="E114" s="48" t="n"/>
      <c r="F114" s="48" t="n"/>
      <c r="G114" s="49" t="n"/>
      <c r="H114" s="49" t="n"/>
      <c r="I114" s="41" t="n"/>
      <c r="J114" s="41" t="n"/>
      <c r="K114" s="48" t="n"/>
      <c r="L114" s="45">
        <f>IF(OR($A114="",$I114="",$J114=""),"",IF(TODAY()&lt;$I114,"Upcoming",IF(TODAY()&gt;$J114,"Expired","Active")))</f>
        <v/>
      </c>
      <c r="M114" s="45">
        <f>IF($L114="Active",$J114-TODAY(),"")</f>
        <v/>
      </c>
      <c r="N114" s="48" t="n"/>
      <c r="O114" s="47">
        <f>IF($L114="Active",$A114,"")</f>
        <v/>
      </c>
    </row>
    <row r="115">
      <c r="A115" s="48" t="n"/>
      <c r="B115" s="45">
        <f>IF($A115="","",IFERROR(INDEX('Chain Program'!$B$6:$B$120,MATCH($A115,'Chain Program'!$A$6:$A$120,0)),"Unknown ID"))</f>
        <v/>
      </c>
      <c r="C115" s="45">
        <f>IF($A115="","",IFERROR(INDEX('Chain Program'!$D$6:$D$120,MATCH($A115,'Chain Program'!$A$6:$A$120,0)),"Unknown ID"))</f>
        <v/>
      </c>
      <c r="D115" s="48" t="n"/>
      <c r="E115" s="48" t="n"/>
      <c r="F115" s="48" t="n"/>
      <c r="G115" s="49" t="n"/>
      <c r="H115" s="49" t="n"/>
      <c r="I115" s="41" t="n"/>
      <c r="J115" s="41" t="n"/>
      <c r="K115" s="48" t="n"/>
      <c r="L115" s="45">
        <f>IF(OR($A115="",$I115="",$J115=""),"",IF(TODAY()&lt;$I115,"Upcoming",IF(TODAY()&gt;$J115,"Expired","Active")))</f>
        <v/>
      </c>
      <c r="M115" s="45">
        <f>IF($L115="Active",$J115-TODAY(),"")</f>
        <v/>
      </c>
      <c r="N115" s="48" t="n"/>
      <c r="O115" s="47">
        <f>IF($L115="Active",$A115,"")</f>
        <v/>
      </c>
    </row>
    <row r="116">
      <c r="A116" s="48" t="n"/>
      <c r="B116" s="45">
        <f>IF($A116="","",IFERROR(INDEX('Chain Program'!$B$6:$B$120,MATCH($A116,'Chain Program'!$A$6:$A$120,0)),"Unknown ID"))</f>
        <v/>
      </c>
      <c r="C116" s="45">
        <f>IF($A116="","",IFERROR(INDEX('Chain Program'!$D$6:$D$120,MATCH($A116,'Chain Program'!$A$6:$A$120,0)),"Unknown ID"))</f>
        <v/>
      </c>
      <c r="D116" s="48" t="n"/>
      <c r="E116" s="48" t="n"/>
      <c r="F116" s="48" t="n"/>
      <c r="G116" s="49" t="n"/>
      <c r="H116" s="49" t="n"/>
      <c r="I116" s="41" t="n"/>
      <c r="J116" s="41" t="n"/>
      <c r="K116" s="48" t="n"/>
      <c r="L116" s="45">
        <f>IF(OR($A116="",$I116="",$J116=""),"",IF(TODAY()&lt;$I116,"Upcoming",IF(TODAY()&gt;$J116,"Expired","Active")))</f>
        <v/>
      </c>
      <c r="M116" s="45">
        <f>IF($L116="Active",$J116-TODAY(),"")</f>
        <v/>
      </c>
      <c r="N116" s="48" t="n"/>
      <c r="O116" s="47">
        <f>IF($L116="Active",$A116,"")</f>
        <v/>
      </c>
    </row>
    <row r="117">
      <c r="A117" s="48" t="n"/>
      <c r="B117" s="45">
        <f>IF($A117="","",IFERROR(INDEX('Chain Program'!$B$6:$B$120,MATCH($A117,'Chain Program'!$A$6:$A$120,0)),"Unknown ID"))</f>
        <v/>
      </c>
      <c r="C117" s="45">
        <f>IF($A117="","",IFERROR(INDEX('Chain Program'!$D$6:$D$120,MATCH($A117,'Chain Program'!$A$6:$A$120,0)),"Unknown ID"))</f>
        <v/>
      </c>
      <c r="D117" s="48" t="n"/>
      <c r="E117" s="48" t="n"/>
      <c r="F117" s="48" t="n"/>
      <c r="G117" s="49" t="n"/>
      <c r="H117" s="49" t="n"/>
      <c r="I117" s="41" t="n"/>
      <c r="J117" s="41" t="n"/>
      <c r="K117" s="48" t="n"/>
      <c r="L117" s="45">
        <f>IF(OR($A117="",$I117="",$J117=""),"",IF(TODAY()&lt;$I117,"Upcoming",IF(TODAY()&gt;$J117,"Expired","Active")))</f>
        <v/>
      </c>
      <c r="M117" s="45">
        <f>IF($L117="Active",$J117-TODAY(),"")</f>
        <v/>
      </c>
      <c r="N117" s="48" t="n"/>
      <c r="O117" s="47">
        <f>IF($L117="Active",$A117,"")</f>
        <v/>
      </c>
    </row>
    <row r="118">
      <c r="A118" s="48" t="n"/>
      <c r="B118" s="45">
        <f>IF($A118="","",IFERROR(INDEX('Chain Program'!$B$6:$B$120,MATCH($A118,'Chain Program'!$A$6:$A$120,0)),"Unknown ID"))</f>
        <v/>
      </c>
      <c r="C118" s="45">
        <f>IF($A118="","",IFERROR(INDEX('Chain Program'!$D$6:$D$120,MATCH($A118,'Chain Program'!$A$6:$A$120,0)),"Unknown ID"))</f>
        <v/>
      </c>
      <c r="D118" s="48" t="n"/>
      <c r="E118" s="48" t="n"/>
      <c r="F118" s="48" t="n"/>
      <c r="G118" s="49" t="n"/>
      <c r="H118" s="49" t="n"/>
      <c r="I118" s="41" t="n"/>
      <c r="J118" s="41" t="n"/>
      <c r="K118" s="48" t="n"/>
      <c r="L118" s="45">
        <f>IF(OR($A118="",$I118="",$J118=""),"",IF(TODAY()&lt;$I118,"Upcoming",IF(TODAY()&gt;$J118,"Expired","Active")))</f>
        <v/>
      </c>
      <c r="M118" s="45">
        <f>IF($L118="Active",$J118-TODAY(),"")</f>
        <v/>
      </c>
      <c r="N118" s="48" t="n"/>
      <c r="O118" s="47">
        <f>IF($L118="Active",$A118,"")</f>
        <v/>
      </c>
    </row>
    <row r="119">
      <c r="A119" s="48" t="n"/>
      <c r="B119" s="45">
        <f>IF($A119="","",IFERROR(INDEX('Chain Program'!$B$6:$B$120,MATCH($A119,'Chain Program'!$A$6:$A$120,0)),"Unknown ID"))</f>
        <v/>
      </c>
      <c r="C119" s="45">
        <f>IF($A119="","",IFERROR(INDEX('Chain Program'!$D$6:$D$120,MATCH($A119,'Chain Program'!$A$6:$A$120,0)),"Unknown ID"))</f>
        <v/>
      </c>
      <c r="D119" s="48" t="n"/>
      <c r="E119" s="48" t="n"/>
      <c r="F119" s="48" t="n"/>
      <c r="G119" s="49" t="n"/>
      <c r="H119" s="49" t="n"/>
      <c r="I119" s="41" t="n"/>
      <c r="J119" s="41" t="n"/>
      <c r="K119" s="48" t="n"/>
      <c r="L119" s="45">
        <f>IF(OR($A119="",$I119="",$J119=""),"",IF(TODAY()&lt;$I119,"Upcoming",IF(TODAY()&gt;$J119,"Expired","Active")))</f>
        <v/>
      </c>
      <c r="M119" s="45">
        <f>IF($L119="Active",$J119-TODAY(),"")</f>
        <v/>
      </c>
      <c r="N119" s="48" t="n"/>
      <c r="O119" s="47">
        <f>IF($L119="Active",$A119,"")</f>
        <v/>
      </c>
    </row>
    <row r="120">
      <c r="A120" s="48" t="n"/>
      <c r="B120" s="45">
        <f>IF($A120="","",IFERROR(INDEX('Chain Program'!$B$6:$B$120,MATCH($A120,'Chain Program'!$A$6:$A$120,0)),"Unknown ID"))</f>
        <v/>
      </c>
      <c r="C120" s="45">
        <f>IF($A120="","",IFERROR(INDEX('Chain Program'!$D$6:$D$120,MATCH($A120,'Chain Program'!$A$6:$A$120,0)),"Unknown ID"))</f>
        <v/>
      </c>
      <c r="D120" s="48" t="n"/>
      <c r="E120" s="48" t="n"/>
      <c r="F120" s="48" t="n"/>
      <c r="G120" s="49" t="n"/>
      <c r="H120" s="49" t="n"/>
      <c r="I120" s="41" t="n"/>
      <c r="J120" s="41" t="n"/>
      <c r="K120" s="48" t="n"/>
      <c r="L120" s="45">
        <f>IF(OR($A120="",$I120="",$J120=""),"",IF(TODAY()&lt;$I120,"Upcoming",IF(TODAY()&gt;$J120,"Expired","Active")))</f>
        <v/>
      </c>
      <c r="M120" s="45">
        <f>IF($L120="Active",$J120-TODAY(),"")</f>
        <v/>
      </c>
      <c r="N120" s="48" t="n"/>
      <c r="O120" s="47">
        <f>IF($L120="Active",$A120,"")</f>
        <v/>
      </c>
    </row>
    <row r="121">
      <c r="A121" s="48" t="n"/>
      <c r="B121" s="45">
        <f>IF($A121="","",IFERROR(INDEX('Chain Program'!$B$6:$B$120,MATCH($A121,'Chain Program'!$A$6:$A$120,0)),"Unknown ID"))</f>
        <v/>
      </c>
      <c r="C121" s="45">
        <f>IF($A121="","",IFERROR(INDEX('Chain Program'!$D$6:$D$120,MATCH($A121,'Chain Program'!$A$6:$A$120,0)),"Unknown ID"))</f>
        <v/>
      </c>
      <c r="D121" s="48" t="n"/>
      <c r="E121" s="48" t="n"/>
      <c r="F121" s="48" t="n"/>
      <c r="G121" s="49" t="n"/>
      <c r="H121" s="49" t="n"/>
      <c r="I121" s="41" t="n"/>
      <c r="J121" s="41" t="n"/>
      <c r="K121" s="48" t="n"/>
      <c r="L121" s="45">
        <f>IF(OR($A121="",$I121="",$J121=""),"",IF(TODAY()&lt;$I121,"Upcoming",IF(TODAY()&gt;$J121,"Expired","Active")))</f>
        <v/>
      </c>
      <c r="M121" s="45">
        <f>IF($L121="Active",$J121-TODAY(),"")</f>
        <v/>
      </c>
      <c r="N121" s="48" t="n"/>
      <c r="O121" s="47">
        <f>IF($L121="Active",$A121,"")</f>
        <v/>
      </c>
    </row>
    <row r="122">
      <c r="A122" s="48" t="n"/>
      <c r="B122" s="45">
        <f>IF($A122="","",IFERROR(INDEX('Chain Program'!$B$6:$B$120,MATCH($A122,'Chain Program'!$A$6:$A$120,0)),"Unknown ID"))</f>
        <v/>
      </c>
      <c r="C122" s="45">
        <f>IF($A122="","",IFERROR(INDEX('Chain Program'!$D$6:$D$120,MATCH($A122,'Chain Program'!$A$6:$A$120,0)),"Unknown ID"))</f>
        <v/>
      </c>
      <c r="D122" s="48" t="n"/>
      <c r="E122" s="48" t="n"/>
      <c r="F122" s="48" t="n"/>
      <c r="G122" s="49" t="n"/>
      <c r="H122" s="49" t="n"/>
      <c r="I122" s="41" t="n"/>
      <c r="J122" s="41" t="n"/>
      <c r="K122" s="48" t="n"/>
      <c r="L122" s="45">
        <f>IF(OR($A122="",$I122="",$J122=""),"",IF(TODAY()&lt;$I122,"Upcoming",IF(TODAY()&gt;$J122,"Expired","Active")))</f>
        <v/>
      </c>
      <c r="M122" s="45">
        <f>IF($L122="Active",$J122-TODAY(),"")</f>
        <v/>
      </c>
      <c r="N122" s="48" t="n"/>
      <c r="O122" s="47">
        <f>IF($L122="Active",$A122,"")</f>
        <v/>
      </c>
    </row>
    <row r="123">
      <c r="A123" s="48" t="n"/>
      <c r="B123" s="45">
        <f>IF($A123="","",IFERROR(INDEX('Chain Program'!$B$6:$B$120,MATCH($A123,'Chain Program'!$A$6:$A$120,0)),"Unknown ID"))</f>
        <v/>
      </c>
      <c r="C123" s="45">
        <f>IF($A123="","",IFERROR(INDEX('Chain Program'!$D$6:$D$120,MATCH($A123,'Chain Program'!$A$6:$A$120,0)),"Unknown ID"))</f>
        <v/>
      </c>
      <c r="D123" s="48" t="n"/>
      <c r="E123" s="48" t="n"/>
      <c r="F123" s="48" t="n"/>
      <c r="G123" s="49" t="n"/>
      <c r="H123" s="49" t="n"/>
      <c r="I123" s="41" t="n"/>
      <c r="J123" s="41" t="n"/>
      <c r="K123" s="48" t="n"/>
      <c r="L123" s="45">
        <f>IF(OR($A123="",$I123="",$J123=""),"",IF(TODAY()&lt;$I123,"Upcoming",IF(TODAY()&gt;$J123,"Expired","Active")))</f>
        <v/>
      </c>
      <c r="M123" s="45">
        <f>IF($L123="Active",$J123-TODAY(),"")</f>
        <v/>
      </c>
      <c r="N123" s="48" t="n"/>
      <c r="O123" s="47">
        <f>IF($L123="Active",$A123,"")</f>
        <v/>
      </c>
    </row>
    <row r="124">
      <c r="A124" s="48" t="n"/>
      <c r="B124" s="45">
        <f>IF($A124="","",IFERROR(INDEX('Chain Program'!$B$6:$B$120,MATCH($A124,'Chain Program'!$A$6:$A$120,0)),"Unknown ID"))</f>
        <v/>
      </c>
      <c r="C124" s="45">
        <f>IF($A124="","",IFERROR(INDEX('Chain Program'!$D$6:$D$120,MATCH($A124,'Chain Program'!$A$6:$A$120,0)),"Unknown ID"))</f>
        <v/>
      </c>
      <c r="D124" s="48" t="n"/>
      <c r="E124" s="48" t="n"/>
      <c r="F124" s="48" t="n"/>
      <c r="G124" s="49" t="n"/>
      <c r="H124" s="49" t="n"/>
      <c r="I124" s="41" t="n"/>
      <c r="J124" s="41" t="n"/>
      <c r="K124" s="48" t="n"/>
      <c r="L124" s="45">
        <f>IF(OR($A124="",$I124="",$J124=""),"",IF(TODAY()&lt;$I124,"Upcoming",IF(TODAY()&gt;$J124,"Expired","Active")))</f>
        <v/>
      </c>
      <c r="M124" s="45">
        <f>IF($L124="Active",$J124-TODAY(),"")</f>
        <v/>
      </c>
      <c r="N124" s="48" t="n"/>
      <c r="O124" s="47">
        <f>IF($L124="Active",$A124,"")</f>
        <v/>
      </c>
    </row>
    <row r="125">
      <c r="A125" s="48" t="n"/>
      <c r="B125" s="45">
        <f>IF($A125="","",IFERROR(INDEX('Chain Program'!$B$6:$B$120,MATCH($A125,'Chain Program'!$A$6:$A$120,0)),"Unknown ID"))</f>
        <v/>
      </c>
      <c r="C125" s="45">
        <f>IF($A125="","",IFERROR(INDEX('Chain Program'!$D$6:$D$120,MATCH($A125,'Chain Program'!$A$6:$A$120,0)),"Unknown ID"))</f>
        <v/>
      </c>
      <c r="D125" s="48" t="n"/>
      <c r="E125" s="48" t="n"/>
      <c r="F125" s="48" t="n"/>
      <c r="G125" s="49" t="n"/>
      <c r="H125" s="49" t="n"/>
      <c r="I125" s="41" t="n"/>
      <c r="J125" s="41" t="n"/>
      <c r="K125" s="48" t="n"/>
      <c r="L125" s="45">
        <f>IF(OR($A125="",$I125="",$J125=""),"",IF(TODAY()&lt;$I125,"Upcoming",IF(TODAY()&gt;$J125,"Expired","Active")))</f>
        <v/>
      </c>
      <c r="M125" s="45">
        <f>IF($L125="Active",$J125-TODAY(),"")</f>
        <v/>
      </c>
      <c r="N125" s="48" t="n"/>
      <c r="O125" s="47">
        <f>IF($L125="Active",$A125,"")</f>
        <v/>
      </c>
    </row>
    <row r="126">
      <c r="A126" s="48" t="n"/>
      <c r="B126" s="45">
        <f>IF($A126="","",IFERROR(INDEX('Chain Program'!$B$6:$B$120,MATCH($A126,'Chain Program'!$A$6:$A$120,0)),"Unknown ID"))</f>
        <v/>
      </c>
      <c r="C126" s="45">
        <f>IF($A126="","",IFERROR(INDEX('Chain Program'!$D$6:$D$120,MATCH($A126,'Chain Program'!$A$6:$A$120,0)),"Unknown ID"))</f>
        <v/>
      </c>
      <c r="D126" s="48" t="n"/>
      <c r="E126" s="48" t="n"/>
      <c r="F126" s="48" t="n"/>
      <c r="G126" s="49" t="n"/>
      <c r="H126" s="49" t="n"/>
      <c r="I126" s="41" t="n"/>
      <c r="J126" s="41" t="n"/>
      <c r="K126" s="48" t="n"/>
      <c r="L126" s="45">
        <f>IF(OR($A126="",$I126="",$J126=""),"",IF(TODAY()&lt;$I126,"Upcoming",IF(TODAY()&gt;$J126,"Expired","Active")))</f>
        <v/>
      </c>
      <c r="M126" s="45">
        <f>IF($L126="Active",$J126-TODAY(),"")</f>
        <v/>
      </c>
      <c r="N126" s="48" t="n"/>
      <c r="O126" s="47">
        <f>IF($L126="Active",$A126,"")</f>
        <v/>
      </c>
    </row>
    <row r="127">
      <c r="A127" s="48" t="n"/>
      <c r="B127" s="45">
        <f>IF($A127="","",IFERROR(INDEX('Chain Program'!$B$6:$B$120,MATCH($A127,'Chain Program'!$A$6:$A$120,0)),"Unknown ID"))</f>
        <v/>
      </c>
      <c r="C127" s="45">
        <f>IF($A127="","",IFERROR(INDEX('Chain Program'!$D$6:$D$120,MATCH($A127,'Chain Program'!$A$6:$A$120,0)),"Unknown ID"))</f>
        <v/>
      </c>
      <c r="D127" s="48" t="n"/>
      <c r="E127" s="48" t="n"/>
      <c r="F127" s="48" t="n"/>
      <c r="G127" s="49" t="n"/>
      <c r="H127" s="49" t="n"/>
      <c r="I127" s="41" t="n"/>
      <c r="J127" s="41" t="n"/>
      <c r="K127" s="48" t="n"/>
      <c r="L127" s="45">
        <f>IF(OR($A127="",$I127="",$J127=""),"",IF(TODAY()&lt;$I127,"Upcoming",IF(TODAY()&gt;$J127,"Expired","Active")))</f>
        <v/>
      </c>
      <c r="M127" s="45">
        <f>IF($L127="Active",$J127-TODAY(),"")</f>
        <v/>
      </c>
      <c r="N127" s="48" t="n"/>
      <c r="O127" s="47">
        <f>IF($L127="Active",$A127,"")</f>
        <v/>
      </c>
    </row>
    <row r="128">
      <c r="A128" s="48" t="n"/>
      <c r="B128" s="45">
        <f>IF($A128="","",IFERROR(INDEX('Chain Program'!$B$6:$B$120,MATCH($A128,'Chain Program'!$A$6:$A$120,0)),"Unknown ID"))</f>
        <v/>
      </c>
      <c r="C128" s="45">
        <f>IF($A128="","",IFERROR(INDEX('Chain Program'!$D$6:$D$120,MATCH($A128,'Chain Program'!$A$6:$A$120,0)),"Unknown ID"))</f>
        <v/>
      </c>
      <c r="D128" s="48" t="n"/>
      <c r="E128" s="48" t="n"/>
      <c r="F128" s="48" t="n"/>
      <c r="G128" s="49" t="n"/>
      <c r="H128" s="49" t="n"/>
      <c r="I128" s="41" t="n"/>
      <c r="J128" s="41" t="n"/>
      <c r="K128" s="48" t="n"/>
      <c r="L128" s="45">
        <f>IF(OR($A128="",$I128="",$J128=""),"",IF(TODAY()&lt;$I128,"Upcoming",IF(TODAY()&gt;$J128,"Expired","Active")))</f>
        <v/>
      </c>
      <c r="M128" s="45">
        <f>IF($L128="Active",$J128-TODAY(),"")</f>
        <v/>
      </c>
      <c r="N128" s="48" t="n"/>
      <c r="O128" s="47">
        <f>IF($L128="Active",$A128,"")</f>
        <v/>
      </c>
    </row>
    <row r="129">
      <c r="A129" s="48" t="n"/>
      <c r="B129" s="45">
        <f>IF($A129="","",IFERROR(INDEX('Chain Program'!$B$6:$B$120,MATCH($A129,'Chain Program'!$A$6:$A$120,0)),"Unknown ID"))</f>
        <v/>
      </c>
      <c r="C129" s="45">
        <f>IF($A129="","",IFERROR(INDEX('Chain Program'!$D$6:$D$120,MATCH($A129,'Chain Program'!$A$6:$A$120,0)),"Unknown ID"))</f>
        <v/>
      </c>
      <c r="D129" s="48" t="n"/>
      <c r="E129" s="48" t="n"/>
      <c r="F129" s="48" t="n"/>
      <c r="G129" s="49" t="n"/>
      <c r="H129" s="49" t="n"/>
      <c r="I129" s="41" t="n"/>
      <c r="J129" s="41" t="n"/>
      <c r="K129" s="48" t="n"/>
      <c r="L129" s="45">
        <f>IF(OR($A129="",$I129="",$J129=""),"",IF(TODAY()&lt;$I129,"Upcoming",IF(TODAY()&gt;$J129,"Expired","Active")))</f>
        <v/>
      </c>
      <c r="M129" s="45">
        <f>IF($L129="Active",$J129-TODAY(),"")</f>
        <v/>
      </c>
      <c r="N129" s="48" t="n"/>
      <c r="O129" s="47">
        <f>IF($L129="Active",$A129,"")</f>
        <v/>
      </c>
    </row>
    <row r="130">
      <c r="A130" s="48" t="n"/>
      <c r="B130" s="45">
        <f>IF($A130="","",IFERROR(INDEX('Chain Program'!$B$6:$B$120,MATCH($A130,'Chain Program'!$A$6:$A$120,0)),"Unknown ID"))</f>
        <v/>
      </c>
      <c r="C130" s="45">
        <f>IF($A130="","",IFERROR(INDEX('Chain Program'!$D$6:$D$120,MATCH($A130,'Chain Program'!$A$6:$A$120,0)),"Unknown ID"))</f>
        <v/>
      </c>
      <c r="D130" s="48" t="n"/>
      <c r="E130" s="48" t="n"/>
      <c r="F130" s="48" t="n"/>
      <c r="G130" s="49" t="n"/>
      <c r="H130" s="49" t="n"/>
      <c r="I130" s="41" t="n"/>
      <c r="J130" s="41" t="n"/>
      <c r="K130" s="48" t="n"/>
      <c r="L130" s="45">
        <f>IF(OR($A130="",$I130="",$J130=""),"",IF(TODAY()&lt;$I130,"Upcoming",IF(TODAY()&gt;$J130,"Expired","Active")))</f>
        <v/>
      </c>
      <c r="M130" s="45">
        <f>IF($L130="Active",$J130-TODAY(),"")</f>
        <v/>
      </c>
      <c r="N130" s="48" t="n"/>
      <c r="O130" s="47">
        <f>IF($L130="Active",$A130,"")</f>
        <v/>
      </c>
    </row>
    <row r="131">
      <c r="A131" s="48" t="n"/>
      <c r="B131" s="45">
        <f>IF($A131="","",IFERROR(INDEX('Chain Program'!$B$6:$B$120,MATCH($A131,'Chain Program'!$A$6:$A$120,0)),"Unknown ID"))</f>
        <v/>
      </c>
      <c r="C131" s="45">
        <f>IF($A131="","",IFERROR(INDEX('Chain Program'!$D$6:$D$120,MATCH($A131,'Chain Program'!$A$6:$A$120,0)),"Unknown ID"))</f>
        <v/>
      </c>
      <c r="D131" s="48" t="n"/>
      <c r="E131" s="48" t="n"/>
      <c r="F131" s="48" t="n"/>
      <c r="G131" s="49" t="n"/>
      <c r="H131" s="49" t="n"/>
      <c r="I131" s="41" t="n"/>
      <c r="J131" s="41" t="n"/>
      <c r="K131" s="48" t="n"/>
      <c r="L131" s="45">
        <f>IF(OR($A131="",$I131="",$J131=""),"",IF(TODAY()&lt;$I131,"Upcoming",IF(TODAY()&gt;$J131,"Expired","Active")))</f>
        <v/>
      </c>
      <c r="M131" s="45">
        <f>IF($L131="Active",$J131-TODAY(),"")</f>
        <v/>
      </c>
      <c r="N131" s="48" t="n"/>
      <c r="O131" s="47">
        <f>IF($L131="Active",$A131,"")</f>
        <v/>
      </c>
    </row>
    <row r="132">
      <c r="A132" s="48" t="n"/>
      <c r="B132" s="45">
        <f>IF($A132="","",IFERROR(INDEX('Chain Program'!$B$6:$B$120,MATCH($A132,'Chain Program'!$A$6:$A$120,0)),"Unknown ID"))</f>
        <v/>
      </c>
      <c r="C132" s="45">
        <f>IF($A132="","",IFERROR(INDEX('Chain Program'!$D$6:$D$120,MATCH($A132,'Chain Program'!$A$6:$A$120,0)),"Unknown ID"))</f>
        <v/>
      </c>
      <c r="D132" s="48" t="n"/>
      <c r="E132" s="48" t="n"/>
      <c r="F132" s="48" t="n"/>
      <c r="G132" s="49" t="n"/>
      <c r="H132" s="49" t="n"/>
      <c r="I132" s="41" t="n"/>
      <c r="J132" s="41" t="n"/>
      <c r="K132" s="48" t="n"/>
      <c r="L132" s="45">
        <f>IF(OR($A132="",$I132="",$J132=""),"",IF(TODAY()&lt;$I132,"Upcoming",IF(TODAY()&gt;$J132,"Expired","Active")))</f>
        <v/>
      </c>
      <c r="M132" s="45">
        <f>IF($L132="Active",$J132-TODAY(),"")</f>
        <v/>
      </c>
      <c r="N132" s="48" t="n"/>
      <c r="O132" s="47">
        <f>IF($L132="Active",$A132,"")</f>
        <v/>
      </c>
    </row>
    <row r="133">
      <c r="A133" s="48" t="n"/>
      <c r="B133" s="45">
        <f>IF($A133="","",IFERROR(INDEX('Chain Program'!$B$6:$B$120,MATCH($A133,'Chain Program'!$A$6:$A$120,0)),"Unknown ID"))</f>
        <v/>
      </c>
      <c r="C133" s="45">
        <f>IF($A133="","",IFERROR(INDEX('Chain Program'!$D$6:$D$120,MATCH($A133,'Chain Program'!$A$6:$A$120,0)),"Unknown ID"))</f>
        <v/>
      </c>
      <c r="D133" s="48" t="n"/>
      <c r="E133" s="48" t="n"/>
      <c r="F133" s="48" t="n"/>
      <c r="G133" s="49" t="n"/>
      <c r="H133" s="49" t="n"/>
      <c r="I133" s="41" t="n"/>
      <c r="J133" s="41" t="n"/>
      <c r="K133" s="48" t="n"/>
      <c r="L133" s="45">
        <f>IF(OR($A133="",$I133="",$J133=""),"",IF(TODAY()&lt;$I133,"Upcoming",IF(TODAY()&gt;$J133,"Expired","Active")))</f>
        <v/>
      </c>
      <c r="M133" s="45">
        <f>IF($L133="Active",$J133-TODAY(),"")</f>
        <v/>
      </c>
      <c r="N133" s="48" t="n"/>
      <c r="O133" s="47">
        <f>IF($L133="Active",$A133,"")</f>
        <v/>
      </c>
    </row>
    <row r="134">
      <c r="A134" s="48" t="n"/>
      <c r="B134" s="45">
        <f>IF($A134="","",IFERROR(INDEX('Chain Program'!$B$6:$B$120,MATCH($A134,'Chain Program'!$A$6:$A$120,0)),"Unknown ID"))</f>
        <v/>
      </c>
      <c r="C134" s="45">
        <f>IF($A134="","",IFERROR(INDEX('Chain Program'!$D$6:$D$120,MATCH($A134,'Chain Program'!$A$6:$A$120,0)),"Unknown ID"))</f>
        <v/>
      </c>
      <c r="D134" s="48" t="n"/>
      <c r="E134" s="48" t="n"/>
      <c r="F134" s="48" t="n"/>
      <c r="G134" s="49" t="n"/>
      <c r="H134" s="49" t="n"/>
      <c r="I134" s="41" t="n"/>
      <c r="J134" s="41" t="n"/>
      <c r="K134" s="48" t="n"/>
      <c r="L134" s="45">
        <f>IF(OR($A134="",$I134="",$J134=""),"",IF(TODAY()&lt;$I134,"Upcoming",IF(TODAY()&gt;$J134,"Expired","Active")))</f>
        <v/>
      </c>
      <c r="M134" s="45">
        <f>IF($L134="Active",$J134-TODAY(),"")</f>
        <v/>
      </c>
      <c r="N134" s="48" t="n"/>
      <c r="O134" s="47">
        <f>IF($L134="Active",$A134,"")</f>
        <v/>
      </c>
    </row>
    <row r="135">
      <c r="A135" s="48" t="n"/>
      <c r="B135" s="45">
        <f>IF($A135="","",IFERROR(INDEX('Chain Program'!$B$6:$B$120,MATCH($A135,'Chain Program'!$A$6:$A$120,0)),"Unknown ID"))</f>
        <v/>
      </c>
      <c r="C135" s="45">
        <f>IF($A135="","",IFERROR(INDEX('Chain Program'!$D$6:$D$120,MATCH($A135,'Chain Program'!$A$6:$A$120,0)),"Unknown ID"))</f>
        <v/>
      </c>
      <c r="D135" s="48" t="n"/>
      <c r="E135" s="48" t="n"/>
      <c r="F135" s="48" t="n"/>
      <c r="G135" s="49" t="n"/>
      <c r="H135" s="49" t="n"/>
      <c r="I135" s="41" t="n"/>
      <c r="J135" s="41" t="n"/>
      <c r="K135" s="48" t="n"/>
      <c r="L135" s="45">
        <f>IF(OR($A135="",$I135="",$J135=""),"",IF(TODAY()&lt;$I135,"Upcoming",IF(TODAY()&gt;$J135,"Expired","Active")))</f>
        <v/>
      </c>
      <c r="M135" s="45">
        <f>IF($L135="Active",$J135-TODAY(),"")</f>
        <v/>
      </c>
      <c r="N135" s="48" t="n"/>
      <c r="O135" s="47">
        <f>IF($L135="Active",$A135,"")</f>
        <v/>
      </c>
    </row>
    <row r="136">
      <c r="A136" s="48" t="n"/>
      <c r="B136" s="45">
        <f>IF($A136="","",IFERROR(INDEX('Chain Program'!$B$6:$B$120,MATCH($A136,'Chain Program'!$A$6:$A$120,0)),"Unknown ID"))</f>
        <v/>
      </c>
      <c r="C136" s="45">
        <f>IF($A136="","",IFERROR(INDEX('Chain Program'!$D$6:$D$120,MATCH($A136,'Chain Program'!$A$6:$A$120,0)),"Unknown ID"))</f>
        <v/>
      </c>
      <c r="D136" s="48" t="n"/>
      <c r="E136" s="48" t="n"/>
      <c r="F136" s="48" t="n"/>
      <c r="G136" s="49" t="n"/>
      <c r="H136" s="49" t="n"/>
      <c r="I136" s="41" t="n"/>
      <c r="J136" s="41" t="n"/>
      <c r="K136" s="48" t="n"/>
      <c r="L136" s="45">
        <f>IF(OR($A136="",$I136="",$J136=""),"",IF(TODAY()&lt;$I136,"Upcoming",IF(TODAY()&gt;$J136,"Expired","Active")))</f>
        <v/>
      </c>
      <c r="M136" s="45">
        <f>IF($L136="Active",$J136-TODAY(),"")</f>
        <v/>
      </c>
      <c r="N136" s="48" t="n"/>
      <c r="O136" s="47">
        <f>IF($L136="Active",$A136,"")</f>
        <v/>
      </c>
    </row>
    <row r="137">
      <c r="A137" s="48" t="n"/>
      <c r="B137" s="45">
        <f>IF($A137="","",IFERROR(INDEX('Chain Program'!$B$6:$B$120,MATCH($A137,'Chain Program'!$A$6:$A$120,0)),"Unknown ID"))</f>
        <v/>
      </c>
      <c r="C137" s="45">
        <f>IF($A137="","",IFERROR(INDEX('Chain Program'!$D$6:$D$120,MATCH($A137,'Chain Program'!$A$6:$A$120,0)),"Unknown ID"))</f>
        <v/>
      </c>
      <c r="D137" s="48" t="n"/>
      <c r="E137" s="48" t="n"/>
      <c r="F137" s="48" t="n"/>
      <c r="G137" s="49" t="n"/>
      <c r="H137" s="49" t="n"/>
      <c r="I137" s="41" t="n"/>
      <c r="J137" s="41" t="n"/>
      <c r="K137" s="48" t="n"/>
      <c r="L137" s="45">
        <f>IF(OR($A137="",$I137="",$J137=""),"",IF(TODAY()&lt;$I137,"Upcoming",IF(TODAY()&gt;$J137,"Expired","Active")))</f>
        <v/>
      </c>
      <c r="M137" s="45">
        <f>IF($L137="Active",$J137-TODAY(),"")</f>
        <v/>
      </c>
      <c r="N137" s="48" t="n"/>
      <c r="O137" s="47">
        <f>IF($L137="Active",$A137,"")</f>
        <v/>
      </c>
    </row>
    <row r="138">
      <c r="A138" s="48" t="n"/>
      <c r="B138" s="45">
        <f>IF($A138="","",IFERROR(INDEX('Chain Program'!$B$6:$B$120,MATCH($A138,'Chain Program'!$A$6:$A$120,0)),"Unknown ID"))</f>
        <v/>
      </c>
      <c r="C138" s="45">
        <f>IF($A138="","",IFERROR(INDEX('Chain Program'!$D$6:$D$120,MATCH($A138,'Chain Program'!$A$6:$A$120,0)),"Unknown ID"))</f>
        <v/>
      </c>
      <c r="D138" s="48" t="n"/>
      <c r="E138" s="48" t="n"/>
      <c r="F138" s="48" t="n"/>
      <c r="G138" s="49" t="n"/>
      <c r="H138" s="49" t="n"/>
      <c r="I138" s="41" t="n"/>
      <c r="J138" s="41" t="n"/>
      <c r="K138" s="48" t="n"/>
      <c r="L138" s="45">
        <f>IF(OR($A138="",$I138="",$J138=""),"",IF(TODAY()&lt;$I138,"Upcoming",IF(TODAY()&gt;$J138,"Expired","Active")))</f>
        <v/>
      </c>
      <c r="M138" s="45">
        <f>IF($L138="Active",$J138-TODAY(),"")</f>
        <v/>
      </c>
      <c r="N138" s="48" t="n"/>
      <c r="O138" s="47">
        <f>IF($L138="Active",$A138,"")</f>
        <v/>
      </c>
    </row>
    <row r="139">
      <c r="A139" s="48" t="n"/>
      <c r="B139" s="45">
        <f>IF($A139="","",IFERROR(INDEX('Chain Program'!$B$6:$B$120,MATCH($A139,'Chain Program'!$A$6:$A$120,0)),"Unknown ID"))</f>
        <v/>
      </c>
      <c r="C139" s="45">
        <f>IF($A139="","",IFERROR(INDEX('Chain Program'!$D$6:$D$120,MATCH($A139,'Chain Program'!$A$6:$A$120,0)),"Unknown ID"))</f>
        <v/>
      </c>
      <c r="D139" s="48" t="n"/>
      <c r="E139" s="48" t="n"/>
      <c r="F139" s="48" t="n"/>
      <c r="G139" s="49" t="n"/>
      <c r="H139" s="49" t="n"/>
      <c r="I139" s="41" t="n"/>
      <c r="J139" s="41" t="n"/>
      <c r="K139" s="48" t="n"/>
      <c r="L139" s="45">
        <f>IF(OR($A139="",$I139="",$J139=""),"",IF(TODAY()&lt;$I139,"Upcoming",IF(TODAY()&gt;$J139,"Expired","Active")))</f>
        <v/>
      </c>
      <c r="M139" s="45">
        <f>IF($L139="Active",$J139-TODAY(),"")</f>
        <v/>
      </c>
      <c r="N139" s="48" t="n"/>
      <c r="O139" s="47">
        <f>IF($L139="Active",$A139,"")</f>
        <v/>
      </c>
    </row>
    <row r="140">
      <c r="A140" s="48" t="n"/>
      <c r="B140" s="45">
        <f>IF($A140="","",IFERROR(INDEX('Chain Program'!$B$6:$B$120,MATCH($A140,'Chain Program'!$A$6:$A$120,0)),"Unknown ID"))</f>
        <v/>
      </c>
      <c r="C140" s="45">
        <f>IF($A140="","",IFERROR(INDEX('Chain Program'!$D$6:$D$120,MATCH($A140,'Chain Program'!$A$6:$A$120,0)),"Unknown ID"))</f>
        <v/>
      </c>
      <c r="D140" s="48" t="n"/>
      <c r="E140" s="48" t="n"/>
      <c r="F140" s="48" t="n"/>
      <c r="G140" s="49" t="n"/>
      <c r="H140" s="49" t="n"/>
      <c r="I140" s="41" t="n"/>
      <c r="J140" s="41" t="n"/>
      <c r="K140" s="48" t="n"/>
      <c r="L140" s="45">
        <f>IF(OR($A140="",$I140="",$J140=""),"",IF(TODAY()&lt;$I140,"Upcoming",IF(TODAY()&gt;$J140,"Expired","Active")))</f>
        <v/>
      </c>
      <c r="M140" s="45">
        <f>IF($L140="Active",$J140-TODAY(),"")</f>
        <v/>
      </c>
      <c r="N140" s="48" t="n"/>
      <c r="O140" s="47">
        <f>IF($L140="Active",$A140,"")</f>
        <v/>
      </c>
    </row>
    <row r="141">
      <c r="A141" s="48" t="n"/>
      <c r="B141" s="45">
        <f>IF($A141="","",IFERROR(INDEX('Chain Program'!$B$6:$B$120,MATCH($A141,'Chain Program'!$A$6:$A$120,0)),"Unknown ID"))</f>
        <v/>
      </c>
      <c r="C141" s="45">
        <f>IF($A141="","",IFERROR(INDEX('Chain Program'!$D$6:$D$120,MATCH($A141,'Chain Program'!$A$6:$A$120,0)),"Unknown ID"))</f>
        <v/>
      </c>
      <c r="D141" s="48" t="n"/>
      <c r="E141" s="48" t="n"/>
      <c r="F141" s="48" t="n"/>
      <c r="G141" s="49" t="n"/>
      <c r="H141" s="49" t="n"/>
      <c r="I141" s="41" t="n"/>
      <c r="J141" s="41" t="n"/>
      <c r="K141" s="48" t="n"/>
      <c r="L141" s="45">
        <f>IF(OR($A141="",$I141="",$J141=""),"",IF(TODAY()&lt;$I141,"Upcoming",IF(TODAY()&gt;$J141,"Expired","Active")))</f>
        <v/>
      </c>
      <c r="M141" s="45">
        <f>IF($L141="Active",$J141-TODAY(),"")</f>
        <v/>
      </c>
      <c r="N141" s="48" t="n"/>
      <c r="O141" s="47">
        <f>IF($L141="Active",$A141,"")</f>
        <v/>
      </c>
    </row>
    <row r="142">
      <c r="A142" s="48" t="n"/>
      <c r="B142" s="45">
        <f>IF($A142="","",IFERROR(INDEX('Chain Program'!$B$6:$B$120,MATCH($A142,'Chain Program'!$A$6:$A$120,0)),"Unknown ID"))</f>
        <v/>
      </c>
      <c r="C142" s="45">
        <f>IF($A142="","",IFERROR(INDEX('Chain Program'!$D$6:$D$120,MATCH($A142,'Chain Program'!$A$6:$A$120,0)),"Unknown ID"))</f>
        <v/>
      </c>
      <c r="D142" s="48" t="n"/>
      <c r="E142" s="48" t="n"/>
      <c r="F142" s="48" t="n"/>
      <c r="G142" s="49" t="n"/>
      <c r="H142" s="49" t="n"/>
      <c r="I142" s="41" t="n"/>
      <c r="J142" s="41" t="n"/>
      <c r="K142" s="48" t="n"/>
      <c r="L142" s="45">
        <f>IF(OR($A142="",$I142="",$J142=""),"",IF(TODAY()&lt;$I142,"Upcoming",IF(TODAY()&gt;$J142,"Expired","Active")))</f>
        <v/>
      </c>
      <c r="M142" s="45">
        <f>IF($L142="Active",$J142-TODAY(),"")</f>
        <v/>
      </c>
      <c r="N142" s="48" t="n"/>
      <c r="O142" s="47">
        <f>IF($L142="Active",$A142,"")</f>
        <v/>
      </c>
    </row>
    <row r="143">
      <c r="A143" s="48" t="n"/>
      <c r="B143" s="45">
        <f>IF($A143="","",IFERROR(INDEX('Chain Program'!$B$6:$B$120,MATCH($A143,'Chain Program'!$A$6:$A$120,0)),"Unknown ID"))</f>
        <v/>
      </c>
      <c r="C143" s="45">
        <f>IF($A143="","",IFERROR(INDEX('Chain Program'!$D$6:$D$120,MATCH($A143,'Chain Program'!$A$6:$A$120,0)),"Unknown ID"))</f>
        <v/>
      </c>
      <c r="D143" s="48" t="n"/>
      <c r="E143" s="48" t="n"/>
      <c r="F143" s="48" t="n"/>
      <c r="G143" s="49" t="n"/>
      <c r="H143" s="49" t="n"/>
      <c r="I143" s="41" t="n"/>
      <c r="J143" s="41" t="n"/>
      <c r="K143" s="48" t="n"/>
      <c r="L143" s="45">
        <f>IF(OR($A143="",$I143="",$J143=""),"",IF(TODAY()&lt;$I143,"Upcoming",IF(TODAY()&gt;$J143,"Expired","Active")))</f>
        <v/>
      </c>
      <c r="M143" s="45">
        <f>IF($L143="Active",$J143-TODAY(),"")</f>
        <v/>
      </c>
      <c r="N143" s="48" t="n"/>
      <c r="O143" s="47">
        <f>IF($L143="Active",$A143,"")</f>
        <v/>
      </c>
    </row>
    <row r="144">
      <c r="A144" s="48" t="n"/>
      <c r="B144" s="45">
        <f>IF($A144="","",IFERROR(INDEX('Chain Program'!$B$6:$B$120,MATCH($A144,'Chain Program'!$A$6:$A$120,0)),"Unknown ID"))</f>
        <v/>
      </c>
      <c r="C144" s="45">
        <f>IF($A144="","",IFERROR(INDEX('Chain Program'!$D$6:$D$120,MATCH($A144,'Chain Program'!$A$6:$A$120,0)),"Unknown ID"))</f>
        <v/>
      </c>
      <c r="D144" s="48" t="n"/>
      <c r="E144" s="48" t="n"/>
      <c r="F144" s="48" t="n"/>
      <c r="G144" s="49" t="n"/>
      <c r="H144" s="49" t="n"/>
      <c r="I144" s="41" t="n"/>
      <c r="J144" s="41" t="n"/>
      <c r="K144" s="48" t="n"/>
      <c r="L144" s="45">
        <f>IF(OR($A144="",$I144="",$J144=""),"",IF(TODAY()&lt;$I144,"Upcoming",IF(TODAY()&gt;$J144,"Expired","Active")))</f>
        <v/>
      </c>
      <c r="M144" s="45">
        <f>IF($L144="Active",$J144-TODAY(),"")</f>
        <v/>
      </c>
      <c r="N144" s="48" t="n"/>
      <c r="O144" s="47">
        <f>IF($L144="Active",$A144,"")</f>
        <v/>
      </c>
    </row>
    <row r="145">
      <c r="A145" s="48" t="n"/>
      <c r="B145" s="45">
        <f>IF($A145="","",IFERROR(INDEX('Chain Program'!$B$6:$B$120,MATCH($A145,'Chain Program'!$A$6:$A$120,0)),"Unknown ID"))</f>
        <v/>
      </c>
      <c r="C145" s="45">
        <f>IF($A145="","",IFERROR(INDEX('Chain Program'!$D$6:$D$120,MATCH($A145,'Chain Program'!$A$6:$A$120,0)),"Unknown ID"))</f>
        <v/>
      </c>
      <c r="D145" s="48" t="n"/>
      <c r="E145" s="48" t="n"/>
      <c r="F145" s="48" t="n"/>
      <c r="G145" s="49" t="n"/>
      <c r="H145" s="49" t="n"/>
      <c r="I145" s="41" t="n"/>
      <c r="J145" s="41" t="n"/>
      <c r="K145" s="48" t="n"/>
      <c r="L145" s="45">
        <f>IF(OR($A145="",$I145="",$J145=""),"",IF(TODAY()&lt;$I145,"Upcoming",IF(TODAY()&gt;$J145,"Expired","Active")))</f>
        <v/>
      </c>
      <c r="M145" s="45">
        <f>IF($L145="Active",$J145-TODAY(),"")</f>
        <v/>
      </c>
      <c r="N145" s="48" t="n"/>
      <c r="O145" s="47">
        <f>IF($L145="Active",$A145,"")</f>
        <v/>
      </c>
    </row>
    <row r="146">
      <c r="A146" s="48" t="n"/>
      <c r="B146" s="45">
        <f>IF($A146="","",IFERROR(INDEX('Chain Program'!$B$6:$B$120,MATCH($A146,'Chain Program'!$A$6:$A$120,0)),"Unknown ID"))</f>
        <v/>
      </c>
      <c r="C146" s="45">
        <f>IF($A146="","",IFERROR(INDEX('Chain Program'!$D$6:$D$120,MATCH($A146,'Chain Program'!$A$6:$A$120,0)),"Unknown ID"))</f>
        <v/>
      </c>
      <c r="D146" s="48" t="n"/>
      <c r="E146" s="48" t="n"/>
      <c r="F146" s="48" t="n"/>
      <c r="G146" s="49" t="n"/>
      <c r="H146" s="49" t="n"/>
      <c r="I146" s="41" t="n"/>
      <c r="J146" s="41" t="n"/>
      <c r="K146" s="48" t="n"/>
      <c r="L146" s="45">
        <f>IF(OR($A146="",$I146="",$J146=""),"",IF(TODAY()&lt;$I146,"Upcoming",IF(TODAY()&gt;$J146,"Expired","Active")))</f>
        <v/>
      </c>
      <c r="M146" s="45">
        <f>IF($L146="Active",$J146-TODAY(),"")</f>
        <v/>
      </c>
      <c r="N146" s="48" t="n"/>
      <c r="O146" s="47">
        <f>IF($L146="Active",$A146,"")</f>
        <v/>
      </c>
    </row>
    <row r="147">
      <c r="A147" s="48" t="n"/>
      <c r="B147" s="45">
        <f>IF($A147="","",IFERROR(INDEX('Chain Program'!$B$6:$B$120,MATCH($A147,'Chain Program'!$A$6:$A$120,0)),"Unknown ID"))</f>
        <v/>
      </c>
      <c r="C147" s="45">
        <f>IF($A147="","",IFERROR(INDEX('Chain Program'!$D$6:$D$120,MATCH($A147,'Chain Program'!$A$6:$A$120,0)),"Unknown ID"))</f>
        <v/>
      </c>
      <c r="D147" s="48" t="n"/>
      <c r="E147" s="48" t="n"/>
      <c r="F147" s="48" t="n"/>
      <c r="G147" s="49" t="n"/>
      <c r="H147" s="49" t="n"/>
      <c r="I147" s="41" t="n"/>
      <c r="J147" s="41" t="n"/>
      <c r="K147" s="48" t="n"/>
      <c r="L147" s="45">
        <f>IF(OR($A147="",$I147="",$J147=""),"",IF(TODAY()&lt;$I147,"Upcoming",IF(TODAY()&gt;$J147,"Expired","Active")))</f>
        <v/>
      </c>
      <c r="M147" s="45">
        <f>IF($L147="Active",$J147-TODAY(),"")</f>
        <v/>
      </c>
      <c r="N147" s="48" t="n"/>
      <c r="O147" s="47">
        <f>IF($L147="Active",$A147,"")</f>
        <v/>
      </c>
    </row>
    <row r="148">
      <c r="A148" s="48" t="n"/>
      <c r="B148" s="45">
        <f>IF($A148="","",IFERROR(INDEX('Chain Program'!$B$6:$B$120,MATCH($A148,'Chain Program'!$A$6:$A$120,0)),"Unknown ID"))</f>
        <v/>
      </c>
      <c r="C148" s="45">
        <f>IF($A148="","",IFERROR(INDEX('Chain Program'!$D$6:$D$120,MATCH($A148,'Chain Program'!$A$6:$A$120,0)),"Unknown ID"))</f>
        <v/>
      </c>
      <c r="D148" s="48" t="n"/>
      <c r="E148" s="48" t="n"/>
      <c r="F148" s="48" t="n"/>
      <c r="G148" s="49" t="n"/>
      <c r="H148" s="49" t="n"/>
      <c r="I148" s="41" t="n"/>
      <c r="J148" s="41" t="n"/>
      <c r="K148" s="48" t="n"/>
      <c r="L148" s="45">
        <f>IF(OR($A148="",$I148="",$J148=""),"",IF(TODAY()&lt;$I148,"Upcoming",IF(TODAY()&gt;$J148,"Expired","Active")))</f>
        <v/>
      </c>
      <c r="M148" s="45">
        <f>IF($L148="Active",$J148-TODAY(),"")</f>
        <v/>
      </c>
      <c r="N148" s="48" t="n"/>
      <c r="O148" s="47">
        <f>IF($L148="Active",$A148,"")</f>
        <v/>
      </c>
    </row>
    <row r="149">
      <c r="A149" s="48" t="n"/>
      <c r="B149" s="45">
        <f>IF($A149="","",IFERROR(INDEX('Chain Program'!$B$6:$B$120,MATCH($A149,'Chain Program'!$A$6:$A$120,0)),"Unknown ID"))</f>
        <v/>
      </c>
      <c r="C149" s="45">
        <f>IF($A149="","",IFERROR(INDEX('Chain Program'!$D$6:$D$120,MATCH($A149,'Chain Program'!$A$6:$A$120,0)),"Unknown ID"))</f>
        <v/>
      </c>
      <c r="D149" s="48" t="n"/>
      <c r="E149" s="48" t="n"/>
      <c r="F149" s="48" t="n"/>
      <c r="G149" s="49" t="n"/>
      <c r="H149" s="49" t="n"/>
      <c r="I149" s="41" t="n"/>
      <c r="J149" s="41" t="n"/>
      <c r="K149" s="48" t="n"/>
      <c r="L149" s="45">
        <f>IF(OR($A149="",$I149="",$J149=""),"",IF(TODAY()&lt;$I149,"Upcoming",IF(TODAY()&gt;$J149,"Expired","Active")))</f>
        <v/>
      </c>
      <c r="M149" s="45">
        <f>IF($L149="Active",$J149-TODAY(),"")</f>
        <v/>
      </c>
      <c r="N149" s="48" t="n"/>
      <c r="O149" s="47">
        <f>IF($L149="Active",$A149,"")</f>
        <v/>
      </c>
    </row>
    <row r="150">
      <c r="A150" s="48" t="n"/>
      <c r="B150" s="45">
        <f>IF($A150="","",IFERROR(INDEX('Chain Program'!$B$6:$B$120,MATCH($A150,'Chain Program'!$A$6:$A$120,0)),"Unknown ID"))</f>
        <v/>
      </c>
      <c r="C150" s="45">
        <f>IF($A150="","",IFERROR(INDEX('Chain Program'!$D$6:$D$120,MATCH($A150,'Chain Program'!$A$6:$A$120,0)),"Unknown ID"))</f>
        <v/>
      </c>
      <c r="D150" s="48" t="n"/>
      <c r="E150" s="48" t="n"/>
      <c r="F150" s="48" t="n"/>
      <c r="G150" s="49" t="n"/>
      <c r="H150" s="49" t="n"/>
      <c r="I150" s="41" t="n"/>
      <c r="J150" s="41" t="n"/>
      <c r="K150" s="48" t="n"/>
      <c r="L150" s="45">
        <f>IF(OR($A150="",$I150="",$J150=""),"",IF(TODAY()&lt;$I150,"Upcoming",IF(TODAY()&gt;$J150,"Expired","Active")))</f>
        <v/>
      </c>
      <c r="M150" s="45">
        <f>IF($L150="Active",$J150-TODAY(),"")</f>
        <v/>
      </c>
      <c r="N150" s="48" t="n"/>
      <c r="O150" s="47">
        <f>IF($L150="Active",$A150,"")</f>
        <v/>
      </c>
    </row>
    <row r="151">
      <c r="A151" s="48" t="n"/>
      <c r="B151" s="45">
        <f>IF($A151="","",IFERROR(INDEX('Chain Program'!$B$6:$B$120,MATCH($A151,'Chain Program'!$A$6:$A$120,0)),"Unknown ID"))</f>
        <v/>
      </c>
      <c r="C151" s="45">
        <f>IF($A151="","",IFERROR(INDEX('Chain Program'!$D$6:$D$120,MATCH($A151,'Chain Program'!$A$6:$A$120,0)),"Unknown ID"))</f>
        <v/>
      </c>
      <c r="D151" s="48" t="n"/>
      <c r="E151" s="48" t="n"/>
      <c r="F151" s="48" t="n"/>
      <c r="G151" s="49" t="n"/>
      <c r="H151" s="49" t="n"/>
      <c r="I151" s="41" t="n"/>
      <c r="J151" s="41" t="n"/>
      <c r="K151" s="48" t="n"/>
      <c r="L151" s="45">
        <f>IF(OR($A151="",$I151="",$J151=""),"",IF(TODAY()&lt;$I151,"Upcoming",IF(TODAY()&gt;$J151,"Expired","Active")))</f>
        <v/>
      </c>
      <c r="M151" s="45">
        <f>IF($L151="Active",$J151-TODAY(),"")</f>
        <v/>
      </c>
      <c r="N151" s="48" t="n"/>
      <c r="O151" s="47">
        <f>IF($L151="Active",$A151,"")</f>
        <v/>
      </c>
    </row>
    <row r="152">
      <c r="A152" s="48" t="n"/>
      <c r="B152" s="45">
        <f>IF($A152="","",IFERROR(INDEX('Chain Program'!$B$6:$B$120,MATCH($A152,'Chain Program'!$A$6:$A$120,0)),"Unknown ID"))</f>
        <v/>
      </c>
      <c r="C152" s="45">
        <f>IF($A152="","",IFERROR(INDEX('Chain Program'!$D$6:$D$120,MATCH($A152,'Chain Program'!$A$6:$A$120,0)),"Unknown ID"))</f>
        <v/>
      </c>
      <c r="D152" s="48" t="n"/>
      <c r="E152" s="48" t="n"/>
      <c r="F152" s="48" t="n"/>
      <c r="G152" s="49" t="n"/>
      <c r="H152" s="49" t="n"/>
      <c r="I152" s="41" t="n"/>
      <c r="J152" s="41" t="n"/>
      <c r="K152" s="48" t="n"/>
      <c r="L152" s="45">
        <f>IF(OR($A152="",$I152="",$J152=""),"",IF(TODAY()&lt;$I152,"Upcoming",IF(TODAY()&gt;$J152,"Expired","Active")))</f>
        <v/>
      </c>
      <c r="M152" s="45">
        <f>IF($L152="Active",$J152-TODAY(),"")</f>
        <v/>
      </c>
      <c r="N152" s="48" t="n"/>
      <c r="O152" s="47">
        <f>IF($L152="Active",$A152,"")</f>
        <v/>
      </c>
    </row>
    <row r="153">
      <c r="A153" s="48" t="n"/>
      <c r="B153" s="45">
        <f>IF($A153="","",IFERROR(INDEX('Chain Program'!$B$6:$B$120,MATCH($A153,'Chain Program'!$A$6:$A$120,0)),"Unknown ID"))</f>
        <v/>
      </c>
      <c r="C153" s="45">
        <f>IF($A153="","",IFERROR(INDEX('Chain Program'!$D$6:$D$120,MATCH($A153,'Chain Program'!$A$6:$A$120,0)),"Unknown ID"))</f>
        <v/>
      </c>
      <c r="D153" s="48" t="n"/>
      <c r="E153" s="48" t="n"/>
      <c r="F153" s="48" t="n"/>
      <c r="G153" s="49" t="n"/>
      <c r="H153" s="49" t="n"/>
      <c r="I153" s="41" t="n"/>
      <c r="J153" s="41" t="n"/>
      <c r="K153" s="48" t="n"/>
      <c r="L153" s="45">
        <f>IF(OR($A153="",$I153="",$J153=""),"",IF(TODAY()&lt;$I153,"Upcoming",IF(TODAY()&gt;$J153,"Expired","Active")))</f>
        <v/>
      </c>
      <c r="M153" s="45">
        <f>IF($L153="Active",$J153-TODAY(),"")</f>
        <v/>
      </c>
      <c r="N153" s="48" t="n"/>
      <c r="O153" s="47">
        <f>IF($L153="Active",$A153,"")</f>
        <v/>
      </c>
    </row>
    <row r="154">
      <c r="A154" s="48" t="n"/>
      <c r="B154" s="45">
        <f>IF($A154="","",IFERROR(INDEX('Chain Program'!$B$6:$B$120,MATCH($A154,'Chain Program'!$A$6:$A$120,0)),"Unknown ID"))</f>
        <v/>
      </c>
      <c r="C154" s="45">
        <f>IF($A154="","",IFERROR(INDEX('Chain Program'!$D$6:$D$120,MATCH($A154,'Chain Program'!$A$6:$A$120,0)),"Unknown ID"))</f>
        <v/>
      </c>
      <c r="D154" s="48" t="n"/>
      <c r="E154" s="48" t="n"/>
      <c r="F154" s="48" t="n"/>
      <c r="G154" s="49" t="n"/>
      <c r="H154" s="49" t="n"/>
      <c r="I154" s="41" t="n"/>
      <c r="J154" s="41" t="n"/>
      <c r="K154" s="48" t="n"/>
      <c r="L154" s="45">
        <f>IF(OR($A154="",$I154="",$J154=""),"",IF(TODAY()&lt;$I154,"Upcoming",IF(TODAY()&gt;$J154,"Expired","Active")))</f>
        <v/>
      </c>
      <c r="M154" s="45">
        <f>IF($L154="Active",$J154-TODAY(),"")</f>
        <v/>
      </c>
      <c r="N154" s="48" t="n"/>
      <c r="O154" s="47">
        <f>IF($L154="Active",$A154,"")</f>
        <v/>
      </c>
    </row>
    <row r="155">
      <c r="A155" s="48" t="n"/>
      <c r="B155" s="45">
        <f>IF($A155="","",IFERROR(INDEX('Chain Program'!$B$6:$B$120,MATCH($A155,'Chain Program'!$A$6:$A$120,0)),"Unknown ID"))</f>
        <v/>
      </c>
      <c r="C155" s="45">
        <f>IF($A155="","",IFERROR(INDEX('Chain Program'!$D$6:$D$120,MATCH($A155,'Chain Program'!$A$6:$A$120,0)),"Unknown ID"))</f>
        <v/>
      </c>
      <c r="D155" s="48" t="n"/>
      <c r="E155" s="48" t="n"/>
      <c r="F155" s="48" t="n"/>
      <c r="G155" s="49" t="n"/>
      <c r="H155" s="49" t="n"/>
      <c r="I155" s="41" t="n"/>
      <c r="J155" s="41" t="n"/>
      <c r="K155" s="48" t="n"/>
      <c r="L155" s="45">
        <f>IF(OR($A155="",$I155="",$J155=""),"",IF(TODAY()&lt;$I155,"Upcoming",IF(TODAY()&gt;$J155,"Expired","Active")))</f>
        <v/>
      </c>
      <c r="M155" s="45">
        <f>IF($L155="Active",$J155-TODAY(),"")</f>
        <v/>
      </c>
      <c r="N155" s="48" t="n"/>
      <c r="O155" s="47">
        <f>IF($L155="Active",$A155,"")</f>
        <v/>
      </c>
    </row>
    <row r="156">
      <c r="A156" s="48" t="n"/>
      <c r="B156" s="45">
        <f>IF($A156="","",IFERROR(INDEX('Chain Program'!$B$6:$B$120,MATCH($A156,'Chain Program'!$A$6:$A$120,0)),"Unknown ID"))</f>
        <v/>
      </c>
      <c r="C156" s="45">
        <f>IF($A156="","",IFERROR(INDEX('Chain Program'!$D$6:$D$120,MATCH($A156,'Chain Program'!$A$6:$A$120,0)),"Unknown ID"))</f>
        <v/>
      </c>
      <c r="D156" s="48" t="n"/>
      <c r="E156" s="48" t="n"/>
      <c r="F156" s="48" t="n"/>
      <c r="G156" s="49" t="n"/>
      <c r="H156" s="49" t="n"/>
      <c r="I156" s="41" t="n"/>
      <c r="J156" s="41" t="n"/>
      <c r="K156" s="48" t="n"/>
      <c r="L156" s="45">
        <f>IF(OR($A156="",$I156="",$J156=""),"",IF(TODAY()&lt;$I156,"Upcoming",IF(TODAY()&gt;$J156,"Expired","Active")))</f>
        <v/>
      </c>
      <c r="M156" s="45">
        <f>IF($L156="Active",$J156-TODAY(),"")</f>
        <v/>
      </c>
      <c r="N156" s="48" t="n"/>
      <c r="O156" s="47">
        <f>IF($L156="Active",$A156,"")</f>
        <v/>
      </c>
    </row>
    <row r="157">
      <c r="A157" s="48" t="n"/>
      <c r="B157" s="45">
        <f>IF($A157="","",IFERROR(INDEX('Chain Program'!$B$6:$B$120,MATCH($A157,'Chain Program'!$A$6:$A$120,0)),"Unknown ID"))</f>
        <v/>
      </c>
      <c r="C157" s="45">
        <f>IF($A157="","",IFERROR(INDEX('Chain Program'!$D$6:$D$120,MATCH($A157,'Chain Program'!$A$6:$A$120,0)),"Unknown ID"))</f>
        <v/>
      </c>
      <c r="D157" s="48" t="n"/>
      <c r="E157" s="48" t="n"/>
      <c r="F157" s="48" t="n"/>
      <c r="G157" s="49" t="n"/>
      <c r="H157" s="49" t="n"/>
      <c r="I157" s="41" t="n"/>
      <c r="J157" s="41" t="n"/>
      <c r="K157" s="48" t="n"/>
      <c r="L157" s="45">
        <f>IF(OR($A157="",$I157="",$J157=""),"",IF(TODAY()&lt;$I157,"Upcoming",IF(TODAY()&gt;$J157,"Expired","Active")))</f>
        <v/>
      </c>
      <c r="M157" s="45">
        <f>IF($L157="Active",$J157-TODAY(),"")</f>
        <v/>
      </c>
      <c r="N157" s="48" t="n"/>
      <c r="O157" s="47">
        <f>IF($L157="Active",$A157,"")</f>
        <v/>
      </c>
    </row>
    <row r="158">
      <c r="A158" s="48" t="n"/>
      <c r="B158" s="45">
        <f>IF($A158="","",IFERROR(INDEX('Chain Program'!$B$6:$B$120,MATCH($A158,'Chain Program'!$A$6:$A$120,0)),"Unknown ID"))</f>
        <v/>
      </c>
      <c r="C158" s="45">
        <f>IF($A158="","",IFERROR(INDEX('Chain Program'!$D$6:$D$120,MATCH($A158,'Chain Program'!$A$6:$A$120,0)),"Unknown ID"))</f>
        <v/>
      </c>
      <c r="D158" s="48" t="n"/>
      <c r="E158" s="48" t="n"/>
      <c r="F158" s="48" t="n"/>
      <c r="G158" s="49" t="n"/>
      <c r="H158" s="49" t="n"/>
      <c r="I158" s="41" t="n"/>
      <c r="J158" s="41" t="n"/>
      <c r="K158" s="48" t="n"/>
      <c r="L158" s="45">
        <f>IF(OR($A158="",$I158="",$J158=""),"",IF(TODAY()&lt;$I158,"Upcoming",IF(TODAY()&gt;$J158,"Expired","Active")))</f>
        <v/>
      </c>
      <c r="M158" s="45">
        <f>IF($L158="Active",$J158-TODAY(),"")</f>
        <v/>
      </c>
      <c r="N158" s="48" t="n"/>
      <c r="O158" s="47">
        <f>IF($L158="Active",$A158,"")</f>
        <v/>
      </c>
    </row>
    <row r="159">
      <c r="A159" s="48" t="n"/>
      <c r="B159" s="45">
        <f>IF($A159="","",IFERROR(INDEX('Chain Program'!$B$6:$B$120,MATCH($A159,'Chain Program'!$A$6:$A$120,0)),"Unknown ID"))</f>
        <v/>
      </c>
      <c r="C159" s="45">
        <f>IF($A159="","",IFERROR(INDEX('Chain Program'!$D$6:$D$120,MATCH($A159,'Chain Program'!$A$6:$A$120,0)),"Unknown ID"))</f>
        <v/>
      </c>
      <c r="D159" s="48" t="n"/>
      <c r="E159" s="48" t="n"/>
      <c r="F159" s="48" t="n"/>
      <c r="G159" s="49" t="n"/>
      <c r="H159" s="49" t="n"/>
      <c r="I159" s="41" t="n"/>
      <c r="J159" s="41" t="n"/>
      <c r="K159" s="48" t="n"/>
      <c r="L159" s="45">
        <f>IF(OR($A159="",$I159="",$J159=""),"",IF(TODAY()&lt;$I159,"Upcoming",IF(TODAY()&gt;$J159,"Expired","Active")))</f>
        <v/>
      </c>
      <c r="M159" s="45">
        <f>IF($L159="Active",$J159-TODAY(),"")</f>
        <v/>
      </c>
      <c r="N159" s="48" t="n"/>
      <c r="O159" s="47">
        <f>IF($L159="Active",$A159,"")</f>
        <v/>
      </c>
    </row>
    <row r="160">
      <c r="A160" s="48" t="n"/>
      <c r="B160" s="45">
        <f>IF($A160="","",IFERROR(INDEX('Chain Program'!$B$6:$B$120,MATCH($A160,'Chain Program'!$A$6:$A$120,0)),"Unknown ID"))</f>
        <v/>
      </c>
      <c r="C160" s="45">
        <f>IF($A160="","",IFERROR(INDEX('Chain Program'!$D$6:$D$120,MATCH($A160,'Chain Program'!$A$6:$A$120,0)),"Unknown ID"))</f>
        <v/>
      </c>
      <c r="D160" s="48" t="n"/>
      <c r="E160" s="48" t="n"/>
      <c r="F160" s="48" t="n"/>
      <c r="G160" s="49" t="n"/>
      <c r="H160" s="49" t="n"/>
      <c r="I160" s="41" t="n"/>
      <c r="J160" s="41" t="n"/>
      <c r="K160" s="48" t="n"/>
      <c r="L160" s="45">
        <f>IF(OR($A160="",$I160="",$J160=""),"",IF(TODAY()&lt;$I160,"Upcoming",IF(TODAY()&gt;$J160,"Expired","Active")))</f>
        <v/>
      </c>
      <c r="M160" s="45">
        <f>IF($L160="Active",$J160-TODAY(),"")</f>
        <v/>
      </c>
      <c r="N160" s="48" t="n"/>
      <c r="O160" s="47">
        <f>IF($L160="Active",$A160,"")</f>
        <v/>
      </c>
    </row>
    <row r="161">
      <c r="A161" s="48" t="n"/>
      <c r="B161" s="45">
        <f>IF($A161="","",IFERROR(INDEX('Chain Program'!$B$6:$B$120,MATCH($A161,'Chain Program'!$A$6:$A$120,0)),"Unknown ID"))</f>
        <v/>
      </c>
      <c r="C161" s="45">
        <f>IF($A161="","",IFERROR(INDEX('Chain Program'!$D$6:$D$120,MATCH($A161,'Chain Program'!$A$6:$A$120,0)),"Unknown ID"))</f>
        <v/>
      </c>
      <c r="D161" s="48" t="n"/>
      <c r="E161" s="48" t="n"/>
      <c r="F161" s="48" t="n"/>
      <c r="G161" s="49" t="n"/>
      <c r="H161" s="49" t="n"/>
      <c r="I161" s="41" t="n"/>
      <c r="J161" s="41" t="n"/>
      <c r="K161" s="48" t="n"/>
      <c r="L161" s="45">
        <f>IF(OR($A161="",$I161="",$J161=""),"",IF(TODAY()&lt;$I161,"Upcoming",IF(TODAY()&gt;$J161,"Expired","Active")))</f>
        <v/>
      </c>
      <c r="M161" s="45">
        <f>IF($L161="Active",$J161-TODAY(),"")</f>
        <v/>
      </c>
      <c r="N161" s="48" t="n"/>
      <c r="O161" s="47">
        <f>IF($L161="Active",$A161,"")</f>
        <v/>
      </c>
    </row>
    <row r="162">
      <c r="A162" s="48" t="n"/>
      <c r="B162" s="45">
        <f>IF($A162="","",IFERROR(INDEX('Chain Program'!$B$6:$B$120,MATCH($A162,'Chain Program'!$A$6:$A$120,0)),"Unknown ID"))</f>
        <v/>
      </c>
      <c r="C162" s="45">
        <f>IF($A162="","",IFERROR(INDEX('Chain Program'!$D$6:$D$120,MATCH($A162,'Chain Program'!$A$6:$A$120,0)),"Unknown ID"))</f>
        <v/>
      </c>
      <c r="D162" s="48" t="n"/>
      <c r="E162" s="48" t="n"/>
      <c r="F162" s="48" t="n"/>
      <c r="G162" s="49" t="n"/>
      <c r="H162" s="49" t="n"/>
      <c r="I162" s="41" t="n"/>
      <c r="J162" s="41" t="n"/>
      <c r="K162" s="48" t="n"/>
      <c r="L162" s="45">
        <f>IF(OR($A162="",$I162="",$J162=""),"",IF(TODAY()&lt;$I162,"Upcoming",IF(TODAY()&gt;$J162,"Expired","Active")))</f>
        <v/>
      </c>
      <c r="M162" s="45">
        <f>IF($L162="Active",$J162-TODAY(),"")</f>
        <v/>
      </c>
      <c r="N162" s="48" t="n"/>
      <c r="O162" s="47">
        <f>IF($L162="Active",$A162,"")</f>
        <v/>
      </c>
    </row>
    <row r="163">
      <c r="A163" s="48" t="n"/>
      <c r="B163" s="45">
        <f>IF($A163="","",IFERROR(INDEX('Chain Program'!$B$6:$B$120,MATCH($A163,'Chain Program'!$A$6:$A$120,0)),"Unknown ID"))</f>
        <v/>
      </c>
      <c r="C163" s="45">
        <f>IF($A163="","",IFERROR(INDEX('Chain Program'!$D$6:$D$120,MATCH($A163,'Chain Program'!$A$6:$A$120,0)),"Unknown ID"))</f>
        <v/>
      </c>
      <c r="D163" s="48" t="n"/>
      <c r="E163" s="48" t="n"/>
      <c r="F163" s="48" t="n"/>
      <c r="G163" s="49" t="n"/>
      <c r="H163" s="49" t="n"/>
      <c r="I163" s="41" t="n"/>
      <c r="J163" s="41" t="n"/>
      <c r="K163" s="48" t="n"/>
      <c r="L163" s="45">
        <f>IF(OR($A163="",$I163="",$J163=""),"",IF(TODAY()&lt;$I163,"Upcoming",IF(TODAY()&gt;$J163,"Expired","Active")))</f>
        <v/>
      </c>
      <c r="M163" s="45">
        <f>IF($L163="Active",$J163-TODAY(),"")</f>
        <v/>
      </c>
      <c r="N163" s="48" t="n"/>
      <c r="O163" s="47">
        <f>IF($L163="Active",$A163,"")</f>
        <v/>
      </c>
    </row>
    <row r="164">
      <c r="A164" s="48" t="n"/>
      <c r="B164" s="45">
        <f>IF($A164="","",IFERROR(INDEX('Chain Program'!$B$6:$B$120,MATCH($A164,'Chain Program'!$A$6:$A$120,0)),"Unknown ID"))</f>
        <v/>
      </c>
      <c r="C164" s="45">
        <f>IF($A164="","",IFERROR(INDEX('Chain Program'!$D$6:$D$120,MATCH($A164,'Chain Program'!$A$6:$A$120,0)),"Unknown ID"))</f>
        <v/>
      </c>
      <c r="D164" s="48" t="n"/>
      <c r="E164" s="48" t="n"/>
      <c r="F164" s="48" t="n"/>
      <c r="G164" s="49" t="n"/>
      <c r="H164" s="49" t="n"/>
      <c r="I164" s="41" t="n"/>
      <c r="J164" s="41" t="n"/>
      <c r="K164" s="48" t="n"/>
      <c r="L164" s="45">
        <f>IF(OR($A164="",$I164="",$J164=""),"",IF(TODAY()&lt;$I164,"Upcoming",IF(TODAY()&gt;$J164,"Expired","Active")))</f>
        <v/>
      </c>
      <c r="M164" s="45">
        <f>IF($L164="Active",$J164-TODAY(),"")</f>
        <v/>
      </c>
      <c r="N164" s="48" t="n"/>
      <c r="O164" s="47">
        <f>IF($L164="Active",$A164,"")</f>
        <v/>
      </c>
    </row>
    <row r="165">
      <c r="A165" s="48" t="n"/>
      <c r="B165" s="45">
        <f>IF($A165="","",IFERROR(INDEX('Chain Program'!$B$6:$B$120,MATCH($A165,'Chain Program'!$A$6:$A$120,0)),"Unknown ID"))</f>
        <v/>
      </c>
      <c r="C165" s="45">
        <f>IF($A165="","",IFERROR(INDEX('Chain Program'!$D$6:$D$120,MATCH($A165,'Chain Program'!$A$6:$A$120,0)),"Unknown ID"))</f>
        <v/>
      </c>
      <c r="D165" s="48" t="n"/>
      <c r="E165" s="48" t="n"/>
      <c r="F165" s="48" t="n"/>
      <c r="G165" s="49" t="n"/>
      <c r="H165" s="49" t="n"/>
      <c r="I165" s="41" t="n"/>
      <c r="J165" s="41" t="n"/>
      <c r="K165" s="48" t="n"/>
      <c r="L165" s="45">
        <f>IF(OR($A165="",$I165="",$J165=""),"",IF(TODAY()&lt;$I165,"Upcoming",IF(TODAY()&gt;$J165,"Expired","Active")))</f>
        <v/>
      </c>
      <c r="M165" s="45">
        <f>IF($L165="Active",$J165-TODAY(),"")</f>
        <v/>
      </c>
      <c r="N165" s="48" t="n"/>
      <c r="O165" s="47">
        <f>IF($L165="Active",$A165,"")</f>
        <v/>
      </c>
    </row>
    <row r="166">
      <c r="A166" s="48" t="n"/>
      <c r="B166" s="45">
        <f>IF($A166="","",IFERROR(INDEX('Chain Program'!$B$6:$B$120,MATCH($A166,'Chain Program'!$A$6:$A$120,0)),"Unknown ID"))</f>
        <v/>
      </c>
      <c r="C166" s="45">
        <f>IF($A166="","",IFERROR(INDEX('Chain Program'!$D$6:$D$120,MATCH($A166,'Chain Program'!$A$6:$A$120,0)),"Unknown ID"))</f>
        <v/>
      </c>
      <c r="D166" s="48" t="n"/>
      <c r="E166" s="48" t="n"/>
      <c r="F166" s="48" t="n"/>
      <c r="G166" s="49" t="n"/>
      <c r="H166" s="49" t="n"/>
      <c r="I166" s="41" t="n"/>
      <c r="J166" s="41" t="n"/>
      <c r="K166" s="48" t="n"/>
      <c r="L166" s="45">
        <f>IF(OR($A166="",$I166="",$J166=""),"",IF(TODAY()&lt;$I166,"Upcoming",IF(TODAY()&gt;$J166,"Expired","Active")))</f>
        <v/>
      </c>
      <c r="M166" s="45">
        <f>IF($L166="Active",$J166-TODAY(),"")</f>
        <v/>
      </c>
      <c r="N166" s="48" t="n"/>
      <c r="O166" s="47">
        <f>IF($L166="Active",$A166,"")</f>
        <v/>
      </c>
    </row>
    <row r="167">
      <c r="A167" s="48" t="n"/>
      <c r="B167" s="45">
        <f>IF($A167="","",IFERROR(INDEX('Chain Program'!$B$6:$B$120,MATCH($A167,'Chain Program'!$A$6:$A$120,0)),"Unknown ID"))</f>
        <v/>
      </c>
      <c r="C167" s="45">
        <f>IF($A167="","",IFERROR(INDEX('Chain Program'!$D$6:$D$120,MATCH($A167,'Chain Program'!$A$6:$A$120,0)),"Unknown ID"))</f>
        <v/>
      </c>
      <c r="D167" s="48" t="n"/>
      <c r="E167" s="48" t="n"/>
      <c r="F167" s="48" t="n"/>
      <c r="G167" s="49" t="n"/>
      <c r="H167" s="49" t="n"/>
      <c r="I167" s="41" t="n"/>
      <c r="J167" s="41" t="n"/>
      <c r="K167" s="48" t="n"/>
      <c r="L167" s="45">
        <f>IF(OR($A167="",$I167="",$J167=""),"",IF(TODAY()&lt;$I167,"Upcoming",IF(TODAY()&gt;$J167,"Expired","Active")))</f>
        <v/>
      </c>
      <c r="M167" s="45">
        <f>IF($L167="Active",$J167-TODAY(),"")</f>
        <v/>
      </c>
      <c r="N167" s="48" t="n"/>
      <c r="O167" s="47">
        <f>IF($L167="Active",$A167,"")</f>
        <v/>
      </c>
    </row>
    <row r="168">
      <c r="A168" s="48" t="n"/>
      <c r="B168" s="45">
        <f>IF($A168="","",IFERROR(INDEX('Chain Program'!$B$6:$B$120,MATCH($A168,'Chain Program'!$A$6:$A$120,0)),"Unknown ID"))</f>
        <v/>
      </c>
      <c r="C168" s="45">
        <f>IF($A168="","",IFERROR(INDEX('Chain Program'!$D$6:$D$120,MATCH($A168,'Chain Program'!$A$6:$A$120,0)),"Unknown ID"))</f>
        <v/>
      </c>
      <c r="D168" s="48" t="n"/>
      <c r="E168" s="48" t="n"/>
      <c r="F168" s="48" t="n"/>
      <c r="G168" s="49" t="n"/>
      <c r="H168" s="49" t="n"/>
      <c r="I168" s="41" t="n"/>
      <c r="J168" s="41" t="n"/>
      <c r="K168" s="48" t="n"/>
      <c r="L168" s="45">
        <f>IF(OR($A168="",$I168="",$J168=""),"",IF(TODAY()&lt;$I168,"Upcoming",IF(TODAY()&gt;$J168,"Expired","Active")))</f>
        <v/>
      </c>
      <c r="M168" s="45">
        <f>IF($L168="Active",$J168-TODAY(),"")</f>
        <v/>
      </c>
      <c r="N168" s="48" t="n"/>
      <c r="O168" s="47">
        <f>IF($L168="Active",$A168,"")</f>
        <v/>
      </c>
    </row>
    <row r="169">
      <c r="A169" s="48" t="n"/>
      <c r="B169" s="45">
        <f>IF($A169="","",IFERROR(INDEX('Chain Program'!$B$6:$B$120,MATCH($A169,'Chain Program'!$A$6:$A$120,0)),"Unknown ID"))</f>
        <v/>
      </c>
      <c r="C169" s="45">
        <f>IF($A169="","",IFERROR(INDEX('Chain Program'!$D$6:$D$120,MATCH($A169,'Chain Program'!$A$6:$A$120,0)),"Unknown ID"))</f>
        <v/>
      </c>
      <c r="D169" s="48" t="n"/>
      <c r="E169" s="48" t="n"/>
      <c r="F169" s="48" t="n"/>
      <c r="G169" s="49" t="n"/>
      <c r="H169" s="49" t="n"/>
      <c r="I169" s="41" t="n"/>
      <c r="J169" s="41" t="n"/>
      <c r="K169" s="48" t="n"/>
      <c r="L169" s="45">
        <f>IF(OR($A169="",$I169="",$J169=""),"",IF(TODAY()&lt;$I169,"Upcoming",IF(TODAY()&gt;$J169,"Expired","Active")))</f>
        <v/>
      </c>
      <c r="M169" s="45">
        <f>IF($L169="Active",$J169-TODAY(),"")</f>
        <v/>
      </c>
      <c r="N169" s="48" t="n"/>
      <c r="O169" s="47">
        <f>IF($L169="Active",$A169,"")</f>
        <v/>
      </c>
    </row>
    <row r="170">
      <c r="A170" s="48" t="n"/>
      <c r="B170" s="45">
        <f>IF($A170="","",IFERROR(INDEX('Chain Program'!$B$6:$B$120,MATCH($A170,'Chain Program'!$A$6:$A$120,0)),"Unknown ID"))</f>
        <v/>
      </c>
      <c r="C170" s="45">
        <f>IF($A170="","",IFERROR(INDEX('Chain Program'!$D$6:$D$120,MATCH($A170,'Chain Program'!$A$6:$A$120,0)),"Unknown ID"))</f>
        <v/>
      </c>
      <c r="D170" s="48" t="n"/>
      <c r="E170" s="48" t="n"/>
      <c r="F170" s="48" t="n"/>
      <c r="G170" s="49" t="n"/>
      <c r="H170" s="49" t="n"/>
      <c r="I170" s="41" t="n"/>
      <c r="J170" s="41" t="n"/>
      <c r="K170" s="48" t="n"/>
      <c r="L170" s="45">
        <f>IF(OR($A170="",$I170="",$J170=""),"",IF(TODAY()&lt;$I170,"Upcoming",IF(TODAY()&gt;$J170,"Expired","Active")))</f>
        <v/>
      </c>
      <c r="M170" s="45">
        <f>IF($L170="Active",$J170-TODAY(),"")</f>
        <v/>
      </c>
      <c r="N170" s="48" t="n"/>
      <c r="O170" s="47">
        <f>IF($L170="Active",$A170,"")</f>
        <v/>
      </c>
    </row>
    <row r="171">
      <c r="A171" s="48" t="n"/>
      <c r="B171" s="45">
        <f>IF($A171="","",IFERROR(INDEX('Chain Program'!$B$6:$B$120,MATCH($A171,'Chain Program'!$A$6:$A$120,0)),"Unknown ID"))</f>
        <v/>
      </c>
      <c r="C171" s="45">
        <f>IF($A171="","",IFERROR(INDEX('Chain Program'!$D$6:$D$120,MATCH($A171,'Chain Program'!$A$6:$A$120,0)),"Unknown ID"))</f>
        <v/>
      </c>
      <c r="D171" s="48" t="n"/>
      <c r="E171" s="48" t="n"/>
      <c r="F171" s="48" t="n"/>
      <c r="G171" s="49" t="n"/>
      <c r="H171" s="49" t="n"/>
      <c r="I171" s="41" t="n"/>
      <c r="J171" s="41" t="n"/>
      <c r="K171" s="48" t="n"/>
      <c r="L171" s="45">
        <f>IF(OR($A171="",$I171="",$J171=""),"",IF(TODAY()&lt;$I171,"Upcoming",IF(TODAY()&gt;$J171,"Expired","Active")))</f>
        <v/>
      </c>
      <c r="M171" s="45">
        <f>IF($L171="Active",$J171-TODAY(),"")</f>
        <v/>
      </c>
      <c r="N171" s="48" t="n"/>
      <c r="O171" s="47">
        <f>IF($L171="Active",$A171,"")</f>
        <v/>
      </c>
    </row>
    <row r="172">
      <c r="A172" s="48" t="n"/>
      <c r="B172" s="45">
        <f>IF($A172="","",IFERROR(INDEX('Chain Program'!$B$6:$B$120,MATCH($A172,'Chain Program'!$A$6:$A$120,0)),"Unknown ID"))</f>
        <v/>
      </c>
      <c r="C172" s="45">
        <f>IF($A172="","",IFERROR(INDEX('Chain Program'!$D$6:$D$120,MATCH($A172,'Chain Program'!$A$6:$A$120,0)),"Unknown ID"))</f>
        <v/>
      </c>
      <c r="D172" s="48" t="n"/>
      <c r="E172" s="48" t="n"/>
      <c r="F172" s="48" t="n"/>
      <c r="G172" s="49" t="n"/>
      <c r="H172" s="49" t="n"/>
      <c r="I172" s="41" t="n"/>
      <c r="J172" s="41" t="n"/>
      <c r="K172" s="48" t="n"/>
      <c r="L172" s="45">
        <f>IF(OR($A172="",$I172="",$J172=""),"",IF(TODAY()&lt;$I172,"Upcoming",IF(TODAY()&gt;$J172,"Expired","Active")))</f>
        <v/>
      </c>
      <c r="M172" s="45">
        <f>IF($L172="Active",$J172-TODAY(),"")</f>
        <v/>
      </c>
      <c r="N172" s="48" t="n"/>
      <c r="O172" s="47">
        <f>IF($L172="Active",$A172,"")</f>
        <v/>
      </c>
    </row>
    <row r="173">
      <c r="A173" s="48" t="n"/>
      <c r="B173" s="45">
        <f>IF($A173="","",IFERROR(INDEX('Chain Program'!$B$6:$B$120,MATCH($A173,'Chain Program'!$A$6:$A$120,0)),"Unknown ID"))</f>
        <v/>
      </c>
      <c r="C173" s="45">
        <f>IF($A173="","",IFERROR(INDEX('Chain Program'!$D$6:$D$120,MATCH($A173,'Chain Program'!$A$6:$A$120,0)),"Unknown ID"))</f>
        <v/>
      </c>
      <c r="D173" s="48" t="n"/>
      <c r="E173" s="48" t="n"/>
      <c r="F173" s="48" t="n"/>
      <c r="G173" s="49" t="n"/>
      <c r="H173" s="49" t="n"/>
      <c r="I173" s="41" t="n"/>
      <c r="J173" s="41" t="n"/>
      <c r="K173" s="48" t="n"/>
      <c r="L173" s="45">
        <f>IF(OR($A173="",$I173="",$J173=""),"",IF(TODAY()&lt;$I173,"Upcoming",IF(TODAY()&gt;$J173,"Expired","Active")))</f>
        <v/>
      </c>
      <c r="M173" s="45">
        <f>IF($L173="Active",$J173-TODAY(),"")</f>
        <v/>
      </c>
      <c r="N173" s="48" t="n"/>
      <c r="O173" s="47">
        <f>IF($L173="Active",$A173,"")</f>
        <v/>
      </c>
    </row>
    <row r="174">
      <c r="A174" s="48" t="n"/>
      <c r="B174" s="45">
        <f>IF($A174="","",IFERROR(INDEX('Chain Program'!$B$6:$B$120,MATCH($A174,'Chain Program'!$A$6:$A$120,0)),"Unknown ID"))</f>
        <v/>
      </c>
      <c r="C174" s="45">
        <f>IF($A174="","",IFERROR(INDEX('Chain Program'!$D$6:$D$120,MATCH($A174,'Chain Program'!$A$6:$A$120,0)),"Unknown ID"))</f>
        <v/>
      </c>
      <c r="D174" s="48" t="n"/>
      <c r="E174" s="48" t="n"/>
      <c r="F174" s="48" t="n"/>
      <c r="G174" s="49" t="n"/>
      <c r="H174" s="49" t="n"/>
      <c r="I174" s="41" t="n"/>
      <c r="J174" s="41" t="n"/>
      <c r="K174" s="48" t="n"/>
      <c r="L174" s="45">
        <f>IF(OR($A174="",$I174="",$J174=""),"",IF(TODAY()&lt;$I174,"Upcoming",IF(TODAY()&gt;$J174,"Expired","Active")))</f>
        <v/>
      </c>
      <c r="M174" s="45">
        <f>IF($L174="Active",$J174-TODAY(),"")</f>
        <v/>
      </c>
      <c r="N174" s="48" t="n"/>
      <c r="O174" s="47">
        <f>IF($L174="Active",$A174,"")</f>
        <v/>
      </c>
    </row>
    <row r="175">
      <c r="A175" s="48" t="n"/>
      <c r="B175" s="45">
        <f>IF($A175="","",IFERROR(INDEX('Chain Program'!$B$6:$B$120,MATCH($A175,'Chain Program'!$A$6:$A$120,0)),"Unknown ID"))</f>
        <v/>
      </c>
      <c r="C175" s="45">
        <f>IF($A175="","",IFERROR(INDEX('Chain Program'!$D$6:$D$120,MATCH($A175,'Chain Program'!$A$6:$A$120,0)),"Unknown ID"))</f>
        <v/>
      </c>
      <c r="D175" s="48" t="n"/>
      <c r="E175" s="48" t="n"/>
      <c r="F175" s="48" t="n"/>
      <c r="G175" s="49" t="n"/>
      <c r="H175" s="49" t="n"/>
      <c r="I175" s="41" t="n"/>
      <c r="J175" s="41" t="n"/>
      <c r="K175" s="48" t="n"/>
      <c r="L175" s="45">
        <f>IF(OR($A175="",$I175="",$J175=""),"",IF(TODAY()&lt;$I175,"Upcoming",IF(TODAY()&gt;$J175,"Expired","Active")))</f>
        <v/>
      </c>
      <c r="M175" s="45">
        <f>IF($L175="Active",$J175-TODAY(),"")</f>
        <v/>
      </c>
      <c r="N175" s="48" t="n"/>
      <c r="O175" s="47">
        <f>IF($L175="Active",$A175,"")</f>
        <v/>
      </c>
    </row>
    <row r="176">
      <c r="A176" s="48" t="n"/>
      <c r="B176" s="45">
        <f>IF($A176="","",IFERROR(INDEX('Chain Program'!$B$6:$B$120,MATCH($A176,'Chain Program'!$A$6:$A$120,0)),"Unknown ID"))</f>
        <v/>
      </c>
      <c r="C176" s="45">
        <f>IF($A176="","",IFERROR(INDEX('Chain Program'!$D$6:$D$120,MATCH($A176,'Chain Program'!$A$6:$A$120,0)),"Unknown ID"))</f>
        <v/>
      </c>
      <c r="D176" s="48" t="n"/>
      <c r="E176" s="48" t="n"/>
      <c r="F176" s="48" t="n"/>
      <c r="G176" s="49" t="n"/>
      <c r="H176" s="49" t="n"/>
      <c r="I176" s="41" t="n"/>
      <c r="J176" s="41" t="n"/>
      <c r="K176" s="48" t="n"/>
      <c r="L176" s="45">
        <f>IF(OR($A176="",$I176="",$J176=""),"",IF(TODAY()&lt;$I176,"Upcoming",IF(TODAY()&gt;$J176,"Expired","Active")))</f>
        <v/>
      </c>
      <c r="M176" s="45">
        <f>IF($L176="Active",$J176-TODAY(),"")</f>
        <v/>
      </c>
      <c r="N176" s="48" t="n"/>
      <c r="O176" s="47">
        <f>IF($L176="Active",$A176,"")</f>
        <v/>
      </c>
    </row>
    <row r="177">
      <c r="A177" s="48" t="n"/>
      <c r="B177" s="45">
        <f>IF($A177="","",IFERROR(INDEX('Chain Program'!$B$6:$B$120,MATCH($A177,'Chain Program'!$A$6:$A$120,0)),"Unknown ID"))</f>
        <v/>
      </c>
      <c r="C177" s="45">
        <f>IF($A177="","",IFERROR(INDEX('Chain Program'!$D$6:$D$120,MATCH($A177,'Chain Program'!$A$6:$A$120,0)),"Unknown ID"))</f>
        <v/>
      </c>
      <c r="D177" s="48" t="n"/>
      <c r="E177" s="48" t="n"/>
      <c r="F177" s="48" t="n"/>
      <c r="G177" s="49" t="n"/>
      <c r="H177" s="49" t="n"/>
      <c r="I177" s="41" t="n"/>
      <c r="J177" s="41" t="n"/>
      <c r="K177" s="48" t="n"/>
      <c r="L177" s="45">
        <f>IF(OR($A177="",$I177="",$J177=""),"",IF(TODAY()&lt;$I177,"Upcoming",IF(TODAY()&gt;$J177,"Expired","Active")))</f>
        <v/>
      </c>
      <c r="M177" s="45">
        <f>IF($L177="Active",$J177-TODAY(),"")</f>
        <v/>
      </c>
      <c r="N177" s="48" t="n"/>
      <c r="O177" s="47">
        <f>IF($L177="Active",$A177,"")</f>
        <v/>
      </c>
    </row>
    <row r="178">
      <c r="A178" s="48" t="n"/>
      <c r="B178" s="45">
        <f>IF($A178="","",IFERROR(INDEX('Chain Program'!$B$6:$B$120,MATCH($A178,'Chain Program'!$A$6:$A$120,0)),"Unknown ID"))</f>
        <v/>
      </c>
      <c r="C178" s="45">
        <f>IF($A178="","",IFERROR(INDEX('Chain Program'!$D$6:$D$120,MATCH($A178,'Chain Program'!$A$6:$A$120,0)),"Unknown ID"))</f>
        <v/>
      </c>
      <c r="D178" s="48" t="n"/>
      <c r="E178" s="48" t="n"/>
      <c r="F178" s="48" t="n"/>
      <c r="G178" s="49" t="n"/>
      <c r="H178" s="49" t="n"/>
      <c r="I178" s="41" t="n"/>
      <c r="J178" s="41" t="n"/>
      <c r="K178" s="48" t="n"/>
      <c r="L178" s="45">
        <f>IF(OR($A178="",$I178="",$J178=""),"",IF(TODAY()&lt;$I178,"Upcoming",IF(TODAY()&gt;$J178,"Expired","Active")))</f>
        <v/>
      </c>
      <c r="M178" s="45">
        <f>IF($L178="Active",$J178-TODAY(),"")</f>
        <v/>
      </c>
      <c r="N178" s="48" t="n"/>
      <c r="O178" s="47">
        <f>IF($L178="Active",$A178,"")</f>
        <v/>
      </c>
    </row>
    <row r="179">
      <c r="A179" s="48" t="n"/>
      <c r="B179" s="45">
        <f>IF($A179="","",IFERROR(INDEX('Chain Program'!$B$6:$B$120,MATCH($A179,'Chain Program'!$A$6:$A$120,0)),"Unknown ID"))</f>
        <v/>
      </c>
      <c r="C179" s="45">
        <f>IF($A179="","",IFERROR(INDEX('Chain Program'!$D$6:$D$120,MATCH($A179,'Chain Program'!$A$6:$A$120,0)),"Unknown ID"))</f>
        <v/>
      </c>
      <c r="D179" s="48" t="n"/>
      <c r="E179" s="48" t="n"/>
      <c r="F179" s="48" t="n"/>
      <c r="G179" s="49" t="n"/>
      <c r="H179" s="49" t="n"/>
      <c r="I179" s="41" t="n"/>
      <c r="J179" s="41" t="n"/>
      <c r="K179" s="48" t="n"/>
      <c r="L179" s="45">
        <f>IF(OR($A179="",$I179="",$J179=""),"",IF(TODAY()&lt;$I179,"Upcoming",IF(TODAY()&gt;$J179,"Expired","Active")))</f>
        <v/>
      </c>
      <c r="M179" s="45">
        <f>IF($L179="Active",$J179-TODAY(),"")</f>
        <v/>
      </c>
      <c r="N179" s="48" t="n"/>
      <c r="O179" s="47">
        <f>IF($L179="Active",$A179,"")</f>
        <v/>
      </c>
    </row>
    <row r="180">
      <c r="A180" s="48" t="n"/>
      <c r="B180" s="45">
        <f>IF($A180="","",IFERROR(INDEX('Chain Program'!$B$6:$B$120,MATCH($A180,'Chain Program'!$A$6:$A$120,0)),"Unknown ID"))</f>
        <v/>
      </c>
      <c r="C180" s="45">
        <f>IF($A180="","",IFERROR(INDEX('Chain Program'!$D$6:$D$120,MATCH($A180,'Chain Program'!$A$6:$A$120,0)),"Unknown ID"))</f>
        <v/>
      </c>
      <c r="D180" s="48" t="n"/>
      <c r="E180" s="48" t="n"/>
      <c r="F180" s="48" t="n"/>
      <c r="G180" s="49" t="n"/>
      <c r="H180" s="49" t="n"/>
      <c r="I180" s="41" t="n"/>
      <c r="J180" s="41" t="n"/>
      <c r="K180" s="48" t="n"/>
      <c r="L180" s="45">
        <f>IF(OR($A180="",$I180="",$J180=""),"",IF(TODAY()&lt;$I180,"Upcoming",IF(TODAY()&gt;$J180,"Expired","Active")))</f>
        <v/>
      </c>
      <c r="M180" s="45">
        <f>IF($L180="Active",$J180-TODAY(),"")</f>
        <v/>
      </c>
      <c r="N180" s="48" t="n"/>
      <c r="O180" s="47">
        <f>IF($L180="Active",$A180,"")</f>
        <v/>
      </c>
    </row>
    <row r="181">
      <c r="A181" s="48" t="n"/>
      <c r="B181" s="45">
        <f>IF($A181="","",IFERROR(INDEX('Chain Program'!$B$6:$B$120,MATCH($A181,'Chain Program'!$A$6:$A$120,0)),"Unknown ID"))</f>
        <v/>
      </c>
      <c r="C181" s="45">
        <f>IF($A181="","",IFERROR(INDEX('Chain Program'!$D$6:$D$120,MATCH($A181,'Chain Program'!$A$6:$A$120,0)),"Unknown ID"))</f>
        <v/>
      </c>
      <c r="D181" s="48" t="n"/>
      <c r="E181" s="48" t="n"/>
      <c r="F181" s="48" t="n"/>
      <c r="G181" s="49" t="n"/>
      <c r="H181" s="49" t="n"/>
      <c r="I181" s="41" t="n"/>
      <c r="J181" s="41" t="n"/>
      <c r="K181" s="48" t="n"/>
      <c r="L181" s="45">
        <f>IF(OR($A181="",$I181="",$J181=""),"",IF(TODAY()&lt;$I181,"Upcoming",IF(TODAY()&gt;$J181,"Expired","Active")))</f>
        <v/>
      </c>
      <c r="M181" s="45">
        <f>IF($L181="Active",$J181-TODAY(),"")</f>
        <v/>
      </c>
      <c r="N181" s="48" t="n"/>
      <c r="O181" s="47">
        <f>IF($L181="Active",$A181,"")</f>
        <v/>
      </c>
    </row>
    <row r="182">
      <c r="A182" s="48" t="n"/>
      <c r="B182" s="45">
        <f>IF($A182="","",IFERROR(INDEX('Chain Program'!$B$6:$B$120,MATCH($A182,'Chain Program'!$A$6:$A$120,0)),"Unknown ID"))</f>
        <v/>
      </c>
      <c r="C182" s="45">
        <f>IF($A182="","",IFERROR(INDEX('Chain Program'!$D$6:$D$120,MATCH($A182,'Chain Program'!$A$6:$A$120,0)),"Unknown ID"))</f>
        <v/>
      </c>
      <c r="D182" s="48" t="n"/>
      <c r="E182" s="48" t="n"/>
      <c r="F182" s="48" t="n"/>
      <c r="G182" s="49" t="n"/>
      <c r="H182" s="49" t="n"/>
      <c r="I182" s="41" t="n"/>
      <c r="J182" s="41" t="n"/>
      <c r="K182" s="48" t="n"/>
      <c r="L182" s="45">
        <f>IF(OR($A182="",$I182="",$J182=""),"",IF(TODAY()&lt;$I182,"Upcoming",IF(TODAY()&gt;$J182,"Expired","Active")))</f>
        <v/>
      </c>
      <c r="M182" s="45">
        <f>IF($L182="Active",$J182-TODAY(),"")</f>
        <v/>
      </c>
      <c r="N182" s="48" t="n"/>
      <c r="O182" s="47">
        <f>IF($L182="Active",$A182,"")</f>
        <v/>
      </c>
    </row>
    <row r="183">
      <c r="A183" s="48" t="n"/>
      <c r="B183" s="45">
        <f>IF($A183="","",IFERROR(INDEX('Chain Program'!$B$6:$B$120,MATCH($A183,'Chain Program'!$A$6:$A$120,0)),"Unknown ID"))</f>
        <v/>
      </c>
      <c r="C183" s="45">
        <f>IF($A183="","",IFERROR(INDEX('Chain Program'!$D$6:$D$120,MATCH($A183,'Chain Program'!$A$6:$A$120,0)),"Unknown ID"))</f>
        <v/>
      </c>
      <c r="D183" s="48" t="n"/>
      <c r="E183" s="48" t="n"/>
      <c r="F183" s="48" t="n"/>
      <c r="G183" s="49" t="n"/>
      <c r="H183" s="49" t="n"/>
      <c r="I183" s="41" t="n"/>
      <c r="J183" s="41" t="n"/>
      <c r="K183" s="48" t="n"/>
      <c r="L183" s="45">
        <f>IF(OR($A183="",$I183="",$J183=""),"",IF(TODAY()&lt;$I183,"Upcoming",IF(TODAY()&gt;$J183,"Expired","Active")))</f>
        <v/>
      </c>
      <c r="M183" s="45">
        <f>IF($L183="Active",$J183-TODAY(),"")</f>
        <v/>
      </c>
      <c r="N183" s="48" t="n"/>
      <c r="O183" s="47">
        <f>IF($L183="Active",$A183,"")</f>
        <v/>
      </c>
    </row>
    <row r="184">
      <c r="A184" s="48" t="n"/>
      <c r="B184" s="45">
        <f>IF($A184="","",IFERROR(INDEX('Chain Program'!$B$6:$B$120,MATCH($A184,'Chain Program'!$A$6:$A$120,0)),"Unknown ID"))</f>
        <v/>
      </c>
      <c r="C184" s="45">
        <f>IF($A184="","",IFERROR(INDEX('Chain Program'!$D$6:$D$120,MATCH($A184,'Chain Program'!$A$6:$A$120,0)),"Unknown ID"))</f>
        <v/>
      </c>
      <c r="D184" s="48" t="n"/>
      <c r="E184" s="48" t="n"/>
      <c r="F184" s="48" t="n"/>
      <c r="G184" s="49" t="n"/>
      <c r="H184" s="49" t="n"/>
      <c r="I184" s="41" t="n"/>
      <c r="J184" s="41" t="n"/>
      <c r="K184" s="48" t="n"/>
      <c r="L184" s="45">
        <f>IF(OR($A184="",$I184="",$J184=""),"",IF(TODAY()&lt;$I184,"Upcoming",IF(TODAY()&gt;$J184,"Expired","Active")))</f>
        <v/>
      </c>
      <c r="M184" s="45">
        <f>IF($L184="Active",$J184-TODAY(),"")</f>
        <v/>
      </c>
      <c r="N184" s="48" t="n"/>
      <c r="O184" s="47">
        <f>IF($L184="Active",$A184,"")</f>
        <v/>
      </c>
    </row>
    <row r="185">
      <c r="A185" s="48" t="n"/>
      <c r="B185" s="45">
        <f>IF($A185="","",IFERROR(INDEX('Chain Program'!$B$6:$B$120,MATCH($A185,'Chain Program'!$A$6:$A$120,0)),"Unknown ID"))</f>
        <v/>
      </c>
      <c r="C185" s="45">
        <f>IF($A185="","",IFERROR(INDEX('Chain Program'!$D$6:$D$120,MATCH($A185,'Chain Program'!$A$6:$A$120,0)),"Unknown ID"))</f>
        <v/>
      </c>
      <c r="D185" s="48" t="n"/>
      <c r="E185" s="48" t="n"/>
      <c r="F185" s="48" t="n"/>
      <c r="G185" s="49" t="n"/>
      <c r="H185" s="49" t="n"/>
      <c r="I185" s="41" t="n"/>
      <c r="J185" s="41" t="n"/>
      <c r="K185" s="48" t="n"/>
      <c r="L185" s="45">
        <f>IF(OR($A185="",$I185="",$J185=""),"",IF(TODAY()&lt;$I185,"Upcoming",IF(TODAY()&gt;$J185,"Expired","Active")))</f>
        <v/>
      </c>
      <c r="M185" s="45">
        <f>IF($L185="Active",$J185-TODAY(),"")</f>
        <v/>
      </c>
      <c r="N185" s="48" t="n"/>
      <c r="O185" s="47">
        <f>IF($L185="Active",$A185,"")</f>
        <v/>
      </c>
    </row>
    <row r="186">
      <c r="A186" s="48" t="n"/>
      <c r="B186" s="45">
        <f>IF($A186="","",IFERROR(INDEX('Chain Program'!$B$6:$B$120,MATCH($A186,'Chain Program'!$A$6:$A$120,0)),"Unknown ID"))</f>
        <v/>
      </c>
      <c r="C186" s="45">
        <f>IF($A186="","",IFERROR(INDEX('Chain Program'!$D$6:$D$120,MATCH($A186,'Chain Program'!$A$6:$A$120,0)),"Unknown ID"))</f>
        <v/>
      </c>
      <c r="D186" s="48" t="n"/>
      <c r="E186" s="48" t="n"/>
      <c r="F186" s="48" t="n"/>
      <c r="G186" s="49" t="n"/>
      <c r="H186" s="49" t="n"/>
      <c r="I186" s="41" t="n"/>
      <c r="J186" s="41" t="n"/>
      <c r="K186" s="48" t="n"/>
      <c r="L186" s="45">
        <f>IF(OR($A186="",$I186="",$J186=""),"",IF(TODAY()&lt;$I186,"Upcoming",IF(TODAY()&gt;$J186,"Expired","Active")))</f>
        <v/>
      </c>
      <c r="M186" s="45">
        <f>IF($L186="Active",$J186-TODAY(),"")</f>
        <v/>
      </c>
      <c r="N186" s="48" t="n"/>
      <c r="O186" s="47">
        <f>IF($L186="Active",$A186,"")</f>
        <v/>
      </c>
    </row>
    <row r="187">
      <c r="A187" s="48" t="n"/>
      <c r="B187" s="45">
        <f>IF($A187="","",IFERROR(INDEX('Chain Program'!$B$6:$B$120,MATCH($A187,'Chain Program'!$A$6:$A$120,0)),"Unknown ID"))</f>
        <v/>
      </c>
      <c r="C187" s="45">
        <f>IF($A187="","",IFERROR(INDEX('Chain Program'!$D$6:$D$120,MATCH($A187,'Chain Program'!$A$6:$A$120,0)),"Unknown ID"))</f>
        <v/>
      </c>
      <c r="D187" s="48" t="n"/>
      <c r="E187" s="48" t="n"/>
      <c r="F187" s="48" t="n"/>
      <c r="G187" s="49" t="n"/>
      <c r="H187" s="49" t="n"/>
      <c r="I187" s="41" t="n"/>
      <c r="J187" s="41" t="n"/>
      <c r="K187" s="48" t="n"/>
      <c r="L187" s="45">
        <f>IF(OR($A187="",$I187="",$J187=""),"",IF(TODAY()&lt;$I187,"Upcoming",IF(TODAY()&gt;$J187,"Expired","Active")))</f>
        <v/>
      </c>
      <c r="M187" s="45">
        <f>IF($L187="Active",$J187-TODAY(),"")</f>
        <v/>
      </c>
      <c r="N187" s="48" t="n"/>
      <c r="O187" s="47">
        <f>IF($L187="Active",$A187,"")</f>
        <v/>
      </c>
    </row>
    <row r="188">
      <c r="A188" s="48" t="n"/>
      <c r="B188" s="45">
        <f>IF($A188="","",IFERROR(INDEX('Chain Program'!$B$6:$B$120,MATCH($A188,'Chain Program'!$A$6:$A$120,0)),"Unknown ID"))</f>
        <v/>
      </c>
      <c r="C188" s="45">
        <f>IF($A188="","",IFERROR(INDEX('Chain Program'!$D$6:$D$120,MATCH($A188,'Chain Program'!$A$6:$A$120,0)),"Unknown ID"))</f>
        <v/>
      </c>
      <c r="D188" s="48" t="n"/>
      <c r="E188" s="48" t="n"/>
      <c r="F188" s="48" t="n"/>
      <c r="G188" s="49" t="n"/>
      <c r="H188" s="49" t="n"/>
      <c r="I188" s="41" t="n"/>
      <c r="J188" s="41" t="n"/>
      <c r="K188" s="48" t="n"/>
      <c r="L188" s="45">
        <f>IF(OR($A188="",$I188="",$J188=""),"",IF(TODAY()&lt;$I188,"Upcoming",IF(TODAY()&gt;$J188,"Expired","Active")))</f>
        <v/>
      </c>
      <c r="M188" s="45">
        <f>IF($L188="Active",$J188-TODAY(),"")</f>
        <v/>
      </c>
      <c r="N188" s="48" t="n"/>
      <c r="O188" s="47">
        <f>IF($L188="Active",$A188,"")</f>
        <v/>
      </c>
    </row>
    <row r="189">
      <c r="A189" s="48" t="n"/>
      <c r="B189" s="45">
        <f>IF($A189="","",IFERROR(INDEX('Chain Program'!$B$6:$B$120,MATCH($A189,'Chain Program'!$A$6:$A$120,0)),"Unknown ID"))</f>
        <v/>
      </c>
      <c r="C189" s="45">
        <f>IF($A189="","",IFERROR(INDEX('Chain Program'!$D$6:$D$120,MATCH($A189,'Chain Program'!$A$6:$A$120,0)),"Unknown ID"))</f>
        <v/>
      </c>
      <c r="D189" s="48" t="n"/>
      <c r="E189" s="48" t="n"/>
      <c r="F189" s="48" t="n"/>
      <c r="G189" s="49" t="n"/>
      <c r="H189" s="49" t="n"/>
      <c r="I189" s="41" t="n"/>
      <c r="J189" s="41" t="n"/>
      <c r="K189" s="48" t="n"/>
      <c r="L189" s="45">
        <f>IF(OR($A189="",$I189="",$J189=""),"",IF(TODAY()&lt;$I189,"Upcoming",IF(TODAY()&gt;$J189,"Expired","Active")))</f>
        <v/>
      </c>
      <c r="M189" s="45">
        <f>IF($L189="Active",$J189-TODAY(),"")</f>
        <v/>
      </c>
      <c r="N189" s="48" t="n"/>
      <c r="O189" s="47">
        <f>IF($L189="Active",$A189,"")</f>
        <v/>
      </c>
    </row>
    <row r="190">
      <c r="A190" s="48" t="n"/>
      <c r="B190" s="45">
        <f>IF($A190="","",IFERROR(INDEX('Chain Program'!$B$6:$B$120,MATCH($A190,'Chain Program'!$A$6:$A$120,0)),"Unknown ID"))</f>
        <v/>
      </c>
      <c r="C190" s="45">
        <f>IF($A190="","",IFERROR(INDEX('Chain Program'!$D$6:$D$120,MATCH($A190,'Chain Program'!$A$6:$A$120,0)),"Unknown ID"))</f>
        <v/>
      </c>
      <c r="D190" s="48" t="n"/>
      <c r="E190" s="48" t="n"/>
      <c r="F190" s="48" t="n"/>
      <c r="G190" s="49" t="n"/>
      <c r="H190" s="49" t="n"/>
      <c r="I190" s="41" t="n"/>
      <c r="J190" s="41" t="n"/>
      <c r="K190" s="48" t="n"/>
      <c r="L190" s="45">
        <f>IF(OR($A190="",$I190="",$J190=""),"",IF(TODAY()&lt;$I190,"Upcoming",IF(TODAY()&gt;$J190,"Expired","Active")))</f>
        <v/>
      </c>
      <c r="M190" s="45">
        <f>IF($L190="Active",$J190-TODAY(),"")</f>
        <v/>
      </c>
      <c r="N190" s="48" t="n"/>
      <c r="O190" s="47">
        <f>IF($L190="Active",$A190,"")</f>
        <v/>
      </c>
    </row>
    <row r="191">
      <c r="A191" s="48" t="n"/>
      <c r="B191" s="45">
        <f>IF($A191="","",IFERROR(INDEX('Chain Program'!$B$6:$B$120,MATCH($A191,'Chain Program'!$A$6:$A$120,0)),"Unknown ID"))</f>
        <v/>
      </c>
      <c r="C191" s="45">
        <f>IF($A191="","",IFERROR(INDEX('Chain Program'!$D$6:$D$120,MATCH($A191,'Chain Program'!$A$6:$A$120,0)),"Unknown ID"))</f>
        <v/>
      </c>
      <c r="D191" s="48" t="n"/>
      <c r="E191" s="48" t="n"/>
      <c r="F191" s="48" t="n"/>
      <c r="G191" s="49" t="n"/>
      <c r="H191" s="49" t="n"/>
      <c r="I191" s="41" t="n"/>
      <c r="J191" s="41" t="n"/>
      <c r="K191" s="48" t="n"/>
      <c r="L191" s="45">
        <f>IF(OR($A191="",$I191="",$J191=""),"",IF(TODAY()&lt;$I191,"Upcoming",IF(TODAY()&gt;$J191,"Expired","Active")))</f>
        <v/>
      </c>
      <c r="M191" s="45">
        <f>IF($L191="Active",$J191-TODAY(),"")</f>
        <v/>
      </c>
      <c r="N191" s="48" t="n"/>
      <c r="O191" s="47">
        <f>IF($L191="Active",$A191,"")</f>
        <v/>
      </c>
    </row>
    <row r="192">
      <c r="A192" s="48" t="n"/>
      <c r="B192" s="45">
        <f>IF($A192="","",IFERROR(INDEX('Chain Program'!$B$6:$B$120,MATCH($A192,'Chain Program'!$A$6:$A$120,0)),"Unknown ID"))</f>
        <v/>
      </c>
      <c r="C192" s="45">
        <f>IF($A192="","",IFERROR(INDEX('Chain Program'!$D$6:$D$120,MATCH($A192,'Chain Program'!$A$6:$A$120,0)),"Unknown ID"))</f>
        <v/>
      </c>
      <c r="D192" s="48" t="n"/>
      <c r="E192" s="48" t="n"/>
      <c r="F192" s="48" t="n"/>
      <c r="G192" s="49" t="n"/>
      <c r="H192" s="49" t="n"/>
      <c r="I192" s="41" t="n"/>
      <c r="J192" s="41" t="n"/>
      <c r="K192" s="48" t="n"/>
      <c r="L192" s="45">
        <f>IF(OR($A192="",$I192="",$J192=""),"",IF(TODAY()&lt;$I192,"Upcoming",IF(TODAY()&gt;$J192,"Expired","Active")))</f>
        <v/>
      </c>
      <c r="M192" s="45">
        <f>IF($L192="Active",$J192-TODAY(),"")</f>
        <v/>
      </c>
      <c r="N192" s="48" t="n"/>
      <c r="O192" s="47">
        <f>IF($L192="Active",$A192,"")</f>
        <v/>
      </c>
    </row>
    <row r="193">
      <c r="A193" s="48" t="n"/>
      <c r="B193" s="45">
        <f>IF($A193="","",IFERROR(INDEX('Chain Program'!$B$6:$B$120,MATCH($A193,'Chain Program'!$A$6:$A$120,0)),"Unknown ID"))</f>
        <v/>
      </c>
      <c r="C193" s="45">
        <f>IF($A193="","",IFERROR(INDEX('Chain Program'!$D$6:$D$120,MATCH($A193,'Chain Program'!$A$6:$A$120,0)),"Unknown ID"))</f>
        <v/>
      </c>
      <c r="D193" s="48" t="n"/>
      <c r="E193" s="48" t="n"/>
      <c r="F193" s="48" t="n"/>
      <c r="G193" s="49" t="n"/>
      <c r="H193" s="49" t="n"/>
      <c r="I193" s="41" t="n"/>
      <c r="J193" s="41" t="n"/>
      <c r="K193" s="48" t="n"/>
      <c r="L193" s="45">
        <f>IF(OR($A193="",$I193="",$J193=""),"",IF(TODAY()&lt;$I193,"Upcoming",IF(TODAY()&gt;$J193,"Expired","Active")))</f>
        <v/>
      </c>
      <c r="M193" s="45">
        <f>IF($L193="Active",$J193-TODAY(),"")</f>
        <v/>
      </c>
      <c r="N193" s="48" t="n"/>
      <c r="O193" s="47">
        <f>IF($L193="Active",$A193,"")</f>
        <v/>
      </c>
    </row>
    <row r="194">
      <c r="A194" s="48" t="n"/>
      <c r="B194" s="45">
        <f>IF($A194="","",IFERROR(INDEX('Chain Program'!$B$6:$B$120,MATCH($A194,'Chain Program'!$A$6:$A$120,0)),"Unknown ID"))</f>
        <v/>
      </c>
      <c r="C194" s="45">
        <f>IF($A194="","",IFERROR(INDEX('Chain Program'!$D$6:$D$120,MATCH($A194,'Chain Program'!$A$6:$A$120,0)),"Unknown ID"))</f>
        <v/>
      </c>
      <c r="D194" s="48" t="n"/>
      <c r="E194" s="48" t="n"/>
      <c r="F194" s="48" t="n"/>
      <c r="G194" s="49" t="n"/>
      <c r="H194" s="49" t="n"/>
      <c r="I194" s="41" t="n"/>
      <c r="J194" s="41" t="n"/>
      <c r="K194" s="48" t="n"/>
      <c r="L194" s="45">
        <f>IF(OR($A194="",$I194="",$J194=""),"",IF(TODAY()&lt;$I194,"Upcoming",IF(TODAY()&gt;$J194,"Expired","Active")))</f>
        <v/>
      </c>
      <c r="M194" s="45">
        <f>IF($L194="Active",$J194-TODAY(),"")</f>
        <v/>
      </c>
      <c r="N194" s="48" t="n"/>
      <c r="O194" s="47">
        <f>IF($L194="Active",$A194,"")</f>
        <v/>
      </c>
    </row>
    <row r="195">
      <c r="A195" s="48" t="n"/>
      <c r="B195" s="45">
        <f>IF($A195="","",IFERROR(INDEX('Chain Program'!$B$6:$B$120,MATCH($A195,'Chain Program'!$A$6:$A$120,0)),"Unknown ID"))</f>
        <v/>
      </c>
      <c r="C195" s="45">
        <f>IF($A195="","",IFERROR(INDEX('Chain Program'!$D$6:$D$120,MATCH($A195,'Chain Program'!$A$6:$A$120,0)),"Unknown ID"))</f>
        <v/>
      </c>
      <c r="D195" s="48" t="n"/>
      <c r="E195" s="48" t="n"/>
      <c r="F195" s="48" t="n"/>
      <c r="G195" s="49" t="n"/>
      <c r="H195" s="49" t="n"/>
      <c r="I195" s="41" t="n"/>
      <c r="J195" s="41" t="n"/>
      <c r="K195" s="48" t="n"/>
      <c r="L195" s="45">
        <f>IF(OR($A195="",$I195="",$J195=""),"",IF(TODAY()&lt;$I195,"Upcoming",IF(TODAY()&gt;$J195,"Expired","Active")))</f>
        <v/>
      </c>
      <c r="M195" s="45">
        <f>IF($L195="Active",$J195-TODAY(),"")</f>
        <v/>
      </c>
      <c r="N195" s="48" t="n"/>
      <c r="O195" s="47">
        <f>IF($L195="Active",$A195,"")</f>
        <v/>
      </c>
    </row>
    <row r="196">
      <c r="A196" s="48" t="n"/>
      <c r="B196" s="45">
        <f>IF($A196="","",IFERROR(INDEX('Chain Program'!$B$6:$B$120,MATCH($A196,'Chain Program'!$A$6:$A$120,0)),"Unknown ID"))</f>
        <v/>
      </c>
      <c r="C196" s="45">
        <f>IF($A196="","",IFERROR(INDEX('Chain Program'!$D$6:$D$120,MATCH($A196,'Chain Program'!$A$6:$A$120,0)),"Unknown ID"))</f>
        <v/>
      </c>
      <c r="D196" s="48" t="n"/>
      <c r="E196" s="48" t="n"/>
      <c r="F196" s="48" t="n"/>
      <c r="G196" s="49" t="n"/>
      <c r="H196" s="49" t="n"/>
      <c r="I196" s="41" t="n"/>
      <c r="J196" s="41" t="n"/>
      <c r="K196" s="48" t="n"/>
      <c r="L196" s="45">
        <f>IF(OR($A196="",$I196="",$J196=""),"",IF(TODAY()&lt;$I196,"Upcoming",IF(TODAY()&gt;$J196,"Expired","Active")))</f>
        <v/>
      </c>
      <c r="M196" s="45">
        <f>IF($L196="Active",$J196-TODAY(),"")</f>
        <v/>
      </c>
      <c r="N196" s="48" t="n"/>
      <c r="O196" s="47">
        <f>IF($L196="Active",$A196,"")</f>
        <v/>
      </c>
    </row>
    <row r="197">
      <c r="A197" s="48" t="n"/>
      <c r="B197" s="45">
        <f>IF($A197="","",IFERROR(INDEX('Chain Program'!$B$6:$B$120,MATCH($A197,'Chain Program'!$A$6:$A$120,0)),"Unknown ID"))</f>
        <v/>
      </c>
      <c r="C197" s="45">
        <f>IF($A197="","",IFERROR(INDEX('Chain Program'!$D$6:$D$120,MATCH($A197,'Chain Program'!$A$6:$A$120,0)),"Unknown ID"))</f>
        <v/>
      </c>
      <c r="D197" s="48" t="n"/>
      <c r="E197" s="48" t="n"/>
      <c r="F197" s="48" t="n"/>
      <c r="G197" s="49" t="n"/>
      <c r="H197" s="49" t="n"/>
      <c r="I197" s="41" t="n"/>
      <c r="J197" s="41" t="n"/>
      <c r="K197" s="48" t="n"/>
      <c r="L197" s="45">
        <f>IF(OR($A197="",$I197="",$J197=""),"",IF(TODAY()&lt;$I197,"Upcoming",IF(TODAY()&gt;$J197,"Expired","Active")))</f>
        <v/>
      </c>
      <c r="M197" s="45">
        <f>IF($L197="Active",$J197-TODAY(),"")</f>
        <v/>
      </c>
      <c r="N197" s="48" t="n"/>
      <c r="O197" s="47">
        <f>IF($L197="Active",$A197,"")</f>
        <v/>
      </c>
    </row>
    <row r="198">
      <c r="A198" s="48" t="n"/>
      <c r="B198" s="45">
        <f>IF($A198="","",IFERROR(INDEX('Chain Program'!$B$6:$B$120,MATCH($A198,'Chain Program'!$A$6:$A$120,0)),"Unknown ID"))</f>
        <v/>
      </c>
      <c r="C198" s="45">
        <f>IF($A198="","",IFERROR(INDEX('Chain Program'!$D$6:$D$120,MATCH($A198,'Chain Program'!$A$6:$A$120,0)),"Unknown ID"))</f>
        <v/>
      </c>
      <c r="D198" s="48" t="n"/>
      <c r="E198" s="48" t="n"/>
      <c r="F198" s="48" t="n"/>
      <c r="G198" s="49" t="n"/>
      <c r="H198" s="49" t="n"/>
      <c r="I198" s="41" t="n"/>
      <c r="J198" s="41" t="n"/>
      <c r="K198" s="48" t="n"/>
      <c r="L198" s="45">
        <f>IF(OR($A198="",$I198="",$J198=""),"",IF(TODAY()&lt;$I198,"Upcoming",IF(TODAY()&gt;$J198,"Expired","Active")))</f>
        <v/>
      </c>
      <c r="M198" s="45">
        <f>IF($L198="Active",$J198-TODAY(),"")</f>
        <v/>
      </c>
      <c r="N198" s="48" t="n"/>
      <c r="O198" s="47">
        <f>IF($L198="Active",$A198,"")</f>
        <v/>
      </c>
    </row>
    <row r="199">
      <c r="A199" s="48" t="n"/>
      <c r="B199" s="45">
        <f>IF($A199="","",IFERROR(INDEX('Chain Program'!$B$6:$B$120,MATCH($A199,'Chain Program'!$A$6:$A$120,0)),"Unknown ID"))</f>
        <v/>
      </c>
      <c r="C199" s="45">
        <f>IF($A199="","",IFERROR(INDEX('Chain Program'!$D$6:$D$120,MATCH($A199,'Chain Program'!$A$6:$A$120,0)),"Unknown ID"))</f>
        <v/>
      </c>
      <c r="D199" s="48" t="n"/>
      <c r="E199" s="48" t="n"/>
      <c r="F199" s="48" t="n"/>
      <c r="G199" s="49" t="n"/>
      <c r="H199" s="49" t="n"/>
      <c r="I199" s="41" t="n"/>
      <c r="J199" s="41" t="n"/>
      <c r="K199" s="48" t="n"/>
      <c r="L199" s="45">
        <f>IF(OR($A199="",$I199="",$J199=""),"",IF(TODAY()&lt;$I199,"Upcoming",IF(TODAY()&gt;$J199,"Expired","Active")))</f>
        <v/>
      </c>
      <c r="M199" s="45">
        <f>IF($L199="Active",$J199-TODAY(),"")</f>
        <v/>
      </c>
      <c r="N199" s="48" t="n"/>
      <c r="O199" s="47">
        <f>IF($L199="Active",$A199,"")</f>
        <v/>
      </c>
    </row>
    <row r="200">
      <c r="A200" s="48" t="n"/>
      <c r="B200" s="45">
        <f>IF($A200="","",IFERROR(INDEX('Chain Program'!$B$6:$B$120,MATCH($A200,'Chain Program'!$A$6:$A$120,0)),"Unknown ID"))</f>
        <v/>
      </c>
      <c r="C200" s="45">
        <f>IF($A200="","",IFERROR(INDEX('Chain Program'!$D$6:$D$120,MATCH($A200,'Chain Program'!$A$6:$A$120,0)),"Unknown ID"))</f>
        <v/>
      </c>
      <c r="D200" s="48" t="n"/>
      <c r="E200" s="48" t="n"/>
      <c r="F200" s="48" t="n"/>
      <c r="G200" s="49" t="n"/>
      <c r="H200" s="49" t="n"/>
      <c r="I200" s="41" t="n"/>
      <c r="J200" s="41" t="n"/>
      <c r="K200" s="48" t="n"/>
      <c r="L200" s="45">
        <f>IF(OR($A200="",$I200="",$J200=""),"",IF(TODAY()&lt;$I200,"Upcoming",IF(TODAY()&gt;$J200,"Expired","Active")))</f>
        <v/>
      </c>
      <c r="M200" s="45">
        <f>IF($L200="Active",$J200-TODAY(),"")</f>
        <v/>
      </c>
      <c r="N200" s="48" t="n"/>
      <c r="O200" s="47">
        <f>IF($L200="Active",$A200,"")</f>
        <v/>
      </c>
    </row>
    <row r="201">
      <c r="A201" s="48" t="n"/>
      <c r="B201" s="45">
        <f>IF($A201="","",IFERROR(INDEX('Chain Program'!$B$6:$B$120,MATCH($A201,'Chain Program'!$A$6:$A$120,0)),"Unknown ID"))</f>
        <v/>
      </c>
      <c r="C201" s="45">
        <f>IF($A201="","",IFERROR(INDEX('Chain Program'!$D$6:$D$120,MATCH($A201,'Chain Program'!$A$6:$A$120,0)),"Unknown ID"))</f>
        <v/>
      </c>
      <c r="D201" s="48" t="n"/>
      <c r="E201" s="48" t="n"/>
      <c r="F201" s="48" t="n"/>
      <c r="G201" s="49" t="n"/>
      <c r="H201" s="49" t="n"/>
      <c r="I201" s="41" t="n"/>
      <c r="J201" s="41" t="n"/>
      <c r="K201" s="48" t="n"/>
      <c r="L201" s="45">
        <f>IF(OR($A201="",$I201="",$J201=""),"",IF(TODAY()&lt;$I201,"Upcoming",IF(TODAY()&gt;$J201,"Expired","Active")))</f>
        <v/>
      </c>
      <c r="M201" s="45">
        <f>IF($L201="Active",$J201-TODAY(),"")</f>
        <v/>
      </c>
      <c r="N201" s="48" t="n"/>
      <c r="O201" s="47">
        <f>IF($L201="Active",$A201,"")</f>
        <v/>
      </c>
    </row>
    <row r="202">
      <c r="A202" s="48" t="n"/>
      <c r="B202" s="45">
        <f>IF($A202="","",IFERROR(INDEX('Chain Program'!$B$6:$B$120,MATCH($A202,'Chain Program'!$A$6:$A$120,0)),"Unknown ID"))</f>
        <v/>
      </c>
      <c r="C202" s="45">
        <f>IF($A202="","",IFERROR(INDEX('Chain Program'!$D$6:$D$120,MATCH($A202,'Chain Program'!$A$6:$A$120,0)),"Unknown ID"))</f>
        <v/>
      </c>
      <c r="D202" s="48" t="n"/>
      <c r="E202" s="48" t="n"/>
      <c r="F202" s="48" t="n"/>
      <c r="G202" s="49" t="n"/>
      <c r="H202" s="49" t="n"/>
      <c r="I202" s="41" t="n"/>
      <c r="J202" s="41" t="n"/>
      <c r="K202" s="48" t="n"/>
      <c r="L202" s="45">
        <f>IF(OR($A202="",$I202="",$J202=""),"",IF(TODAY()&lt;$I202,"Upcoming",IF(TODAY()&gt;$J202,"Expired","Active")))</f>
        <v/>
      </c>
      <c r="M202" s="45">
        <f>IF($L202="Active",$J202-TODAY(),"")</f>
        <v/>
      </c>
      <c r="N202" s="48" t="n"/>
      <c r="O202" s="47">
        <f>IF($L202="Active",$A202,"")</f>
        <v/>
      </c>
    </row>
    <row r="203">
      <c r="A203" s="48" t="n"/>
      <c r="B203" s="45">
        <f>IF($A203="","",IFERROR(INDEX('Chain Program'!$B$6:$B$120,MATCH($A203,'Chain Program'!$A$6:$A$120,0)),"Unknown ID"))</f>
        <v/>
      </c>
      <c r="C203" s="45">
        <f>IF($A203="","",IFERROR(INDEX('Chain Program'!$D$6:$D$120,MATCH($A203,'Chain Program'!$A$6:$A$120,0)),"Unknown ID"))</f>
        <v/>
      </c>
      <c r="D203" s="48" t="n"/>
      <c r="E203" s="48" t="n"/>
      <c r="F203" s="48" t="n"/>
      <c r="G203" s="49" t="n"/>
      <c r="H203" s="49" t="n"/>
      <c r="I203" s="41" t="n"/>
      <c r="J203" s="41" t="n"/>
      <c r="K203" s="48" t="n"/>
      <c r="L203" s="45">
        <f>IF(OR($A203="",$I203="",$J203=""),"",IF(TODAY()&lt;$I203,"Upcoming",IF(TODAY()&gt;$J203,"Expired","Active")))</f>
        <v/>
      </c>
      <c r="M203" s="45">
        <f>IF($L203="Active",$J203-TODAY(),"")</f>
        <v/>
      </c>
      <c r="N203" s="48" t="n"/>
      <c r="O203" s="47">
        <f>IF($L203="Active",$A203,"")</f>
        <v/>
      </c>
    </row>
    <row r="204">
      <c r="A204" s="48" t="n"/>
      <c r="B204" s="45">
        <f>IF($A204="","",IFERROR(INDEX('Chain Program'!$B$6:$B$120,MATCH($A204,'Chain Program'!$A$6:$A$120,0)),"Unknown ID"))</f>
        <v/>
      </c>
      <c r="C204" s="45">
        <f>IF($A204="","",IFERROR(INDEX('Chain Program'!$D$6:$D$120,MATCH($A204,'Chain Program'!$A$6:$A$120,0)),"Unknown ID"))</f>
        <v/>
      </c>
      <c r="D204" s="48" t="n"/>
      <c r="E204" s="48" t="n"/>
      <c r="F204" s="48" t="n"/>
      <c r="G204" s="49" t="n"/>
      <c r="H204" s="49" t="n"/>
      <c r="I204" s="41" t="n"/>
      <c r="J204" s="41" t="n"/>
      <c r="K204" s="48" t="n"/>
      <c r="L204" s="45">
        <f>IF(OR($A204="",$I204="",$J204=""),"",IF(TODAY()&lt;$I204,"Upcoming",IF(TODAY()&gt;$J204,"Expired","Active")))</f>
        <v/>
      </c>
      <c r="M204" s="45">
        <f>IF($L204="Active",$J204-TODAY(),"")</f>
        <v/>
      </c>
      <c r="N204" s="48" t="n"/>
      <c r="O204" s="47">
        <f>IF($L204="Active",$A204,"")</f>
        <v/>
      </c>
    </row>
    <row r="205">
      <c r="A205" s="48" t="n"/>
      <c r="B205" s="45">
        <f>IF($A205="","",IFERROR(INDEX('Chain Program'!$B$6:$B$120,MATCH($A205,'Chain Program'!$A$6:$A$120,0)),"Unknown ID"))</f>
        <v/>
      </c>
      <c r="C205" s="45">
        <f>IF($A205="","",IFERROR(INDEX('Chain Program'!$D$6:$D$120,MATCH($A205,'Chain Program'!$A$6:$A$120,0)),"Unknown ID"))</f>
        <v/>
      </c>
      <c r="D205" s="48" t="n"/>
      <c r="E205" s="48" t="n"/>
      <c r="F205" s="48" t="n"/>
      <c r="G205" s="49" t="n"/>
      <c r="H205" s="49" t="n"/>
      <c r="I205" s="41" t="n"/>
      <c r="J205" s="41" t="n"/>
      <c r="K205" s="48" t="n"/>
      <c r="L205" s="45">
        <f>IF(OR($A205="",$I205="",$J205=""),"",IF(TODAY()&lt;$I205,"Upcoming",IF(TODAY()&gt;$J205,"Expired","Active")))</f>
        <v/>
      </c>
      <c r="M205" s="45">
        <f>IF($L205="Active",$J205-TODAY(),"")</f>
        <v/>
      </c>
      <c r="N205" s="48" t="n"/>
      <c r="O205" s="47">
        <f>IF($L205="Active",$A205,"")</f>
        <v/>
      </c>
    </row>
    <row r="206">
      <c r="A206" s="48" t="n"/>
      <c r="B206" s="45">
        <f>IF($A206="","",IFERROR(INDEX('Chain Program'!$B$6:$B$120,MATCH($A206,'Chain Program'!$A$6:$A$120,0)),"Unknown ID"))</f>
        <v/>
      </c>
      <c r="C206" s="45">
        <f>IF($A206="","",IFERROR(INDEX('Chain Program'!$D$6:$D$120,MATCH($A206,'Chain Program'!$A$6:$A$120,0)),"Unknown ID"))</f>
        <v/>
      </c>
      <c r="D206" s="48" t="n"/>
      <c r="E206" s="48" t="n"/>
      <c r="F206" s="48" t="n"/>
      <c r="G206" s="49" t="n"/>
      <c r="H206" s="49" t="n"/>
      <c r="I206" s="41" t="n"/>
      <c r="J206" s="41" t="n"/>
      <c r="K206" s="48" t="n"/>
      <c r="L206" s="45">
        <f>IF(OR($A206="",$I206="",$J206=""),"",IF(TODAY()&lt;$I206,"Upcoming",IF(TODAY()&gt;$J206,"Expired","Active")))</f>
        <v/>
      </c>
      <c r="M206" s="45">
        <f>IF($L206="Active",$J206-TODAY(),"")</f>
        <v/>
      </c>
      <c r="N206" s="48" t="n"/>
      <c r="O206" s="47">
        <f>IF($L206="Active",$A206,"")</f>
        <v/>
      </c>
    </row>
    <row r="207">
      <c r="A207" s="48" t="n"/>
      <c r="B207" s="45">
        <f>IF($A207="","",IFERROR(INDEX('Chain Program'!$B$6:$B$120,MATCH($A207,'Chain Program'!$A$6:$A$120,0)),"Unknown ID"))</f>
        <v/>
      </c>
      <c r="C207" s="45">
        <f>IF($A207="","",IFERROR(INDEX('Chain Program'!$D$6:$D$120,MATCH($A207,'Chain Program'!$A$6:$A$120,0)),"Unknown ID"))</f>
        <v/>
      </c>
      <c r="D207" s="48" t="n"/>
      <c r="E207" s="48" t="n"/>
      <c r="F207" s="48" t="n"/>
      <c r="G207" s="49" t="n"/>
      <c r="H207" s="49" t="n"/>
      <c r="I207" s="41" t="n"/>
      <c r="J207" s="41" t="n"/>
      <c r="K207" s="48" t="n"/>
      <c r="L207" s="45">
        <f>IF(OR($A207="",$I207="",$J207=""),"",IF(TODAY()&lt;$I207,"Upcoming",IF(TODAY()&gt;$J207,"Expired","Active")))</f>
        <v/>
      </c>
      <c r="M207" s="45">
        <f>IF($L207="Active",$J207-TODAY(),"")</f>
        <v/>
      </c>
      <c r="N207" s="48" t="n"/>
      <c r="O207" s="47">
        <f>IF($L207="Active",$A207,"")</f>
        <v/>
      </c>
    </row>
    <row r="208">
      <c r="A208" s="48" t="n"/>
      <c r="B208" s="45">
        <f>IF($A208="","",IFERROR(INDEX('Chain Program'!$B$6:$B$120,MATCH($A208,'Chain Program'!$A$6:$A$120,0)),"Unknown ID"))</f>
        <v/>
      </c>
      <c r="C208" s="45">
        <f>IF($A208="","",IFERROR(INDEX('Chain Program'!$D$6:$D$120,MATCH($A208,'Chain Program'!$A$6:$A$120,0)),"Unknown ID"))</f>
        <v/>
      </c>
      <c r="D208" s="48" t="n"/>
      <c r="E208" s="48" t="n"/>
      <c r="F208" s="48" t="n"/>
      <c r="G208" s="49" t="n"/>
      <c r="H208" s="49" t="n"/>
      <c r="I208" s="41" t="n"/>
      <c r="J208" s="41" t="n"/>
      <c r="K208" s="48" t="n"/>
      <c r="L208" s="45">
        <f>IF(OR($A208="",$I208="",$J208=""),"",IF(TODAY()&lt;$I208,"Upcoming",IF(TODAY()&gt;$J208,"Expired","Active")))</f>
        <v/>
      </c>
      <c r="M208" s="45">
        <f>IF($L208="Active",$J208-TODAY(),"")</f>
        <v/>
      </c>
      <c r="N208" s="48" t="n"/>
      <c r="O208" s="47">
        <f>IF($L208="Active",$A208,"")</f>
        <v/>
      </c>
    </row>
    <row r="209">
      <c r="A209" s="48" t="n"/>
      <c r="B209" s="45">
        <f>IF($A209="","",IFERROR(INDEX('Chain Program'!$B$6:$B$120,MATCH($A209,'Chain Program'!$A$6:$A$120,0)),"Unknown ID"))</f>
        <v/>
      </c>
      <c r="C209" s="45">
        <f>IF($A209="","",IFERROR(INDEX('Chain Program'!$D$6:$D$120,MATCH($A209,'Chain Program'!$A$6:$A$120,0)),"Unknown ID"))</f>
        <v/>
      </c>
      <c r="D209" s="48" t="n"/>
      <c r="E209" s="48" t="n"/>
      <c r="F209" s="48" t="n"/>
      <c r="G209" s="49" t="n"/>
      <c r="H209" s="49" t="n"/>
      <c r="I209" s="41" t="n"/>
      <c r="J209" s="41" t="n"/>
      <c r="K209" s="48" t="n"/>
      <c r="L209" s="45">
        <f>IF(OR($A209="",$I209="",$J209=""),"",IF(TODAY()&lt;$I209,"Upcoming",IF(TODAY()&gt;$J209,"Expired","Active")))</f>
        <v/>
      </c>
      <c r="M209" s="45">
        <f>IF($L209="Active",$J209-TODAY(),"")</f>
        <v/>
      </c>
      <c r="N209" s="48" t="n"/>
      <c r="O209" s="47">
        <f>IF($L209="Active",$A209,"")</f>
        <v/>
      </c>
    </row>
    <row r="210">
      <c r="A210" s="48" t="n"/>
      <c r="B210" s="45">
        <f>IF($A210="","",IFERROR(INDEX('Chain Program'!$B$6:$B$120,MATCH($A210,'Chain Program'!$A$6:$A$120,0)),"Unknown ID"))</f>
        <v/>
      </c>
      <c r="C210" s="45">
        <f>IF($A210="","",IFERROR(INDEX('Chain Program'!$D$6:$D$120,MATCH($A210,'Chain Program'!$A$6:$A$120,0)),"Unknown ID"))</f>
        <v/>
      </c>
      <c r="D210" s="48" t="n"/>
      <c r="E210" s="48" t="n"/>
      <c r="F210" s="48" t="n"/>
      <c r="G210" s="49" t="n"/>
      <c r="H210" s="49" t="n"/>
      <c r="I210" s="41" t="n"/>
      <c r="J210" s="41" t="n"/>
      <c r="K210" s="48" t="n"/>
      <c r="L210" s="45">
        <f>IF(OR($A210="",$I210="",$J210=""),"",IF(TODAY()&lt;$I210,"Upcoming",IF(TODAY()&gt;$J210,"Expired","Active")))</f>
        <v/>
      </c>
      <c r="M210" s="45">
        <f>IF($L210="Active",$J210-TODAY(),"")</f>
        <v/>
      </c>
      <c r="N210" s="48" t="n"/>
      <c r="O210" s="47">
        <f>IF($L210="Active",$A210,"")</f>
        <v/>
      </c>
    </row>
    <row r="211">
      <c r="A211" s="48" t="n"/>
      <c r="B211" s="45">
        <f>IF($A211="","",IFERROR(INDEX('Chain Program'!$B$6:$B$120,MATCH($A211,'Chain Program'!$A$6:$A$120,0)),"Unknown ID"))</f>
        <v/>
      </c>
      <c r="C211" s="45">
        <f>IF($A211="","",IFERROR(INDEX('Chain Program'!$D$6:$D$120,MATCH($A211,'Chain Program'!$A$6:$A$120,0)),"Unknown ID"))</f>
        <v/>
      </c>
      <c r="D211" s="48" t="n"/>
      <c r="E211" s="48" t="n"/>
      <c r="F211" s="48" t="n"/>
      <c r="G211" s="49" t="n"/>
      <c r="H211" s="49" t="n"/>
      <c r="I211" s="41" t="n"/>
      <c r="J211" s="41" t="n"/>
      <c r="K211" s="48" t="n"/>
      <c r="L211" s="45">
        <f>IF(OR($A211="",$I211="",$J211=""),"",IF(TODAY()&lt;$I211,"Upcoming",IF(TODAY()&gt;$J211,"Expired","Active")))</f>
        <v/>
      </c>
      <c r="M211" s="45">
        <f>IF($L211="Active",$J211-TODAY(),"")</f>
        <v/>
      </c>
      <c r="N211" s="48" t="n"/>
      <c r="O211" s="47">
        <f>IF($L211="Active",$A211,"")</f>
        <v/>
      </c>
    </row>
    <row r="212">
      <c r="A212" s="48" t="n"/>
      <c r="B212" s="45">
        <f>IF($A212="","",IFERROR(INDEX('Chain Program'!$B$6:$B$120,MATCH($A212,'Chain Program'!$A$6:$A$120,0)),"Unknown ID"))</f>
        <v/>
      </c>
      <c r="C212" s="45">
        <f>IF($A212="","",IFERROR(INDEX('Chain Program'!$D$6:$D$120,MATCH($A212,'Chain Program'!$A$6:$A$120,0)),"Unknown ID"))</f>
        <v/>
      </c>
      <c r="D212" s="48" t="n"/>
      <c r="E212" s="48" t="n"/>
      <c r="F212" s="48" t="n"/>
      <c r="G212" s="49" t="n"/>
      <c r="H212" s="49" t="n"/>
      <c r="I212" s="41" t="n"/>
      <c r="J212" s="41" t="n"/>
      <c r="K212" s="48" t="n"/>
      <c r="L212" s="45">
        <f>IF(OR($A212="",$I212="",$J212=""),"",IF(TODAY()&lt;$I212,"Upcoming",IF(TODAY()&gt;$J212,"Expired","Active")))</f>
        <v/>
      </c>
      <c r="M212" s="45">
        <f>IF($L212="Active",$J212-TODAY(),"")</f>
        <v/>
      </c>
      <c r="N212" s="48" t="n"/>
      <c r="O212" s="47">
        <f>IF($L212="Active",$A212,"")</f>
        <v/>
      </c>
    </row>
    <row r="213">
      <c r="A213" s="48" t="n"/>
      <c r="B213" s="45">
        <f>IF($A213="","",IFERROR(INDEX('Chain Program'!$B$6:$B$120,MATCH($A213,'Chain Program'!$A$6:$A$120,0)),"Unknown ID"))</f>
        <v/>
      </c>
      <c r="C213" s="45">
        <f>IF($A213="","",IFERROR(INDEX('Chain Program'!$D$6:$D$120,MATCH($A213,'Chain Program'!$A$6:$A$120,0)),"Unknown ID"))</f>
        <v/>
      </c>
      <c r="D213" s="48" t="n"/>
      <c r="E213" s="48" t="n"/>
      <c r="F213" s="48" t="n"/>
      <c r="G213" s="49" t="n"/>
      <c r="H213" s="49" t="n"/>
      <c r="I213" s="41" t="n"/>
      <c r="J213" s="41" t="n"/>
      <c r="K213" s="48" t="n"/>
      <c r="L213" s="45">
        <f>IF(OR($A213="",$I213="",$J213=""),"",IF(TODAY()&lt;$I213,"Upcoming",IF(TODAY()&gt;$J213,"Expired","Active")))</f>
        <v/>
      </c>
      <c r="M213" s="45">
        <f>IF($L213="Active",$J213-TODAY(),"")</f>
        <v/>
      </c>
      <c r="N213" s="48" t="n"/>
      <c r="O213" s="47">
        <f>IF($L213="Active",$A213,"")</f>
        <v/>
      </c>
    </row>
    <row r="214">
      <c r="A214" s="48" t="n"/>
      <c r="B214" s="45">
        <f>IF($A214="","",IFERROR(INDEX('Chain Program'!$B$6:$B$120,MATCH($A214,'Chain Program'!$A$6:$A$120,0)),"Unknown ID"))</f>
        <v/>
      </c>
      <c r="C214" s="45">
        <f>IF($A214="","",IFERROR(INDEX('Chain Program'!$D$6:$D$120,MATCH($A214,'Chain Program'!$A$6:$A$120,0)),"Unknown ID"))</f>
        <v/>
      </c>
      <c r="D214" s="48" t="n"/>
      <c r="E214" s="48" t="n"/>
      <c r="F214" s="48" t="n"/>
      <c r="G214" s="49" t="n"/>
      <c r="H214" s="49" t="n"/>
      <c r="I214" s="41" t="n"/>
      <c r="J214" s="41" t="n"/>
      <c r="K214" s="48" t="n"/>
      <c r="L214" s="45">
        <f>IF(OR($A214="",$I214="",$J214=""),"",IF(TODAY()&lt;$I214,"Upcoming",IF(TODAY()&gt;$J214,"Expired","Active")))</f>
        <v/>
      </c>
      <c r="M214" s="45">
        <f>IF($L214="Active",$J214-TODAY(),"")</f>
        <v/>
      </c>
      <c r="N214" s="48" t="n"/>
      <c r="O214" s="47">
        <f>IF($L214="Active",$A214,"")</f>
        <v/>
      </c>
    </row>
    <row r="215">
      <c r="A215" s="48" t="n"/>
      <c r="B215" s="45">
        <f>IF($A215="","",IFERROR(INDEX('Chain Program'!$B$6:$B$120,MATCH($A215,'Chain Program'!$A$6:$A$120,0)),"Unknown ID"))</f>
        <v/>
      </c>
      <c r="C215" s="45">
        <f>IF($A215="","",IFERROR(INDEX('Chain Program'!$D$6:$D$120,MATCH($A215,'Chain Program'!$A$6:$A$120,0)),"Unknown ID"))</f>
        <v/>
      </c>
      <c r="D215" s="48" t="n"/>
      <c r="E215" s="48" t="n"/>
      <c r="F215" s="48" t="n"/>
      <c r="G215" s="49" t="n"/>
      <c r="H215" s="49" t="n"/>
      <c r="I215" s="41" t="n"/>
      <c r="J215" s="41" t="n"/>
      <c r="K215" s="48" t="n"/>
      <c r="L215" s="45">
        <f>IF(OR($A215="",$I215="",$J215=""),"",IF(TODAY()&lt;$I215,"Upcoming",IF(TODAY()&gt;$J215,"Expired","Active")))</f>
        <v/>
      </c>
      <c r="M215" s="45">
        <f>IF($L215="Active",$J215-TODAY(),"")</f>
        <v/>
      </c>
      <c r="N215" s="48" t="n"/>
      <c r="O215" s="47">
        <f>IF($L215="Active",$A215,"")</f>
        <v/>
      </c>
    </row>
    <row r="216">
      <c r="A216" s="48" t="n"/>
      <c r="B216" s="45">
        <f>IF($A216="","",IFERROR(INDEX('Chain Program'!$B$6:$B$120,MATCH($A216,'Chain Program'!$A$6:$A$120,0)),"Unknown ID"))</f>
        <v/>
      </c>
      <c r="C216" s="45">
        <f>IF($A216="","",IFERROR(INDEX('Chain Program'!$D$6:$D$120,MATCH($A216,'Chain Program'!$A$6:$A$120,0)),"Unknown ID"))</f>
        <v/>
      </c>
      <c r="D216" s="48" t="n"/>
      <c r="E216" s="48" t="n"/>
      <c r="F216" s="48" t="n"/>
      <c r="G216" s="49" t="n"/>
      <c r="H216" s="49" t="n"/>
      <c r="I216" s="41" t="n"/>
      <c r="J216" s="41" t="n"/>
      <c r="K216" s="48" t="n"/>
      <c r="L216" s="45">
        <f>IF(OR($A216="",$I216="",$J216=""),"",IF(TODAY()&lt;$I216,"Upcoming",IF(TODAY()&gt;$J216,"Expired","Active")))</f>
        <v/>
      </c>
      <c r="M216" s="45">
        <f>IF($L216="Active",$J216-TODAY(),"")</f>
        <v/>
      </c>
      <c r="N216" s="48" t="n"/>
      <c r="O216" s="47">
        <f>IF($L216="Active",$A216,"")</f>
        <v/>
      </c>
    </row>
    <row r="217">
      <c r="A217" s="48" t="n"/>
      <c r="B217" s="45">
        <f>IF($A217="","",IFERROR(INDEX('Chain Program'!$B$6:$B$120,MATCH($A217,'Chain Program'!$A$6:$A$120,0)),"Unknown ID"))</f>
        <v/>
      </c>
      <c r="C217" s="45">
        <f>IF($A217="","",IFERROR(INDEX('Chain Program'!$D$6:$D$120,MATCH($A217,'Chain Program'!$A$6:$A$120,0)),"Unknown ID"))</f>
        <v/>
      </c>
      <c r="D217" s="48" t="n"/>
      <c r="E217" s="48" t="n"/>
      <c r="F217" s="48" t="n"/>
      <c r="G217" s="49" t="n"/>
      <c r="H217" s="49" t="n"/>
      <c r="I217" s="41" t="n"/>
      <c r="J217" s="41" t="n"/>
      <c r="K217" s="48" t="n"/>
      <c r="L217" s="45">
        <f>IF(OR($A217="",$I217="",$J217=""),"",IF(TODAY()&lt;$I217,"Upcoming",IF(TODAY()&gt;$J217,"Expired","Active")))</f>
        <v/>
      </c>
      <c r="M217" s="45">
        <f>IF($L217="Active",$J217-TODAY(),"")</f>
        <v/>
      </c>
      <c r="N217" s="48" t="n"/>
      <c r="O217" s="47">
        <f>IF($L217="Active",$A217,"")</f>
        <v/>
      </c>
    </row>
    <row r="218">
      <c r="A218" s="48" t="n"/>
      <c r="B218" s="45">
        <f>IF($A218="","",IFERROR(INDEX('Chain Program'!$B$6:$B$120,MATCH($A218,'Chain Program'!$A$6:$A$120,0)),"Unknown ID"))</f>
        <v/>
      </c>
      <c r="C218" s="45">
        <f>IF($A218="","",IFERROR(INDEX('Chain Program'!$D$6:$D$120,MATCH($A218,'Chain Program'!$A$6:$A$120,0)),"Unknown ID"))</f>
        <v/>
      </c>
      <c r="D218" s="48" t="n"/>
      <c r="E218" s="48" t="n"/>
      <c r="F218" s="48" t="n"/>
      <c r="G218" s="49" t="n"/>
      <c r="H218" s="49" t="n"/>
      <c r="I218" s="41" t="n"/>
      <c r="J218" s="41" t="n"/>
      <c r="K218" s="48" t="n"/>
      <c r="L218" s="45">
        <f>IF(OR($A218="",$I218="",$J218=""),"",IF(TODAY()&lt;$I218,"Upcoming",IF(TODAY()&gt;$J218,"Expired","Active")))</f>
        <v/>
      </c>
      <c r="M218" s="45">
        <f>IF($L218="Active",$J218-TODAY(),"")</f>
        <v/>
      </c>
      <c r="N218" s="48" t="n"/>
      <c r="O218" s="47">
        <f>IF($L218="Active",$A218,"")</f>
        <v/>
      </c>
    </row>
    <row r="219">
      <c r="A219" s="48" t="n"/>
      <c r="B219" s="45">
        <f>IF($A219="","",IFERROR(INDEX('Chain Program'!$B$6:$B$120,MATCH($A219,'Chain Program'!$A$6:$A$120,0)),"Unknown ID"))</f>
        <v/>
      </c>
      <c r="C219" s="45">
        <f>IF($A219="","",IFERROR(INDEX('Chain Program'!$D$6:$D$120,MATCH($A219,'Chain Program'!$A$6:$A$120,0)),"Unknown ID"))</f>
        <v/>
      </c>
      <c r="D219" s="48" t="n"/>
      <c r="E219" s="48" t="n"/>
      <c r="F219" s="48" t="n"/>
      <c r="G219" s="49" t="n"/>
      <c r="H219" s="49" t="n"/>
      <c r="I219" s="41" t="n"/>
      <c r="J219" s="41" t="n"/>
      <c r="K219" s="48" t="n"/>
      <c r="L219" s="45">
        <f>IF(OR($A219="",$I219="",$J219=""),"",IF(TODAY()&lt;$I219,"Upcoming",IF(TODAY()&gt;$J219,"Expired","Active")))</f>
        <v/>
      </c>
      <c r="M219" s="45">
        <f>IF($L219="Active",$J219-TODAY(),"")</f>
        <v/>
      </c>
      <c r="N219" s="48" t="n"/>
      <c r="O219" s="47">
        <f>IF($L219="Active",$A219,"")</f>
        <v/>
      </c>
    </row>
    <row r="220">
      <c r="A220" s="48" t="n"/>
      <c r="B220" s="45">
        <f>IF($A220="","",IFERROR(INDEX('Chain Program'!$B$6:$B$120,MATCH($A220,'Chain Program'!$A$6:$A$120,0)),"Unknown ID"))</f>
        <v/>
      </c>
      <c r="C220" s="45">
        <f>IF($A220="","",IFERROR(INDEX('Chain Program'!$D$6:$D$120,MATCH($A220,'Chain Program'!$A$6:$A$120,0)),"Unknown ID"))</f>
        <v/>
      </c>
      <c r="D220" s="48" t="n"/>
      <c r="E220" s="48" t="n"/>
      <c r="F220" s="48" t="n"/>
      <c r="G220" s="49" t="n"/>
      <c r="H220" s="49" t="n"/>
      <c r="I220" s="41" t="n"/>
      <c r="J220" s="41" t="n"/>
      <c r="K220" s="48" t="n"/>
      <c r="L220" s="45">
        <f>IF(OR($A220="",$I220="",$J220=""),"",IF(TODAY()&lt;$I220,"Upcoming",IF(TODAY()&gt;$J220,"Expired","Active")))</f>
        <v/>
      </c>
      <c r="M220" s="45">
        <f>IF($L220="Active",$J220-TODAY(),"")</f>
        <v/>
      </c>
      <c r="N220" s="48" t="n"/>
      <c r="O220" s="47">
        <f>IF($L220="Active",$A220,"")</f>
        <v/>
      </c>
    </row>
    <row r="221">
      <c r="A221" s="48" t="n"/>
      <c r="B221" s="45">
        <f>IF($A221="","",IFERROR(INDEX('Chain Program'!$B$6:$B$120,MATCH($A221,'Chain Program'!$A$6:$A$120,0)),"Unknown ID"))</f>
        <v/>
      </c>
      <c r="C221" s="45">
        <f>IF($A221="","",IFERROR(INDEX('Chain Program'!$D$6:$D$120,MATCH($A221,'Chain Program'!$A$6:$A$120,0)),"Unknown ID"))</f>
        <v/>
      </c>
      <c r="D221" s="48" t="n"/>
      <c r="E221" s="48" t="n"/>
      <c r="F221" s="48" t="n"/>
      <c r="G221" s="49" t="n"/>
      <c r="H221" s="49" t="n"/>
      <c r="I221" s="41" t="n"/>
      <c r="J221" s="41" t="n"/>
      <c r="K221" s="48" t="n"/>
      <c r="L221" s="45">
        <f>IF(OR($A221="",$I221="",$J221=""),"",IF(TODAY()&lt;$I221,"Upcoming",IF(TODAY()&gt;$J221,"Expired","Active")))</f>
        <v/>
      </c>
      <c r="M221" s="45">
        <f>IF($L221="Active",$J221-TODAY(),"")</f>
        <v/>
      </c>
      <c r="N221" s="48" t="n"/>
      <c r="O221" s="47">
        <f>IF($L221="Active",$A221,"")</f>
        <v/>
      </c>
    </row>
    <row r="222">
      <c r="A222" s="48" t="n"/>
      <c r="B222" s="45">
        <f>IF($A222="","",IFERROR(INDEX('Chain Program'!$B$6:$B$120,MATCH($A222,'Chain Program'!$A$6:$A$120,0)),"Unknown ID"))</f>
        <v/>
      </c>
      <c r="C222" s="45">
        <f>IF($A222="","",IFERROR(INDEX('Chain Program'!$D$6:$D$120,MATCH($A222,'Chain Program'!$A$6:$A$120,0)),"Unknown ID"))</f>
        <v/>
      </c>
      <c r="D222" s="48" t="n"/>
      <c r="E222" s="48" t="n"/>
      <c r="F222" s="48" t="n"/>
      <c r="G222" s="49" t="n"/>
      <c r="H222" s="49" t="n"/>
      <c r="I222" s="41" t="n"/>
      <c r="J222" s="41" t="n"/>
      <c r="K222" s="48" t="n"/>
      <c r="L222" s="45">
        <f>IF(OR($A222="",$I222="",$J222=""),"",IF(TODAY()&lt;$I222,"Upcoming",IF(TODAY()&gt;$J222,"Expired","Active")))</f>
        <v/>
      </c>
      <c r="M222" s="45">
        <f>IF($L222="Active",$J222-TODAY(),"")</f>
        <v/>
      </c>
      <c r="N222" s="48" t="n"/>
      <c r="O222" s="47">
        <f>IF($L222="Active",$A222,"")</f>
        <v/>
      </c>
    </row>
    <row r="223">
      <c r="A223" s="48" t="n"/>
      <c r="B223" s="45">
        <f>IF($A223="","",IFERROR(INDEX('Chain Program'!$B$6:$B$120,MATCH($A223,'Chain Program'!$A$6:$A$120,0)),"Unknown ID"))</f>
        <v/>
      </c>
      <c r="C223" s="45">
        <f>IF($A223="","",IFERROR(INDEX('Chain Program'!$D$6:$D$120,MATCH($A223,'Chain Program'!$A$6:$A$120,0)),"Unknown ID"))</f>
        <v/>
      </c>
      <c r="D223" s="48" t="n"/>
      <c r="E223" s="48" t="n"/>
      <c r="F223" s="48" t="n"/>
      <c r="G223" s="49" t="n"/>
      <c r="H223" s="49" t="n"/>
      <c r="I223" s="41" t="n"/>
      <c r="J223" s="41" t="n"/>
      <c r="K223" s="48" t="n"/>
      <c r="L223" s="45">
        <f>IF(OR($A223="",$I223="",$J223=""),"",IF(TODAY()&lt;$I223,"Upcoming",IF(TODAY()&gt;$J223,"Expired","Active")))</f>
        <v/>
      </c>
      <c r="M223" s="45">
        <f>IF($L223="Active",$J223-TODAY(),"")</f>
        <v/>
      </c>
      <c r="N223" s="48" t="n"/>
      <c r="O223" s="47">
        <f>IF($L223="Active",$A223,"")</f>
        <v/>
      </c>
    </row>
    <row r="224">
      <c r="A224" s="48" t="n"/>
      <c r="B224" s="45">
        <f>IF($A224="","",IFERROR(INDEX('Chain Program'!$B$6:$B$120,MATCH($A224,'Chain Program'!$A$6:$A$120,0)),"Unknown ID"))</f>
        <v/>
      </c>
      <c r="C224" s="45">
        <f>IF($A224="","",IFERROR(INDEX('Chain Program'!$D$6:$D$120,MATCH($A224,'Chain Program'!$A$6:$A$120,0)),"Unknown ID"))</f>
        <v/>
      </c>
      <c r="D224" s="48" t="n"/>
      <c r="E224" s="48" t="n"/>
      <c r="F224" s="48" t="n"/>
      <c r="G224" s="49" t="n"/>
      <c r="H224" s="49" t="n"/>
      <c r="I224" s="41" t="n"/>
      <c r="J224" s="41" t="n"/>
      <c r="K224" s="48" t="n"/>
      <c r="L224" s="45">
        <f>IF(OR($A224="",$I224="",$J224=""),"",IF(TODAY()&lt;$I224,"Upcoming",IF(TODAY()&gt;$J224,"Expired","Active")))</f>
        <v/>
      </c>
      <c r="M224" s="45">
        <f>IF($L224="Active",$J224-TODAY(),"")</f>
        <v/>
      </c>
      <c r="N224" s="48" t="n"/>
      <c r="O224" s="47">
        <f>IF($L224="Active",$A224,"")</f>
        <v/>
      </c>
    </row>
    <row r="225">
      <c r="A225" s="48" t="n"/>
      <c r="B225" s="45">
        <f>IF($A225="","",IFERROR(INDEX('Chain Program'!$B$6:$B$120,MATCH($A225,'Chain Program'!$A$6:$A$120,0)),"Unknown ID"))</f>
        <v/>
      </c>
      <c r="C225" s="45">
        <f>IF($A225="","",IFERROR(INDEX('Chain Program'!$D$6:$D$120,MATCH($A225,'Chain Program'!$A$6:$A$120,0)),"Unknown ID"))</f>
        <v/>
      </c>
      <c r="D225" s="48" t="n"/>
      <c r="E225" s="48" t="n"/>
      <c r="F225" s="48" t="n"/>
      <c r="G225" s="49" t="n"/>
      <c r="H225" s="49" t="n"/>
      <c r="I225" s="41" t="n"/>
      <c r="J225" s="41" t="n"/>
      <c r="K225" s="48" t="n"/>
      <c r="L225" s="45">
        <f>IF(OR($A225="",$I225="",$J225=""),"",IF(TODAY()&lt;$I225,"Upcoming",IF(TODAY()&gt;$J225,"Expired","Active")))</f>
        <v/>
      </c>
      <c r="M225" s="45">
        <f>IF($L225="Active",$J225-TODAY(),"")</f>
        <v/>
      </c>
      <c r="N225" s="48" t="n"/>
      <c r="O225" s="47">
        <f>IF($L225="Active",$A225,"")</f>
        <v/>
      </c>
    </row>
    <row r="226">
      <c r="A226" s="48" t="n"/>
      <c r="B226" s="45">
        <f>IF($A226="","",IFERROR(INDEX('Chain Program'!$B$6:$B$120,MATCH($A226,'Chain Program'!$A$6:$A$120,0)),"Unknown ID"))</f>
        <v/>
      </c>
      <c r="C226" s="45">
        <f>IF($A226="","",IFERROR(INDEX('Chain Program'!$D$6:$D$120,MATCH($A226,'Chain Program'!$A$6:$A$120,0)),"Unknown ID"))</f>
        <v/>
      </c>
      <c r="D226" s="48" t="n"/>
      <c r="E226" s="48" t="n"/>
      <c r="F226" s="48" t="n"/>
      <c r="G226" s="49" t="n"/>
      <c r="H226" s="49" t="n"/>
      <c r="I226" s="41" t="n"/>
      <c r="J226" s="41" t="n"/>
      <c r="K226" s="48" t="n"/>
      <c r="L226" s="45">
        <f>IF(OR($A226="",$I226="",$J226=""),"",IF(TODAY()&lt;$I226,"Upcoming",IF(TODAY()&gt;$J226,"Expired","Active")))</f>
        <v/>
      </c>
      <c r="M226" s="45">
        <f>IF($L226="Active",$J226-TODAY(),"")</f>
        <v/>
      </c>
      <c r="N226" s="48" t="n"/>
      <c r="O226" s="47">
        <f>IF($L226="Active",$A226,"")</f>
        <v/>
      </c>
    </row>
    <row r="227">
      <c r="A227" s="48" t="n"/>
      <c r="B227" s="45">
        <f>IF($A227="","",IFERROR(INDEX('Chain Program'!$B$6:$B$120,MATCH($A227,'Chain Program'!$A$6:$A$120,0)),"Unknown ID"))</f>
        <v/>
      </c>
      <c r="C227" s="45">
        <f>IF($A227="","",IFERROR(INDEX('Chain Program'!$D$6:$D$120,MATCH($A227,'Chain Program'!$A$6:$A$120,0)),"Unknown ID"))</f>
        <v/>
      </c>
      <c r="D227" s="48" t="n"/>
      <c r="E227" s="48" t="n"/>
      <c r="F227" s="48" t="n"/>
      <c r="G227" s="49" t="n"/>
      <c r="H227" s="49" t="n"/>
      <c r="I227" s="41" t="n"/>
      <c r="J227" s="41" t="n"/>
      <c r="K227" s="48" t="n"/>
      <c r="L227" s="45">
        <f>IF(OR($A227="",$I227="",$J227=""),"",IF(TODAY()&lt;$I227,"Upcoming",IF(TODAY()&gt;$J227,"Expired","Active")))</f>
        <v/>
      </c>
      <c r="M227" s="45">
        <f>IF($L227="Active",$J227-TODAY(),"")</f>
        <v/>
      </c>
      <c r="N227" s="48" t="n"/>
      <c r="O227" s="47">
        <f>IF($L227="Active",$A227,"")</f>
        <v/>
      </c>
    </row>
    <row r="228">
      <c r="A228" s="48" t="n"/>
      <c r="B228" s="45">
        <f>IF($A228="","",IFERROR(INDEX('Chain Program'!$B$6:$B$120,MATCH($A228,'Chain Program'!$A$6:$A$120,0)),"Unknown ID"))</f>
        <v/>
      </c>
      <c r="C228" s="45">
        <f>IF($A228="","",IFERROR(INDEX('Chain Program'!$D$6:$D$120,MATCH($A228,'Chain Program'!$A$6:$A$120,0)),"Unknown ID"))</f>
        <v/>
      </c>
      <c r="D228" s="48" t="n"/>
      <c r="E228" s="48" t="n"/>
      <c r="F228" s="48" t="n"/>
      <c r="G228" s="49" t="n"/>
      <c r="H228" s="49" t="n"/>
      <c r="I228" s="41" t="n"/>
      <c r="J228" s="41" t="n"/>
      <c r="K228" s="48" t="n"/>
      <c r="L228" s="45">
        <f>IF(OR($A228="",$I228="",$J228=""),"",IF(TODAY()&lt;$I228,"Upcoming",IF(TODAY()&gt;$J228,"Expired","Active")))</f>
        <v/>
      </c>
      <c r="M228" s="45">
        <f>IF($L228="Active",$J228-TODAY(),"")</f>
        <v/>
      </c>
      <c r="N228" s="48" t="n"/>
      <c r="O228" s="47">
        <f>IF($L228="Active",$A228,"")</f>
        <v/>
      </c>
    </row>
    <row r="229">
      <c r="A229" s="48" t="n"/>
      <c r="B229" s="45">
        <f>IF($A229="","",IFERROR(INDEX('Chain Program'!$B$6:$B$120,MATCH($A229,'Chain Program'!$A$6:$A$120,0)),"Unknown ID"))</f>
        <v/>
      </c>
      <c r="C229" s="45">
        <f>IF($A229="","",IFERROR(INDEX('Chain Program'!$D$6:$D$120,MATCH($A229,'Chain Program'!$A$6:$A$120,0)),"Unknown ID"))</f>
        <v/>
      </c>
      <c r="D229" s="48" t="n"/>
      <c r="E229" s="48" t="n"/>
      <c r="F229" s="48" t="n"/>
      <c r="G229" s="49" t="n"/>
      <c r="H229" s="49" t="n"/>
      <c r="I229" s="41" t="n"/>
      <c r="J229" s="41" t="n"/>
      <c r="K229" s="48" t="n"/>
      <c r="L229" s="45">
        <f>IF(OR($A229="",$I229="",$J229=""),"",IF(TODAY()&lt;$I229,"Upcoming",IF(TODAY()&gt;$J229,"Expired","Active")))</f>
        <v/>
      </c>
      <c r="M229" s="45">
        <f>IF($L229="Active",$J229-TODAY(),"")</f>
        <v/>
      </c>
      <c r="N229" s="48" t="n"/>
      <c r="O229" s="47">
        <f>IF($L229="Active",$A229,"")</f>
        <v/>
      </c>
    </row>
    <row r="230">
      <c r="A230" s="48" t="n"/>
      <c r="B230" s="45">
        <f>IF($A230="","",IFERROR(INDEX('Chain Program'!$B$6:$B$120,MATCH($A230,'Chain Program'!$A$6:$A$120,0)),"Unknown ID"))</f>
        <v/>
      </c>
      <c r="C230" s="45">
        <f>IF($A230="","",IFERROR(INDEX('Chain Program'!$D$6:$D$120,MATCH($A230,'Chain Program'!$A$6:$A$120,0)),"Unknown ID"))</f>
        <v/>
      </c>
      <c r="D230" s="48" t="n"/>
      <c r="E230" s="48" t="n"/>
      <c r="F230" s="48" t="n"/>
      <c r="G230" s="49" t="n"/>
      <c r="H230" s="49" t="n"/>
      <c r="I230" s="41" t="n"/>
      <c r="J230" s="41" t="n"/>
      <c r="K230" s="48" t="n"/>
      <c r="L230" s="45">
        <f>IF(OR($A230="",$I230="",$J230=""),"",IF(TODAY()&lt;$I230,"Upcoming",IF(TODAY()&gt;$J230,"Expired","Active")))</f>
        <v/>
      </c>
      <c r="M230" s="45">
        <f>IF($L230="Active",$J230-TODAY(),"")</f>
        <v/>
      </c>
      <c r="N230" s="48" t="n"/>
      <c r="O230" s="47">
        <f>IF($L230="Active",$A230,"")</f>
        <v/>
      </c>
    </row>
    <row r="231">
      <c r="A231" s="48" t="n"/>
      <c r="B231" s="45">
        <f>IF($A231="","",IFERROR(INDEX('Chain Program'!$B$6:$B$120,MATCH($A231,'Chain Program'!$A$6:$A$120,0)),"Unknown ID"))</f>
        <v/>
      </c>
      <c r="C231" s="45">
        <f>IF($A231="","",IFERROR(INDEX('Chain Program'!$D$6:$D$120,MATCH($A231,'Chain Program'!$A$6:$A$120,0)),"Unknown ID"))</f>
        <v/>
      </c>
      <c r="D231" s="48" t="n"/>
      <c r="E231" s="48" t="n"/>
      <c r="F231" s="48" t="n"/>
      <c r="G231" s="49" t="n"/>
      <c r="H231" s="49" t="n"/>
      <c r="I231" s="41" t="n"/>
      <c r="J231" s="41" t="n"/>
      <c r="K231" s="48" t="n"/>
      <c r="L231" s="45">
        <f>IF(OR($A231="",$I231="",$J231=""),"",IF(TODAY()&lt;$I231,"Upcoming",IF(TODAY()&gt;$J231,"Expired","Active")))</f>
        <v/>
      </c>
      <c r="M231" s="45">
        <f>IF($L231="Active",$J231-TODAY(),"")</f>
        <v/>
      </c>
      <c r="N231" s="48" t="n"/>
      <c r="O231" s="47">
        <f>IF($L231="Active",$A231,"")</f>
        <v/>
      </c>
    </row>
    <row r="232">
      <c r="A232" s="48" t="n"/>
      <c r="B232" s="45">
        <f>IF($A232="","",IFERROR(INDEX('Chain Program'!$B$6:$B$120,MATCH($A232,'Chain Program'!$A$6:$A$120,0)),"Unknown ID"))</f>
        <v/>
      </c>
      <c r="C232" s="45">
        <f>IF($A232="","",IFERROR(INDEX('Chain Program'!$D$6:$D$120,MATCH($A232,'Chain Program'!$A$6:$A$120,0)),"Unknown ID"))</f>
        <v/>
      </c>
      <c r="D232" s="48" t="n"/>
      <c r="E232" s="48" t="n"/>
      <c r="F232" s="48" t="n"/>
      <c r="G232" s="49" t="n"/>
      <c r="H232" s="49" t="n"/>
      <c r="I232" s="41" t="n"/>
      <c r="J232" s="41" t="n"/>
      <c r="K232" s="48" t="n"/>
      <c r="L232" s="45">
        <f>IF(OR($A232="",$I232="",$J232=""),"",IF(TODAY()&lt;$I232,"Upcoming",IF(TODAY()&gt;$J232,"Expired","Active")))</f>
        <v/>
      </c>
      <c r="M232" s="45">
        <f>IF($L232="Active",$J232-TODAY(),"")</f>
        <v/>
      </c>
      <c r="N232" s="48" t="n"/>
      <c r="O232" s="47">
        <f>IF($L232="Active",$A232,"")</f>
        <v/>
      </c>
    </row>
    <row r="233">
      <c r="A233" s="48" t="n"/>
      <c r="B233" s="45">
        <f>IF($A233="","",IFERROR(INDEX('Chain Program'!$B$6:$B$120,MATCH($A233,'Chain Program'!$A$6:$A$120,0)),"Unknown ID"))</f>
        <v/>
      </c>
      <c r="C233" s="45">
        <f>IF($A233="","",IFERROR(INDEX('Chain Program'!$D$6:$D$120,MATCH($A233,'Chain Program'!$A$6:$A$120,0)),"Unknown ID"))</f>
        <v/>
      </c>
      <c r="D233" s="48" t="n"/>
      <c r="E233" s="48" t="n"/>
      <c r="F233" s="48" t="n"/>
      <c r="G233" s="49" t="n"/>
      <c r="H233" s="49" t="n"/>
      <c r="I233" s="41" t="n"/>
      <c r="J233" s="41" t="n"/>
      <c r="K233" s="48" t="n"/>
      <c r="L233" s="45">
        <f>IF(OR($A233="",$I233="",$J233=""),"",IF(TODAY()&lt;$I233,"Upcoming",IF(TODAY()&gt;$J233,"Expired","Active")))</f>
        <v/>
      </c>
      <c r="M233" s="45">
        <f>IF($L233="Active",$J233-TODAY(),"")</f>
        <v/>
      </c>
      <c r="N233" s="48" t="n"/>
      <c r="O233" s="47">
        <f>IF($L233="Active",$A233,"")</f>
        <v/>
      </c>
    </row>
    <row r="234">
      <c r="A234" s="48" t="n"/>
      <c r="B234" s="45">
        <f>IF($A234="","",IFERROR(INDEX('Chain Program'!$B$6:$B$120,MATCH($A234,'Chain Program'!$A$6:$A$120,0)),"Unknown ID"))</f>
        <v/>
      </c>
      <c r="C234" s="45">
        <f>IF($A234="","",IFERROR(INDEX('Chain Program'!$D$6:$D$120,MATCH($A234,'Chain Program'!$A$6:$A$120,0)),"Unknown ID"))</f>
        <v/>
      </c>
      <c r="D234" s="48" t="n"/>
      <c r="E234" s="48" t="n"/>
      <c r="F234" s="48" t="n"/>
      <c r="G234" s="49" t="n"/>
      <c r="H234" s="49" t="n"/>
      <c r="I234" s="41" t="n"/>
      <c r="J234" s="41" t="n"/>
      <c r="K234" s="48" t="n"/>
      <c r="L234" s="45">
        <f>IF(OR($A234="",$I234="",$J234=""),"",IF(TODAY()&lt;$I234,"Upcoming",IF(TODAY()&gt;$J234,"Expired","Active")))</f>
        <v/>
      </c>
      <c r="M234" s="45">
        <f>IF($L234="Active",$J234-TODAY(),"")</f>
        <v/>
      </c>
      <c r="N234" s="48" t="n"/>
      <c r="O234" s="47">
        <f>IF($L234="Active",$A234,"")</f>
        <v/>
      </c>
    </row>
    <row r="235">
      <c r="A235" s="48" t="n"/>
      <c r="B235" s="45">
        <f>IF($A235="","",IFERROR(INDEX('Chain Program'!$B$6:$B$120,MATCH($A235,'Chain Program'!$A$6:$A$120,0)),"Unknown ID"))</f>
        <v/>
      </c>
      <c r="C235" s="45">
        <f>IF($A235="","",IFERROR(INDEX('Chain Program'!$D$6:$D$120,MATCH($A235,'Chain Program'!$A$6:$A$120,0)),"Unknown ID"))</f>
        <v/>
      </c>
      <c r="D235" s="48" t="n"/>
      <c r="E235" s="48" t="n"/>
      <c r="F235" s="48" t="n"/>
      <c r="G235" s="49" t="n"/>
      <c r="H235" s="49" t="n"/>
      <c r="I235" s="41" t="n"/>
      <c r="J235" s="41" t="n"/>
      <c r="K235" s="48" t="n"/>
      <c r="L235" s="45">
        <f>IF(OR($A235="",$I235="",$J235=""),"",IF(TODAY()&lt;$I235,"Upcoming",IF(TODAY()&gt;$J235,"Expired","Active")))</f>
        <v/>
      </c>
      <c r="M235" s="45">
        <f>IF($L235="Active",$J235-TODAY(),"")</f>
        <v/>
      </c>
      <c r="N235" s="48" t="n"/>
      <c r="O235" s="47">
        <f>IF($L235="Active",$A235,"")</f>
        <v/>
      </c>
    </row>
    <row r="236">
      <c r="A236" s="48" t="n"/>
      <c r="B236" s="45">
        <f>IF($A236="","",IFERROR(INDEX('Chain Program'!$B$6:$B$120,MATCH($A236,'Chain Program'!$A$6:$A$120,0)),"Unknown ID"))</f>
        <v/>
      </c>
      <c r="C236" s="45">
        <f>IF($A236="","",IFERROR(INDEX('Chain Program'!$D$6:$D$120,MATCH($A236,'Chain Program'!$A$6:$A$120,0)),"Unknown ID"))</f>
        <v/>
      </c>
      <c r="D236" s="48" t="n"/>
      <c r="E236" s="48" t="n"/>
      <c r="F236" s="48" t="n"/>
      <c r="G236" s="49" t="n"/>
      <c r="H236" s="49" t="n"/>
      <c r="I236" s="41" t="n"/>
      <c r="J236" s="41" t="n"/>
      <c r="K236" s="48" t="n"/>
      <c r="L236" s="45">
        <f>IF(OR($A236="",$I236="",$J236=""),"",IF(TODAY()&lt;$I236,"Upcoming",IF(TODAY()&gt;$J236,"Expired","Active")))</f>
        <v/>
      </c>
      <c r="M236" s="45">
        <f>IF($L236="Active",$J236-TODAY(),"")</f>
        <v/>
      </c>
      <c r="N236" s="48" t="n"/>
      <c r="O236" s="47">
        <f>IF($L236="Active",$A236,"")</f>
        <v/>
      </c>
    </row>
    <row r="237">
      <c r="A237" s="48" t="n"/>
      <c r="B237" s="45">
        <f>IF($A237="","",IFERROR(INDEX('Chain Program'!$B$6:$B$120,MATCH($A237,'Chain Program'!$A$6:$A$120,0)),"Unknown ID"))</f>
        <v/>
      </c>
      <c r="C237" s="45">
        <f>IF($A237="","",IFERROR(INDEX('Chain Program'!$D$6:$D$120,MATCH($A237,'Chain Program'!$A$6:$A$120,0)),"Unknown ID"))</f>
        <v/>
      </c>
      <c r="D237" s="48" t="n"/>
      <c r="E237" s="48" t="n"/>
      <c r="F237" s="48" t="n"/>
      <c r="G237" s="49" t="n"/>
      <c r="H237" s="49" t="n"/>
      <c r="I237" s="41" t="n"/>
      <c r="J237" s="41" t="n"/>
      <c r="K237" s="48" t="n"/>
      <c r="L237" s="45">
        <f>IF(OR($A237="",$I237="",$J237=""),"",IF(TODAY()&lt;$I237,"Upcoming",IF(TODAY()&gt;$J237,"Expired","Active")))</f>
        <v/>
      </c>
      <c r="M237" s="45">
        <f>IF($L237="Active",$J237-TODAY(),"")</f>
        <v/>
      </c>
      <c r="N237" s="48" t="n"/>
      <c r="O237" s="47">
        <f>IF($L237="Active",$A237,"")</f>
        <v/>
      </c>
    </row>
    <row r="238">
      <c r="A238" s="48" t="n"/>
      <c r="B238" s="45">
        <f>IF($A238="","",IFERROR(INDEX('Chain Program'!$B$6:$B$120,MATCH($A238,'Chain Program'!$A$6:$A$120,0)),"Unknown ID"))</f>
        <v/>
      </c>
      <c r="C238" s="45">
        <f>IF($A238="","",IFERROR(INDEX('Chain Program'!$D$6:$D$120,MATCH($A238,'Chain Program'!$A$6:$A$120,0)),"Unknown ID"))</f>
        <v/>
      </c>
      <c r="D238" s="48" t="n"/>
      <c r="E238" s="48" t="n"/>
      <c r="F238" s="48" t="n"/>
      <c r="G238" s="49" t="n"/>
      <c r="H238" s="49" t="n"/>
      <c r="I238" s="41" t="n"/>
      <c r="J238" s="41" t="n"/>
      <c r="K238" s="48" t="n"/>
      <c r="L238" s="45">
        <f>IF(OR($A238="",$I238="",$J238=""),"",IF(TODAY()&lt;$I238,"Upcoming",IF(TODAY()&gt;$J238,"Expired","Active")))</f>
        <v/>
      </c>
      <c r="M238" s="45">
        <f>IF($L238="Active",$J238-TODAY(),"")</f>
        <v/>
      </c>
      <c r="N238" s="48" t="n"/>
      <c r="O238" s="47">
        <f>IF($L238="Active",$A238,"")</f>
        <v/>
      </c>
    </row>
    <row r="239">
      <c r="A239" s="48" t="n"/>
      <c r="B239" s="45">
        <f>IF($A239="","",IFERROR(INDEX('Chain Program'!$B$6:$B$120,MATCH($A239,'Chain Program'!$A$6:$A$120,0)),"Unknown ID"))</f>
        <v/>
      </c>
      <c r="C239" s="45">
        <f>IF($A239="","",IFERROR(INDEX('Chain Program'!$D$6:$D$120,MATCH($A239,'Chain Program'!$A$6:$A$120,0)),"Unknown ID"))</f>
        <v/>
      </c>
      <c r="D239" s="48" t="n"/>
      <c r="E239" s="48" t="n"/>
      <c r="F239" s="48" t="n"/>
      <c r="G239" s="49" t="n"/>
      <c r="H239" s="49" t="n"/>
      <c r="I239" s="41" t="n"/>
      <c r="J239" s="41" t="n"/>
      <c r="K239" s="48" t="n"/>
      <c r="L239" s="45">
        <f>IF(OR($A239="",$I239="",$J239=""),"",IF(TODAY()&lt;$I239,"Upcoming",IF(TODAY()&gt;$J239,"Expired","Active")))</f>
        <v/>
      </c>
      <c r="M239" s="45">
        <f>IF($L239="Active",$J239-TODAY(),"")</f>
        <v/>
      </c>
      <c r="N239" s="48" t="n"/>
      <c r="O239" s="47">
        <f>IF($L239="Active",$A239,"")</f>
        <v/>
      </c>
    </row>
    <row r="240">
      <c r="A240" s="48" t="n"/>
      <c r="B240" s="45">
        <f>IF($A240="","",IFERROR(INDEX('Chain Program'!$B$6:$B$120,MATCH($A240,'Chain Program'!$A$6:$A$120,0)),"Unknown ID"))</f>
        <v/>
      </c>
      <c r="C240" s="45">
        <f>IF($A240="","",IFERROR(INDEX('Chain Program'!$D$6:$D$120,MATCH($A240,'Chain Program'!$A$6:$A$120,0)),"Unknown ID"))</f>
        <v/>
      </c>
      <c r="D240" s="48" t="n"/>
      <c r="E240" s="48" t="n"/>
      <c r="F240" s="48" t="n"/>
      <c r="G240" s="49" t="n"/>
      <c r="H240" s="49" t="n"/>
      <c r="I240" s="41" t="n"/>
      <c r="J240" s="41" t="n"/>
      <c r="K240" s="48" t="n"/>
      <c r="L240" s="45">
        <f>IF(OR($A240="",$I240="",$J240=""),"",IF(TODAY()&lt;$I240,"Upcoming",IF(TODAY()&gt;$J240,"Expired","Active")))</f>
        <v/>
      </c>
      <c r="M240" s="45">
        <f>IF($L240="Active",$J240-TODAY(),"")</f>
        <v/>
      </c>
      <c r="N240" s="48" t="n"/>
      <c r="O240" s="47">
        <f>IF($L240="Active",$A240,"")</f>
        <v/>
      </c>
    </row>
    <row r="241">
      <c r="A241" s="48" t="n"/>
      <c r="B241" s="45">
        <f>IF($A241="","",IFERROR(INDEX('Chain Program'!$B$6:$B$120,MATCH($A241,'Chain Program'!$A$6:$A$120,0)),"Unknown ID"))</f>
        <v/>
      </c>
      <c r="C241" s="45">
        <f>IF($A241="","",IFERROR(INDEX('Chain Program'!$D$6:$D$120,MATCH($A241,'Chain Program'!$A$6:$A$120,0)),"Unknown ID"))</f>
        <v/>
      </c>
      <c r="D241" s="48" t="n"/>
      <c r="E241" s="48" t="n"/>
      <c r="F241" s="48" t="n"/>
      <c r="G241" s="49" t="n"/>
      <c r="H241" s="49" t="n"/>
      <c r="I241" s="41" t="n"/>
      <c r="J241" s="41" t="n"/>
      <c r="K241" s="48" t="n"/>
      <c r="L241" s="45">
        <f>IF(OR($A241="",$I241="",$J241=""),"",IF(TODAY()&lt;$I241,"Upcoming",IF(TODAY()&gt;$J241,"Expired","Active")))</f>
        <v/>
      </c>
      <c r="M241" s="45">
        <f>IF($L241="Active",$J241-TODAY(),"")</f>
        <v/>
      </c>
      <c r="N241" s="48" t="n"/>
      <c r="O241" s="47">
        <f>IF($L241="Active",$A241,"")</f>
        <v/>
      </c>
    </row>
    <row r="242">
      <c r="A242" s="48" t="n"/>
      <c r="B242" s="45">
        <f>IF($A242="","",IFERROR(INDEX('Chain Program'!$B$6:$B$120,MATCH($A242,'Chain Program'!$A$6:$A$120,0)),"Unknown ID"))</f>
        <v/>
      </c>
      <c r="C242" s="45">
        <f>IF($A242="","",IFERROR(INDEX('Chain Program'!$D$6:$D$120,MATCH($A242,'Chain Program'!$A$6:$A$120,0)),"Unknown ID"))</f>
        <v/>
      </c>
      <c r="D242" s="48" t="n"/>
      <c r="E242" s="48" t="n"/>
      <c r="F242" s="48" t="n"/>
      <c r="G242" s="49" t="n"/>
      <c r="H242" s="49" t="n"/>
      <c r="I242" s="41" t="n"/>
      <c r="J242" s="41" t="n"/>
      <c r="K242" s="48" t="n"/>
      <c r="L242" s="45">
        <f>IF(OR($A242="",$I242="",$J242=""),"",IF(TODAY()&lt;$I242,"Upcoming",IF(TODAY()&gt;$J242,"Expired","Active")))</f>
        <v/>
      </c>
      <c r="M242" s="45">
        <f>IF($L242="Active",$J242-TODAY(),"")</f>
        <v/>
      </c>
      <c r="N242" s="48" t="n"/>
      <c r="O242" s="47">
        <f>IF($L242="Active",$A242,"")</f>
        <v/>
      </c>
    </row>
    <row r="243">
      <c r="A243" s="48" t="n"/>
      <c r="B243" s="45">
        <f>IF($A243="","",IFERROR(INDEX('Chain Program'!$B$6:$B$120,MATCH($A243,'Chain Program'!$A$6:$A$120,0)),"Unknown ID"))</f>
        <v/>
      </c>
      <c r="C243" s="45">
        <f>IF($A243="","",IFERROR(INDEX('Chain Program'!$D$6:$D$120,MATCH($A243,'Chain Program'!$A$6:$A$120,0)),"Unknown ID"))</f>
        <v/>
      </c>
      <c r="D243" s="48" t="n"/>
      <c r="E243" s="48" t="n"/>
      <c r="F243" s="48" t="n"/>
      <c r="G243" s="49" t="n"/>
      <c r="H243" s="49" t="n"/>
      <c r="I243" s="41" t="n"/>
      <c r="J243" s="41" t="n"/>
      <c r="K243" s="48" t="n"/>
      <c r="L243" s="45">
        <f>IF(OR($A243="",$I243="",$J243=""),"",IF(TODAY()&lt;$I243,"Upcoming",IF(TODAY()&gt;$J243,"Expired","Active")))</f>
        <v/>
      </c>
      <c r="M243" s="45">
        <f>IF($L243="Active",$J243-TODAY(),"")</f>
        <v/>
      </c>
      <c r="N243" s="48" t="n"/>
      <c r="O243" s="47">
        <f>IF($L243="Active",$A243,"")</f>
        <v/>
      </c>
    </row>
    <row r="244">
      <c r="A244" s="48" t="n"/>
      <c r="B244" s="45">
        <f>IF($A244="","",IFERROR(INDEX('Chain Program'!$B$6:$B$120,MATCH($A244,'Chain Program'!$A$6:$A$120,0)),"Unknown ID"))</f>
        <v/>
      </c>
      <c r="C244" s="45">
        <f>IF($A244="","",IFERROR(INDEX('Chain Program'!$D$6:$D$120,MATCH($A244,'Chain Program'!$A$6:$A$120,0)),"Unknown ID"))</f>
        <v/>
      </c>
      <c r="D244" s="48" t="n"/>
      <c r="E244" s="48" t="n"/>
      <c r="F244" s="48" t="n"/>
      <c r="G244" s="49" t="n"/>
      <c r="H244" s="49" t="n"/>
      <c r="I244" s="41" t="n"/>
      <c r="J244" s="41" t="n"/>
      <c r="K244" s="48" t="n"/>
      <c r="L244" s="45">
        <f>IF(OR($A244="",$I244="",$J244=""),"",IF(TODAY()&lt;$I244,"Upcoming",IF(TODAY()&gt;$J244,"Expired","Active")))</f>
        <v/>
      </c>
      <c r="M244" s="45">
        <f>IF($L244="Active",$J244-TODAY(),"")</f>
        <v/>
      </c>
      <c r="N244" s="48" t="n"/>
      <c r="O244" s="47">
        <f>IF($L244="Active",$A244,"")</f>
        <v/>
      </c>
    </row>
    <row r="245">
      <c r="A245" s="48" t="n"/>
      <c r="B245" s="45">
        <f>IF($A245="","",IFERROR(INDEX('Chain Program'!$B$6:$B$120,MATCH($A245,'Chain Program'!$A$6:$A$120,0)),"Unknown ID"))</f>
        <v/>
      </c>
      <c r="C245" s="45">
        <f>IF($A245="","",IFERROR(INDEX('Chain Program'!$D$6:$D$120,MATCH($A245,'Chain Program'!$A$6:$A$120,0)),"Unknown ID"))</f>
        <v/>
      </c>
      <c r="D245" s="48" t="n"/>
      <c r="E245" s="48" t="n"/>
      <c r="F245" s="48" t="n"/>
      <c r="G245" s="49" t="n"/>
      <c r="H245" s="49" t="n"/>
      <c r="I245" s="41" t="n"/>
      <c r="J245" s="41" t="n"/>
      <c r="K245" s="48" t="n"/>
      <c r="L245" s="45">
        <f>IF(OR($A245="",$I245="",$J245=""),"",IF(TODAY()&lt;$I245,"Upcoming",IF(TODAY()&gt;$J245,"Expired","Active")))</f>
        <v/>
      </c>
      <c r="M245" s="45">
        <f>IF($L245="Active",$J245-TODAY(),"")</f>
        <v/>
      </c>
      <c r="N245" s="48" t="n"/>
      <c r="O245" s="47">
        <f>IF($L245="Active",$A245,"")</f>
        <v/>
      </c>
    </row>
    <row r="246">
      <c r="A246" s="48" t="n"/>
      <c r="B246" s="45">
        <f>IF($A246="","",IFERROR(INDEX('Chain Program'!$B$6:$B$120,MATCH($A246,'Chain Program'!$A$6:$A$120,0)),"Unknown ID"))</f>
        <v/>
      </c>
      <c r="C246" s="45">
        <f>IF($A246="","",IFERROR(INDEX('Chain Program'!$D$6:$D$120,MATCH($A246,'Chain Program'!$A$6:$A$120,0)),"Unknown ID"))</f>
        <v/>
      </c>
      <c r="D246" s="48" t="n"/>
      <c r="E246" s="48" t="n"/>
      <c r="F246" s="48" t="n"/>
      <c r="G246" s="49" t="n"/>
      <c r="H246" s="49" t="n"/>
      <c r="I246" s="41" t="n"/>
      <c r="J246" s="41" t="n"/>
      <c r="K246" s="48" t="n"/>
      <c r="L246" s="45">
        <f>IF(OR($A246="",$I246="",$J246=""),"",IF(TODAY()&lt;$I246,"Upcoming",IF(TODAY()&gt;$J246,"Expired","Active")))</f>
        <v/>
      </c>
      <c r="M246" s="45">
        <f>IF($L246="Active",$J246-TODAY(),"")</f>
        <v/>
      </c>
      <c r="N246" s="48" t="n"/>
      <c r="O246" s="47">
        <f>IF($L246="Active",$A246,"")</f>
        <v/>
      </c>
    </row>
    <row r="247">
      <c r="A247" s="48" t="n"/>
      <c r="B247" s="45">
        <f>IF($A247="","",IFERROR(INDEX('Chain Program'!$B$6:$B$120,MATCH($A247,'Chain Program'!$A$6:$A$120,0)),"Unknown ID"))</f>
        <v/>
      </c>
      <c r="C247" s="45">
        <f>IF($A247="","",IFERROR(INDEX('Chain Program'!$D$6:$D$120,MATCH($A247,'Chain Program'!$A$6:$A$120,0)),"Unknown ID"))</f>
        <v/>
      </c>
      <c r="D247" s="48" t="n"/>
      <c r="E247" s="48" t="n"/>
      <c r="F247" s="48" t="n"/>
      <c r="G247" s="49" t="n"/>
      <c r="H247" s="49" t="n"/>
      <c r="I247" s="41" t="n"/>
      <c r="J247" s="41" t="n"/>
      <c r="K247" s="48" t="n"/>
      <c r="L247" s="45">
        <f>IF(OR($A247="",$I247="",$J247=""),"",IF(TODAY()&lt;$I247,"Upcoming",IF(TODAY()&gt;$J247,"Expired","Active")))</f>
        <v/>
      </c>
      <c r="M247" s="45">
        <f>IF($L247="Active",$J247-TODAY(),"")</f>
        <v/>
      </c>
      <c r="N247" s="48" t="n"/>
      <c r="O247" s="47">
        <f>IF($L247="Active",$A247,"")</f>
        <v/>
      </c>
    </row>
    <row r="248">
      <c r="A248" s="48" t="n"/>
      <c r="B248" s="45">
        <f>IF($A248="","",IFERROR(INDEX('Chain Program'!$B$6:$B$120,MATCH($A248,'Chain Program'!$A$6:$A$120,0)),"Unknown ID"))</f>
        <v/>
      </c>
      <c r="C248" s="45">
        <f>IF($A248="","",IFERROR(INDEX('Chain Program'!$D$6:$D$120,MATCH($A248,'Chain Program'!$A$6:$A$120,0)),"Unknown ID"))</f>
        <v/>
      </c>
      <c r="D248" s="48" t="n"/>
      <c r="E248" s="48" t="n"/>
      <c r="F248" s="48" t="n"/>
      <c r="G248" s="49" t="n"/>
      <c r="H248" s="49" t="n"/>
      <c r="I248" s="41" t="n"/>
      <c r="J248" s="41" t="n"/>
      <c r="K248" s="48" t="n"/>
      <c r="L248" s="45">
        <f>IF(OR($A248="",$I248="",$J248=""),"",IF(TODAY()&lt;$I248,"Upcoming",IF(TODAY()&gt;$J248,"Expired","Active")))</f>
        <v/>
      </c>
      <c r="M248" s="45">
        <f>IF($L248="Active",$J248-TODAY(),"")</f>
        <v/>
      </c>
      <c r="N248" s="48" t="n"/>
      <c r="O248" s="47">
        <f>IF($L248="Active",$A248,"")</f>
        <v/>
      </c>
    </row>
    <row r="249">
      <c r="A249" s="48" t="n"/>
      <c r="B249" s="45">
        <f>IF($A249="","",IFERROR(INDEX('Chain Program'!$B$6:$B$120,MATCH($A249,'Chain Program'!$A$6:$A$120,0)),"Unknown ID"))</f>
        <v/>
      </c>
      <c r="C249" s="45">
        <f>IF($A249="","",IFERROR(INDEX('Chain Program'!$D$6:$D$120,MATCH($A249,'Chain Program'!$A$6:$A$120,0)),"Unknown ID"))</f>
        <v/>
      </c>
      <c r="D249" s="48" t="n"/>
      <c r="E249" s="48" t="n"/>
      <c r="F249" s="48" t="n"/>
      <c r="G249" s="49" t="n"/>
      <c r="H249" s="49" t="n"/>
      <c r="I249" s="41" t="n"/>
      <c r="J249" s="41" t="n"/>
      <c r="K249" s="48" t="n"/>
      <c r="L249" s="45">
        <f>IF(OR($A249="",$I249="",$J249=""),"",IF(TODAY()&lt;$I249,"Upcoming",IF(TODAY()&gt;$J249,"Expired","Active")))</f>
        <v/>
      </c>
      <c r="M249" s="45">
        <f>IF($L249="Active",$J249-TODAY(),"")</f>
        <v/>
      </c>
      <c r="N249" s="48" t="n"/>
      <c r="O249" s="47">
        <f>IF($L249="Active",$A249,"")</f>
        <v/>
      </c>
    </row>
    <row r="250">
      <c r="A250" s="48" t="n"/>
      <c r="B250" s="45">
        <f>IF($A250="","",IFERROR(INDEX('Chain Program'!$B$6:$B$120,MATCH($A250,'Chain Program'!$A$6:$A$120,0)),"Unknown ID"))</f>
        <v/>
      </c>
      <c r="C250" s="45">
        <f>IF($A250="","",IFERROR(INDEX('Chain Program'!$D$6:$D$120,MATCH($A250,'Chain Program'!$A$6:$A$120,0)),"Unknown ID"))</f>
        <v/>
      </c>
      <c r="D250" s="48" t="n"/>
      <c r="E250" s="48" t="n"/>
      <c r="F250" s="48" t="n"/>
      <c r="G250" s="49" t="n"/>
      <c r="H250" s="49" t="n"/>
      <c r="I250" s="41" t="n"/>
      <c r="J250" s="41" t="n"/>
      <c r="K250" s="48" t="n"/>
      <c r="L250" s="45">
        <f>IF(OR($A250="",$I250="",$J250=""),"",IF(TODAY()&lt;$I250,"Upcoming",IF(TODAY()&gt;$J250,"Expired","Active")))</f>
        <v/>
      </c>
      <c r="M250" s="45">
        <f>IF($L250="Active",$J250-TODAY(),"")</f>
        <v/>
      </c>
      <c r="N250" s="48" t="n"/>
      <c r="O250" s="47">
        <f>IF($L250="Active",$A250,"")</f>
        <v/>
      </c>
    </row>
    <row r="251">
      <c r="A251" s="48" t="n"/>
      <c r="B251" s="45">
        <f>IF($A251="","",IFERROR(INDEX('Chain Program'!$B$6:$B$120,MATCH($A251,'Chain Program'!$A$6:$A$120,0)),"Unknown ID"))</f>
        <v/>
      </c>
      <c r="C251" s="45">
        <f>IF($A251="","",IFERROR(INDEX('Chain Program'!$D$6:$D$120,MATCH($A251,'Chain Program'!$A$6:$A$120,0)),"Unknown ID"))</f>
        <v/>
      </c>
      <c r="D251" s="48" t="n"/>
      <c r="E251" s="48" t="n"/>
      <c r="F251" s="48" t="n"/>
      <c r="G251" s="49" t="n"/>
      <c r="H251" s="49" t="n"/>
      <c r="I251" s="41" t="n"/>
      <c r="J251" s="41" t="n"/>
      <c r="K251" s="48" t="n"/>
      <c r="L251" s="45">
        <f>IF(OR($A251="",$I251="",$J251=""),"",IF(TODAY()&lt;$I251,"Upcoming",IF(TODAY()&gt;$J251,"Expired","Active")))</f>
        <v/>
      </c>
      <c r="M251" s="45">
        <f>IF($L251="Active",$J251-TODAY(),"")</f>
        <v/>
      </c>
      <c r="N251" s="48" t="n"/>
      <c r="O251" s="47">
        <f>IF($L251="Active",$A251,"")</f>
        <v/>
      </c>
    </row>
    <row r="252">
      <c r="A252" s="48" t="n"/>
      <c r="B252" s="45">
        <f>IF($A252="","",IFERROR(INDEX('Chain Program'!$B$6:$B$120,MATCH($A252,'Chain Program'!$A$6:$A$120,0)),"Unknown ID"))</f>
        <v/>
      </c>
      <c r="C252" s="45">
        <f>IF($A252="","",IFERROR(INDEX('Chain Program'!$D$6:$D$120,MATCH($A252,'Chain Program'!$A$6:$A$120,0)),"Unknown ID"))</f>
        <v/>
      </c>
      <c r="D252" s="48" t="n"/>
      <c r="E252" s="48" t="n"/>
      <c r="F252" s="48" t="n"/>
      <c r="G252" s="49" t="n"/>
      <c r="H252" s="49" t="n"/>
      <c r="I252" s="41" t="n"/>
      <c r="J252" s="41" t="n"/>
      <c r="K252" s="48" t="n"/>
      <c r="L252" s="45">
        <f>IF(OR($A252="",$I252="",$J252=""),"",IF(TODAY()&lt;$I252,"Upcoming",IF(TODAY()&gt;$J252,"Expired","Active")))</f>
        <v/>
      </c>
      <c r="M252" s="45">
        <f>IF($L252="Active",$J252-TODAY(),"")</f>
        <v/>
      </c>
      <c r="N252" s="48" t="n"/>
      <c r="O252" s="47">
        <f>IF($L252="Active",$A252,"")</f>
        <v/>
      </c>
    </row>
    <row r="253">
      <c r="A253" s="48" t="n"/>
      <c r="B253" s="45">
        <f>IF($A253="","",IFERROR(INDEX('Chain Program'!$B$6:$B$120,MATCH($A253,'Chain Program'!$A$6:$A$120,0)),"Unknown ID"))</f>
        <v/>
      </c>
      <c r="C253" s="45">
        <f>IF($A253="","",IFERROR(INDEX('Chain Program'!$D$6:$D$120,MATCH($A253,'Chain Program'!$A$6:$A$120,0)),"Unknown ID"))</f>
        <v/>
      </c>
      <c r="D253" s="48" t="n"/>
      <c r="E253" s="48" t="n"/>
      <c r="F253" s="48" t="n"/>
      <c r="G253" s="49" t="n"/>
      <c r="H253" s="49" t="n"/>
      <c r="I253" s="41" t="n"/>
      <c r="J253" s="41" t="n"/>
      <c r="K253" s="48" t="n"/>
      <c r="L253" s="45">
        <f>IF(OR($A253="",$I253="",$J253=""),"",IF(TODAY()&lt;$I253,"Upcoming",IF(TODAY()&gt;$J253,"Expired","Active")))</f>
        <v/>
      </c>
      <c r="M253" s="45">
        <f>IF($L253="Active",$J253-TODAY(),"")</f>
        <v/>
      </c>
      <c r="N253" s="48" t="n"/>
      <c r="O253" s="47">
        <f>IF($L253="Active",$A253,"")</f>
        <v/>
      </c>
    </row>
    <row r="254">
      <c r="A254" s="48" t="n"/>
      <c r="B254" s="45">
        <f>IF($A254="","",IFERROR(INDEX('Chain Program'!$B$6:$B$120,MATCH($A254,'Chain Program'!$A$6:$A$120,0)),"Unknown ID"))</f>
        <v/>
      </c>
      <c r="C254" s="45">
        <f>IF($A254="","",IFERROR(INDEX('Chain Program'!$D$6:$D$120,MATCH($A254,'Chain Program'!$A$6:$A$120,0)),"Unknown ID"))</f>
        <v/>
      </c>
      <c r="D254" s="48" t="n"/>
      <c r="E254" s="48" t="n"/>
      <c r="F254" s="48" t="n"/>
      <c r="G254" s="49" t="n"/>
      <c r="H254" s="49" t="n"/>
      <c r="I254" s="41" t="n"/>
      <c r="J254" s="41" t="n"/>
      <c r="K254" s="48" t="n"/>
      <c r="L254" s="45">
        <f>IF(OR($A254="",$I254="",$J254=""),"",IF(TODAY()&lt;$I254,"Upcoming",IF(TODAY()&gt;$J254,"Expired","Active")))</f>
        <v/>
      </c>
      <c r="M254" s="45">
        <f>IF($L254="Active",$J254-TODAY(),"")</f>
        <v/>
      </c>
      <c r="N254" s="48" t="n"/>
      <c r="O254" s="47">
        <f>IF($L254="Active",$A254,"")</f>
        <v/>
      </c>
    </row>
    <row r="255">
      <c r="A255" s="48" t="n"/>
      <c r="B255" s="45">
        <f>IF($A255="","",IFERROR(INDEX('Chain Program'!$B$6:$B$120,MATCH($A255,'Chain Program'!$A$6:$A$120,0)),"Unknown ID"))</f>
        <v/>
      </c>
      <c r="C255" s="45">
        <f>IF($A255="","",IFERROR(INDEX('Chain Program'!$D$6:$D$120,MATCH($A255,'Chain Program'!$A$6:$A$120,0)),"Unknown ID"))</f>
        <v/>
      </c>
      <c r="D255" s="48" t="n"/>
      <c r="E255" s="48" t="n"/>
      <c r="F255" s="48" t="n"/>
      <c r="G255" s="49" t="n"/>
      <c r="H255" s="49" t="n"/>
      <c r="I255" s="41" t="n"/>
      <c r="J255" s="41" t="n"/>
      <c r="K255" s="48" t="n"/>
      <c r="L255" s="45">
        <f>IF(OR($A255="",$I255="",$J255=""),"",IF(TODAY()&lt;$I255,"Upcoming",IF(TODAY()&gt;$J255,"Expired","Active")))</f>
        <v/>
      </c>
      <c r="M255" s="45">
        <f>IF($L255="Active",$J255-TODAY(),"")</f>
        <v/>
      </c>
      <c r="N255" s="48" t="n"/>
      <c r="O255" s="47">
        <f>IF($L255="Active",$A255,"")</f>
        <v/>
      </c>
    </row>
    <row r="256">
      <c r="A256" s="48" t="n"/>
      <c r="B256" s="45">
        <f>IF($A256="","",IFERROR(INDEX('Chain Program'!$B$6:$B$120,MATCH($A256,'Chain Program'!$A$6:$A$120,0)),"Unknown ID"))</f>
        <v/>
      </c>
      <c r="C256" s="45">
        <f>IF($A256="","",IFERROR(INDEX('Chain Program'!$D$6:$D$120,MATCH($A256,'Chain Program'!$A$6:$A$120,0)),"Unknown ID"))</f>
        <v/>
      </c>
      <c r="D256" s="48" t="n"/>
      <c r="E256" s="48" t="n"/>
      <c r="F256" s="48" t="n"/>
      <c r="G256" s="49" t="n"/>
      <c r="H256" s="49" t="n"/>
      <c r="I256" s="41" t="n"/>
      <c r="J256" s="41" t="n"/>
      <c r="K256" s="48" t="n"/>
      <c r="L256" s="45">
        <f>IF(OR($A256="",$I256="",$J256=""),"",IF(TODAY()&lt;$I256,"Upcoming",IF(TODAY()&gt;$J256,"Expired","Active")))</f>
        <v/>
      </c>
      <c r="M256" s="45">
        <f>IF($L256="Active",$J256-TODAY(),"")</f>
        <v/>
      </c>
      <c r="N256" s="48" t="n"/>
      <c r="O256" s="47">
        <f>IF($L256="Active",$A256,"")</f>
        <v/>
      </c>
    </row>
    <row r="257">
      <c r="A257" s="48" t="n"/>
      <c r="B257" s="45">
        <f>IF($A257="","",IFERROR(INDEX('Chain Program'!$B$6:$B$120,MATCH($A257,'Chain Program'!$A$6:$A$120,0)),"Unknown ID"))</f>
        <v/>
      </c>
      <c r="C257" s="45">
        <f>IF($A257="","",IFERROR(INDEX('Chain Program'!$D$6:$D$120,MATCH($A257,'Chain Program'!$A$6:$A$120,0)),"Unknown ID"))</f>
        <v/>
      </c>
      <c r="D257" s="48" t="n"/>
      <c r="E257" s="48" t="n"/>
      <c r="F257" s="48" t="n"/>
      <c r="G257" s="49" t="n"/>
      <c r="H257" s="49" t="n"/>
      <c r="I257" s="41" t="n"/>
      <c r="J257" s="41" t="n"/>
      <c r="K257" s="48" t="n"/>
      <c r="L257" s="45">
        <f>IF(OR($A257="",$I257="",$J257=""),"",IF(TODAY()&lt;$I257,"Upcoming",IF(TODAY()&gt;$J257,"Expired","Active")))</f>
        <v/>
      </c>
      <c r="M257" s="45">
        <f>IF($L257="Active",$J257-TODAY(),"")</f>
        <v/>
      </c>
      <c r="N257" s="48" t="n"/>
      <c r="O257" s="47">
        <f>IF($L257="Active",$A257,"")</f>
        <v/>
      </c>
    </row>
    <row r="258">
      <c r="A258" s="48" t="n"/>
      <c r="B258" s="45">
        <f>IF($A258="","",IFERROR(INDEX('Chain Program'!$B$6:$B$120,MATCH($A258,'Chain Program'!$A$6:$A$120,0)),"Unknown ID"))</f>
        <v/>
      </c>
      <c r="C258" s="45">
        <f>IF($A258="","",IFERROR(INDEX('Chain Program'!$D$6:$D$120,MATCH($A258,'Chain Program'!$A$6:$A$120,0)),"Unknown ID"))</f>
        <v/>
      </c>
      <c r="D258" s="48" t="n"/>
      <c r="E258" s="48" t="n"/>
      <c r="F258" s="48" t="n"/>
      <c r="G258" s="49" t="n"/>
      <c r="H258" s="49" t="n"/>
      <c r="I258" s="41" t="n"/>
      <c r="J258" s="41" t="n"/>
      <c r="K258" s="48" t="n"/>
      <c r="L258" s="45">
        <f>IF(OR($A258="",$I258="",$J258=""),"",IF(TODAY()&lt;$I258,"Upcoming",IF(TODAY()&gt;$J258,"Expired","Active")))</f>
        <v/>
      </c>
      <c r="M258" s="45">
        <f>IF($L258="Active",$J258-TODAY(),"")</f>
        <v/>
      </c>
      <c r="N258" s="48" t="n"/>
      <c r="O258" s="47">
        <f>IF($L258="Active",$A258,"")</f>
        <v/>
      </c>
    </row>
    <row r="259">
      <c r="A259" s="48" t="n"/>
      <c r="B259" s="45">
        <f>IF($A259="","",IFERROR(INDEX('Chain Program'!$B$6:$B$120,MATCH($A259,'Chain Program'!$A$6:$A$120,0)),"Unknown ID"))</f>
        <v/>
      </c>
      <c r="C259" s="45">
        <f>IF($A259="","",IFERROR(INDEX('Chain Program'!$D$6:$D$120,MATCH($A259,'Chain Program'!$A$6:$A$120,0)),"Unknown ID"))</f>
        <v/>
      </c>
      <c r="D259" s="48" t="n"/>
      <c r="E259" s="48" t="n"/>
      <c r="F259" s="48" t="n"/>
      <c r="G259" s="49" t="n"/>
      <c r="H259" s="49" t="n"/>
      <c r="I259" s="41" t="n"/>
      <c r="J259" s="41" t="n"/>
      <c r="K259" s="48" t="n"/>
      <c r="L259" s="45">
        <f>IF(OR($A259="",$I259="",$J259=""),"",IF(TODAY()&lt;$I259,"Upcoming",IF(TODAY()&gt;$J259,"Expired","Active")))</f>
        <v/>
      </c>
      <c r="M259" s="45">
        <f>IF($L259="Active",$J259-TODAY(),"")</f>
        <v/>
      </c>
      <c r="N259" s="48" t="n"/>
      <c r="O259" s="47">
        <f>IF($L259="Active",$A259,"")</f>
        <v/>
      </c>
    </row>
    <row r="260">
      <c r="A260" s="48" t="n"/>
      <c r="B260" s="45">
        <f>IF($A260="","",IFERROR(INDEX('Chain Program'!$B$6:$B$120,MATCH($A260,'Chain Program'!$A$6:$A$120,0)),"Unknown ID"))</f>
        <v/>
      </c>
      <c r="C260" s="45">
        <f>IF($A260="","",IFERROR(INDEX('Chain Program'!$D$6:$D$120,MATCH($A260,'Chain Program'!$A$6:$A$120,0)),"Unknown ID"))</f>
        <v/>
      </c>
      <c r="D260" s="48" t="n"/>
      <c r="E260" s="48" t="n"/>
      <c r="F260" s="48" t="n"/>
      <c r="G260" s="49" t="n"/>
      <c r="H260" s="49" t="n"/>
      <c r="I260" s="41" t="n"/>
      <c r="J260" s="41" t="n"/>
      <c r="K260" s="48" t="n"/>
      <c r="L260" s="45">
        <f>IF(OR($A260="",$I260="",$J260=""),"",IF(TODAY()&lt;$I260,"Upcoming",IF(TODAY()&gt;$J260,"Expired","Active")))</f>
        <v/>
      </c>
      <c r="M260" s="45">
        <f>IF($L260="Active",$J260-TODAY(),"")</f>
        <v/>
      </c>
      <c r="N260" s="48" t="n"/>
      <c r="O260" s="47">
        <f>IF($L260="Active",$A260,"")</f>
        <v/>
      </c>
    </row>
    <row r="261">
      <c r="A261" s="48" t="n"/>
      <c r="B261" s="45">
        <f>IF($A261="","",IFERROR(INDEX('Chain Program'!$B$6:$B$120,MATCH($A261,'Chain Program'!$A$6:$A$120,0)),"Unknown ID"))</f>
        <v/>
      </c>
      <c r="C261" s="45">
        <f>IF($A261="","",IFERROR(INDEX('Chain Program'!$D$6:$D$120,MATCH($A261,'Chain Program'!$A$6:$A$120,0)),"Unknown ID"))</f>
        <v/>
      </c>
      <c r="D261" s="48" t="n"/>
      <c r="E261" s="48" t="n"/>
      <c r="F261" s="48" t="n"/>
      <c r="G261" s="49" t="n"/>
      <c r="H261" s="49" t="n"/>
      <c r="I261" s="41" t="n"/>
      <c r="J261" s="41" t="n"/>
      <c r="K261" s="48" t="n"/>
      <c r="L261" s="45">
        <f>IF(OR($A261="",$I261="",$J261=""),"",IF(TODAY()&lt;$I261,"Upcoming",IF(TODAY()&gt;$J261,"Expired","Active")))</f>
        <v/>
      </c>
      <c r="M261" s="45">
        <f>IF($L261="Active",$J261-TODAY(),"")</f>
        <v/>
      </c>
      <c r="N261" s="48" t="n"/>
      <c r="O261" s="47">
        <f>IF($L261="Active",$A261,"")</f>
        <v/>
      </c>
    </row>
    <row r="262">
      <c r="A262" s="48" t="n"/>
      <c r="B262" s="45">
        <f>IF($A262="","",IFERROR(INDEX('Chain Program'!$B$6:$B$120,MATCH($A262,'Chain Program'!$A$6:$A$120,0)),"Unknown ID"))</f>
        <v/>
      </c>
      <c r="C262" s="45">
        <f>IF($A262="","",IFERROR(INDEX('Chain Program'!$D$6:$D$120,MATCH($A262,'Chain Program'!$A$6:$A$120,0)),"Unknown ID"))</f>
        <v/>
      </c>
      <c r="D262" s="48" t="n"/>
      <c r="E262" s="48" t="n"/>
      <c r="F262" s="48" t="n"/>
      <c r="G262" s="49" t="n"/>
      <c r="H262" s="49" t="n"/>
      <c r="I262" s="41" t="n"/>
      <c r="J262" s="41" t="n"/>
      <c r="K262" s="48" t="n"/>
      <c r="L262" s="45">
        <f>IF(OR($A262="",$I262="",$J262=""),"",IF(TODAY()&lt;$I262,"Upcoming",IF(TODAY()&gt;$J262,"Expired","Active")))</f>
        <v/>
      </c>
      <c r="M262" s="45">
        <f>IF($L262="Active",$J262-TODAY(),"")</f>
        <v/>
      </c>
      <c r="N262" s="48" t="n"/>
      <c r="O262" s="47">
        <f>IF($L262="Active",$A262,"")</f>
        <v/>
      </c>
    </row>
    <row r="263">
      <c r="A263" s="48" t="n"/>
      <c r="B263" s="45">
        <f>IF($A263="","",IFERROR(INDEX('Chain Program'!$B$6:$B$120,MATCH($A263,'Chain Program'!$A$6:$A$120,0)),"Unknown ID"))</f>
        <v/>
      </c>
      <c r="C263" s="45">
        <f>IF($A263="","",IFERROR(INDEX('Chain Program'!$D$6:$D$120,MATCH($A263,'Chain Program'!$A$6:$A$120,0)),"Unknown ID"))</f>
        <v/>
      </c>
      <c r="D263" s="48" t="n"/>
      <c r="E263" s="48" t="n"/>
      <c r="F263" s="48" t="n"/>
      <c r="G263" s="49" t="n"/>
      <c r="H263" s="49" t="n"/>
      <c r="I263" s="41" t="n"/>
      <c r="J263" s="41" t="n"/>
      <c r="K263" s="48" t="n"/>
      <c r="L263" s="45">
        <f>IF(OR($A263="",$I263="",$J263=""),"",IF(TODAY()&lt;$I263,"Upcoming",IF(TODAY()&gt;$J263,"Expired","Active")))</f>
        <v/>
      </c>
      <c r="M263" s="45">
        <f>IF($L263="Active",$J263-TODAY(),"")</f>
        <v/>
      </c>
      <c r="N263" s="48" t="n"/>
      <c r="O263" s="47">
        <f>IF($L263="Active",$A263,"")</f>
        <v/>
      </c>
    </row>
    <row r="264">
      <c r="A264" s="48" t="n"/>
      <c r="B264" s="45">
        <f>IF($A264="","",IFERROR(INDEX('Chain Program'!$B$6:$B$120,MATCH($A264,'Chain Program'!$A$6:$A$120,0)),"Unknown ID"))</f>
        <v/>
      </c>
      <c r="C264" s="45">
        <f>IF($A264="","",IFERROR(INDEX('Chain Program'!$D$6:$D$120,MATCH($A264,'Chain Program'!$A$6:$A$120,0)),"Unknown ID"))</f>
        <v/>
      </c>
      <c r="D264" s="48" t="n"/>
      <c r="E264" s="48" t="n"/>
      <c r="F264" s="48" t="n"/>
      <c r="G264" s="49" t="n"/>
      <c r="H264" s="49" t="n"/>
      <c r="I264" s="41" t="n"/>
      <c r="J264" s="41" t="n"/>
      <c r="K264" s="48" t="n"/>
      <c r="L264" s="45">
        <f>IF(OR($A264="",$I264="",$J264=""),"",IF(TODAY()&lt;$I264,"Upcoming",IF(TODAY()&gt;$J264,"Expired","Active")))</f>
        <v/>
      </c>
      <c r="M264" s="45">
        <f>IF($L264="Active",$J264-TODAY(),"")</f>
        <v/>
      </c>
      <c r="N264" s="48" t="n"/>
      <c r="O264" s="47">
        <f>IF($L264="Active",$A264,"")</f>
        <v/>
      </c>
    </row>
    <row r="265">
      <c r="A265" s="48" t="n"/>
      <c r="B265" s="45">
        <f>IF($A265="","",IFERROR(INDEX('Chain Program'!$B$6:$B$120,MATCH($A265,'Chain Program'!$A$6:$A$120,0)),"Unknown ID"))</f>
        <v/>
      </c>
      <c r="C265" s="45">
        <f>IF($A265="","",IFERROR(INDEX('Chain Program'!$D$6:$D$120,MATCH($A265,'Chain Program'!$A$6:$A$120,0)),"Unknown ID"))</f>
        <v/>
      </c>
      <c r="D265" s="48" t="n"/>
      <c r="E265" s="48" t="n"/>
      <c r="F265" s="48" t="n"/>
      <c r="G265" s="49" t="n"/>
      <c r="H265" s="49" t="n"/>
      <c r="I265" s="41" t="n"/>
      <c r="J265" s="41" t="n"/>
      <c r="K265" s="48" t="n"/>
      <c r="L265" s="45">
        <f>IF(OR($A265="",$I265="",$J265=""),"",IF(TODAY()&lt;$I265,"Upcoming",IF(TODAY()&gt;$J265,"Expired","Active")))</f>
        <v/>
      </c>
      <c r="M265" s="45">
        <f>IF($L265="Active",$J265-TODAY(),"")</f>
        <v/>
      </c>
      <c r="N265" s="48" t="n"/>
      <c r="O265" s="47">
        <f>IF($L265="Active",$A265,"")</f>
        <v/>
      </c>
    </row>
    <row r="266">
      <c r="A266" s="48" t="n"/>
      <c r="B266" s="45">
        <f>IF($A266="","",IFERROR(INDEX('Chain Program'!$B$6:$B$120,MATCH($A266,'Chain Program'!$A$6:$A$120,0)),"Unknown ID"))</f>
        <v/>
      </c>
      <c r="C266" s="45">
        <f>IF($A266="","",IFERROR(INDEX('Chain Program'!$D$6:$D$120,MATCH($A266,'Chain Program'!$A$6:$A$120,0)),"Unknown ID"))</f>
        <v/>
      </c>
      <c r="D266" s="48" t="n"/>
      <c r="E266" s="48" t="n"/>
      <c r="F266" s="48" t="n"/>
      <c r="G266" s="49" t="n"/>
      <c r="H266" s="49" t="n"/>
      <c r="I266" s="41" t="n"/>
      <c r="J266" s="41" t="n"/>
      <c r="K266" s="48" t="n"/>
      <c r="L266" s="45">
        <f>IF(OR($A266="",$I266="",$J266=""),"",IF(TODAY()&lt;$I266,"Upcoming",IF(TODAY()&gt;$J266,"Expired","Active")))</f>
        <v/>
      </c>
      <c r="M266" s="45">
        <f>IF($L266="Active",$J266-TODAY(),"")</f>
        <v/>
      </c>
      <c r="N266" s="48" t="n"/>
      <c r="O266" s="47">
        <f>IF($L266="Active",$A266,"")</f>
        <v/>
      </c>
    </row>
    <row r="267">
      <c r="A267" s="48" t="n"/>
      <c r="B267" s="45">
        <f>IF($A267="","",IFERROR(INDEX('Chain Program'!$B$6:$B$120,MATCH($A267,'Chain Program'!$A$6:$A$120,0)),"Unknown ID"))</f>
        <v/>
      </c>
      <c r="C267" s="45">
        <f>IF($A267="","",IFERROR(INDEX('Chain Program'!$D$6:$D$120,MATCH($A267,'Chain Program'!$A$6:$A$120,0)),"Unknown ID"))</f>
        <v/>
      </c>
      <c r="D267" s="48" t="n"/>
      <c r="E267" s="48" t="n"/>
      <c r="F267" s="48" t="n"/>
      <c r="G267" s="49" t="n"/>
      <c r="H267" s="49" t="n"/>
      <c r="I267" s="41" t="n"/>
      <c r="J267" s="41" t="n"/>
      <c r="K267" s="48" t="n"/>
      <c r="L267" s="45">
        <f>IF(OR($A267="",$I267="",$J267=""),"",IF(TODAY()&lt;$I267,"Upcoming",IF(TODAY()&gt;$J267,"Expired","Active")))</f>
        <v/>
      </c>
      <c r="M267" s="45">
        <f>IF($L267="Active",$J267-TODAY(),"")</f>
        <v/>
      </c>
      <c r="N267" s="48" t="n"/>
      <c r="O267" s="47">
        <f>IF($L267="Active",$A267,"")</f>
        <v/>
      </c>
    </row>
    <row r="268">
      <c r="A268" s="48" t="n"/>
      <c r="B268" s="45">
        <f>IF($A268="","",IFERROR(INDEX('Chain Program'!$B$6:$B$120,MATCH($A268,'Chain Program'!$A$6:$A$120,0)),"Unknown ID"))</f>
        <v/>
      </c>
      <c r="C268" s="45">
        <f>IF($A268="","",IFERROR(INDEX('Chain Program'!$D$6:$D$120,MATCH($A268,'Chain Program'!$A$6:$A$120,0)),"Unknown ID"))</f>
        <v/>
      </c>
      <c r="D268" s="48" t="n"/>
      <c r="E268" s="48" t="n"/>
      <c r="F268" s="48" t="n"/>
      <c r="G268" s="49" t="n"/>
      <c r="H268" s="49" t="n"/>
      <c r="I268" s="41" t="n"/>
      <c r="J268" s="41" t="n"/>
      <c r="K268" s="48" t="n"/>
      <c r="L268" s="45">
        <f>IF(OR($A268="",$I268="",$J268=""),"",IF(TODAY()&lt;$I268,"Upcoming",IF(TODAY()&gt;$J268,"Expired","Active")))</f>
        <v/>
      </c>
      <c r="M268" s="45">
        <f>IF($L268="Active",$J268-TODAY(),"")</f>
        <v/>
      </c>
      <c r="N268" s="48" t="n"/>
      <c r="O268" s="47">
        <f>IF($L268="Active",$A268,"")</f>
        <v/>
      </c>
    </row>
    <row r="269">
      <c r="A269" s="48" t="n"/>
      <c r="B269" s="45">
        <f>IF($A269="","",IFERROR(INDEX('Chain Program'!$B$6:$B$120,MATCH($A269,'Chain Program'!$A$6:$A$120,0)),"Unknown ID"))</f>
        <v/>
      </c>
      <c r="C269" s="45">
        <f>IF($A269="","",IFERROR(INDEX('Chain Program'!$D$6:$D$120,MATCH($A269,'Chain Program'!$A$6:$A$120,0)),"Unknown ID"))</f>
        <v/>
      </c>
      <c r="D269" s="48" t="n"/>
      <c r="E269" s="48" t="n"/>
      <c r="F269" s="48" t="n"/>
      <c r="G269" s="49" t="n"/>
      <c r="H269" s="49" t="n"/>
      <c r="I269" s="41" t="n"/>
      <c r="J269" s="41" t="n"/>
      <c r="K269" s="48" t="n"/>
      <c r="L269" s="45">
        <f>IF(OR($A269="",$I269="",$J269=""),"",IF(TODAY()&lt;$I269,"Upcoming",IF(TODAY()&gt;$J269,"Expired","Active")))</f>
        <v/>
      </c>
      <c r="M269" s="45">
        <f>IF($L269="Active",$J269-TODAY(),"")</f>
        <v/>
      </c>
      <c r="N269" s="48" t="n"/>
      <c r="O269" s="47">
        <f>IF($L269="Active",$A269,"")</f>
        <v/>
      </c>
    </row>
    <row r="270">
      <c r="A270" s="48" t="n"/>
      <c r="B270" s="45">
        <f>IF($A270="","",IFERROR(INDEX('Chain Program'!$B$6:$B$120,MATCH($A270,'Chain Program'!$A$6:$A$120,0)),"Unknown ID"))</f>
        <v/>
      </c>
      <c r="C270" s="45">
        <f>IF($A270="","",IFERROR(INDEX('Chain Program'!$D$6:$D$120,MATCH($A270,'Chain Program'!$A$6:$A$120,0)),"Unknown ID"))</f>
        <v/>
      </c>
      <c r="D270" s="48" t="n"/>
      <c r="E270" s="48" t="n"/>
      <c r="F270" s="48" t="n"/>
      <c r="G270" s="49" t="n"/>
      <c r="H270" s="49" t="n"/>
      <c r="I270" s="41" t="n"/>
      <c r="J270" s="41" t="n"/>
      <c r="K270" s="48" t="n"/>
      <c r="L270" s="45">
        <f>IF(OR($A270="",$I270="",$J270=""),"",IF(TODAY()&lt;$I270,"Upcoming",IF(TODAY()&gt;$J270,"Expired","Active")))</f>
        <v/>
      </c>
      <c r="M270" s="45">
        <f>IF($L270="Active",$J270-TODAY(),"")</f>
        <v/>
      </c>
      <c r="N270" s="48" t="n"/>
      <c r="O270" s="47">
        <f>IF($L270="Active",$A270,"")</f>
        <v/>
      </c>
    </row>
    <row r="271">
      <c r="A271" s="48" t="n"/>
      <c r="B271" s="45">
        <f>IF($A271="","",IFERROR(INDEX('Chain Program'!$B$6:$B$120,MATCH($A271,'Chain Program'!$A$6:$A$120,0)),"Unknown ID"))</f>
        <v/>
      </c>
      <c r="C271" s="45">
        <f>IF($A271="","",IFERROR(INDEX('Chain Program'!$D$6:$D$120,MATCH($A271,'Chain Program'!$A$6:$A$120,0)),"Unknown ID"))</f>
        <v/>
      </c>
      <c r="D271" s="48" t="n"/>
      <c r="E271" s="48" t="n"/>
      <c r="F271" s="48" t="n"/>
      <c r="G271" s="49" t="n"/>
      <c r="H271" s="49" t="n"/>
      <c r="I271" s="41" t="n"/>
      <c r="J271" s="41" t="n"/>
      <c r="K271" s="48" t="n"/>
      <c r="L271" s="45">
        <f>IF(OR($A271="",$I271="",$J271=""),"",IF(TODAY()&lt;$I271,"Upcoming",IF(TODAY()&gt;$J271,"Expired","Active")))</f>
        <v/>
      </c>
      <c r="M271" s="45">
        <f>IF($L271="Active",$J271-TODAY(),"")</f>
        <v/>
      </c>
      <c r="N271" s="48" t="n"/>
      <c r="O271" s="47">
        <f>IF($L271="Active",$A271,"")</f>
        <v/>
      </c>
    </row>
    <row r="272">
      <c r="A272" s="48" t="n"/>
      <c r="B272" s="45">
        <f>IF($A272="","",IFERROR(INDEX('Chain Program'!$B$6:$B$120,MATCH($A272,'Chain Program'!$A$6:$A$120,0)),"Unknown ID"))</f>
        <v/>
      </c>
      <c r="C272" s="45">
        <f>IF($A272="","",IFERROR(INDEX('Chain Program'!$D$6:$D$120,MATCH($A272,'Chain Program'!$A$6:$A$120,0)),"Unknown ID"))</f>
        <v/>
      </c>
      <c r="D272" s="48" t="n"/>
      <c r="E272" s="48" t="n"/>
      <c r="F272" s="48" t="n"/>
      <c r="G272" s="49" t="n"/>
      <c r="H272" s="49" t="n"/>
      <c r="I272" s="41" t="n"/>
      <c r="J272" s="41" t="n"/>
      <c r="K272" s="48" t="n"/>
      <c r="L272" s="45">
        <f>IF(OR($A272="",$I272="",$J272=""),"",IF(TODAY()&lt;$I272,"Upcoming",IF(TODAY()&gt;$J272,"Expired","Active")))</f>
        <v/>
      </c>
      <c r="M272" s="45">
        <f>IF($L272="Active",$J272-TODAY(),"")</f>
        <v/>
      </c>
      <c r="N272" s="48" t="n"/>
      <c r="O272" s="47">
        <f>IF($L272="Active",$A272,"")</f>
        <v/>
      </c>
    </row>
    <row r="273">
      <c r="A273" s="48" t="n"/>
      <c r="B273" s="45">
        <f>IF($A273="","",IFERROR(INDEX('Chain Program'!$B$6:$B$120,MATCH($A273,'Chain Program'!$A$6:$A$120,0)),"Unknown ID"))</f>
        <v/>
      </c>
      <c r="C273" s="45">
        <f>IF($A273="","",IFERROR(INDEX('Chain Program'!$D$6:$D$120,MATCH($A273,'Chain Program'!$A$6:$A$120,0)),"Unknown ID"))</f>
        <v/>
      </c>
      <c r="D273" s="48" t="n"/>
      <c r="E273" s="48" t="n"/>
      <c r="F273" s="48" t="n"/>
      <c r="G273" s="49" t="n"/>
      <c r="H273" s="49" t="n"/>
      <c r="I273" s="41" t="n"/>
      <c r="J273" s="41" t="n"/>
      <c r="K273" s="48" t="n"/>
      <c r="L273" s="45">
        <f>IF(OR($A273="",$I273="",$J273=""),"",IF(TODAY()&lt;$I273,"Upcoming",IF(TODAY()&gt;$J273,"Expired","Active")))</f>
        <v/>
      </c>
      <c r="M273" s="45">
        <f>IF($L273="Active",$J273-TODAY(),"")</f>
        <v/>
      </c>
      <c r="N273" s="48" t="n"/>
      <c r="O273" s="47">
        <f>IF($L273="Active",$A273,"")</f>
        <v/>
      </c>
    </row>
    <row r="274">
      <c r="A274" s="48" t="n"/>
      <c r="B274" s="45">
        <f>IF($A274="","",IFERROR(INDEX('Chain Program'!$B$6:$B$120,MATCH($A274,'Chain Program'!$A$6:$A$120,0)),"Unknown ID"))</f>
        <v/>
      </c>
      <c r="C274" s="45">
        <f>IF($A274="","",IFERROR(INDEX('Chain Program'!$D$6:$D$120,MATCH($A274,'Chain Program'!$A$6:$A$120,0)),"Unknown ID"))</f>
        <v/>
      </c>
      <c r="D274" s="48" t="n"/>
      <c r="E274" s="48" t="n"/>
      <c r="F274" s="48" t="n"/>
      <c r="G274" s="49" t="n"/>
      <c r="H274" s="49" t="n"/>
      <c r="I274" s="41" t="n"/>
      <c r="J274" s="41" t="n"/>
      <c r="K274" s="48" t="n"/>
      <c r="L274" s="45">
        <f>IF(OR($A274="",$I274="",$J274=""),"",IF(TODAY()&lt;$I274,"Upcoming",IF(TODAY()&gt;$J274,"Expired","Active")))</f>
        <v/>
      </c>
      <c r="M274" s="45">
        <f>IF($L274="Active",$J274-TODAY(),"")</f>
        <v/>
      </c>
      <c r="N274" s="48" t="n"/>
      <c r="O274" s="47">
        <f>IF($L274="Active",$A274,"")</f>
        <v/>
      </c>
    </row>
    <row r="275">
      <c r="A275" s="48" t="n"/>
      <c r="B275" s="45">
        <f>IF($A275="","",IFERROR(INDEX('Chain Program'!$B$6:$B$120,MATCH($A275,'Chain Program'!$A$6:$A$120,0)),"Unknown ID"))</f>
        <v/>
      </c>
      <c r="C275" s="45">
        <f>IF($A275="","",IFERROR(INDEX('Chain Program'!$D$6:$D$120,MATCH($A275,'Chain Program'!$A$6:$A$120,0)),"Unknown ID"))</f>
        <v/>
      </c>
      <c r="D275" s="48" t="n"/>
      <c r="E275" s="48" t="n"/>
      <c r="F275" s="48" t="n"/>
      <c r="G275" s="49" t="n"/>
      <c r="H275" s="49" t="n"/>
      <c r="I275" s="41" t="n"/>
      <c r="J275" s="41" t="n"/>
      <c r="K275" s="48" t="n"/>
      <c r="L275" s="45">
        <f>IF(OR($A275="",$I275="",$J275=""),"",IF(TODAY()&lt;$I275,"Upcoming",IF(TODAY()&gt;$J275,"Expired","Active")))</f>
        <v/>
      </c>
      <c r="M275" s="45">
        <f>IF($L275="Active",$J275-TODAY(),"")</f>
        <v/>
      </c>
      <c r="N275" s="48" t="n"/>
      <c r="O275" s="47">
        <f>IF($L275="Active",$A275,"")</f>
        <v/>
      </c>
    </row>
    <row r="276">
      <c r="A276" s="48" t="n"/>
      <c r="B276" s="45">
        <f>IF($A276="","",IFERROR(INDEX('Chain Program'!$B$6:$B$120,MATCH($A276,'Chain Program'!$A$6:$A$120,0)),"Unknown ID"))</f>
        <v/>
      </c>
      <c r="C276" s="45">
        <f>IF($A276="","",IFERROR(INDEX('Chain Program'!$D$6:$D$120,MATCH($A276,'Chain Program'!$A$6:$A$120,0)),"Unknown ID"))</f>
        <v/>
      </c>
      <c r="D276" s="48" t="n"/>
      <c r="E276" s="48" t="n"/>
      <c r="F276" s="48" t="n"/>
      <c r="G276" s="49" t="n"/>
      <c r="H276" s="49" t="n"/>
      <c r="I276" s="41" t="n"/>
      <c r="J276" s="41" t="n"/>
      <c r="K276" s="48" t="n"/>
      <c r="L276" s="45">
        <f>IF(OR($A276="",$I276="",$J276=""),"",IF(TODAY()&lt;$I276,"Upcoming",IF(TODAY()&gt;$J276,"Expired","Active")))</f>
        <v/>
      </c>
      <c r="M276" s="45">
        <f>IF($L276="Active",$J276-TODAY(),"")</f>
        <v/>
      </c>
      <c r="N276" s="48" t="n"/>
      <c r="O276" s="47">
        <f>IF($L276="Active",$A276,"")</f>
        <v/>
      </c>
    </row>
    <row r="277">
      <c r="A277" s="48" t="n"/>
      <c r="B277" s="45">
        <f>IF($A277="","",IFERROR(INDEX('Chain Program'!$B$6:$B$120,MATCH($A277,'Chain Program'!$A$6:$A$120,0)),"Unknown ID"))</f>
        <v/>
      </c>
      <c r="C277" s="45">
        <f>IF($A277="","",IFERROR(INDEX('Chain Program'!$D$6:$D$120,MATCH($A277,'Chain Program'!$A$6:$A$120,0)),"Unknown ID"))</f>
        <v/>
      </c>
      <c r="D277" s="48" t="n"/>
      <c r="E277" s="48" t="n"/>
      <c r="F277" s="48" t="n"/>
      <c r="G277" s="49" t="n"/>
      <c r="H277" s="49" t="n"/>
      <c r="I277" s="41" t="n"/>
      <c r="J277" s="41" t="n"/>
      <c r="K277" s="48" t="n"/>
      <c r="L277" s="45">
        <f>IF(OR($A277="",$I277="",$J277=""),"",IF(TODAY()&lt;$I277,"Upcoming",IF(TODAY()&gt;$J277,"Expired","Active")))</f>
        <v/>
      </c>
      <c r="M277" s="45">
        <f>IF($L277="Active",$J277-TODAY(),"")</f>
        <v/>
      </c>
      <c r="N277" s="48" t="n"/>
      <c r="O277" s="47">
        <f>IF($L277="Active",$A277,"")</f>
        <v/>
      </c>
    </row>
    <row r="278">
      <c r="A278" s="48" t="n"/>
      <c r="B278" s="45">
        <f>IF($A278="","",IFERROR(INDEX('Chain Program'!$B$6:$B$120,MATCH($A278,'Chain Program'!$A$6:$A$120,0)),"Unknown ID"))</f>
        <v/>
      </c>
      <c r="C278" s="45">
        <f>IF($A278="","",IFERROR(INDEX('Chain Program'!$D$6:$D$120,MATCH($A278,'Chain Program'!$A$6:$A$120,0)),"Unknown ID"))</f>
        <v/>
      </c>
      <c r="D278" s="48" t="n"/>
      <c r="E278" s="48" t="n"/>
      <c r="F278" s="48" t="n"/>
      <c r="G278" s="49" t="n"/>
      <c r="H278" s="49" t="n"/>
      <c r="I278" s="41" t="n"/>
      <c r="J278" s="41" t="n"/>
      <c r="K278" s="48" t="n"/>
      <c r="L278" s="45">
        <f>IF(OR($A278="",$I278="",$J278=""),"",IF(TODAY()&lt;$I278,"Upcoming",IF(TODAY()&gt;$J278,"Expired","Active")))</f>
        <v/>
      </c>
      <c r="M278" s="45">
        <f>IF($L278="Active",$J278-TODAY(),"")</f>
        <v/>
      </c>
      <c r="N278" s="48" t="n"/>
      <c r="O278" s="47">
        <f>IF($L278="Active",$A278,"")</f>
        <v/>
      </c>
    </row>
    <row r="279">
      <c r="A279" s="48" t="n"/>
      <c r="B279" s="45">
        <f>IF($A279="","",IFERROR(INDEX('Chain Program'!$B$6:$B$120,MATCH($A279,'Chain Program'!$A$6:$A$120,0)),"Unknown ID"))</f>
        <v/>
      </c>
      <c r="C279" s="45">
        <f>IF($A279="","",IFERROR(INDEX('Chain Program'!$D$6:$D$120,MATCH($A279,'Chain Program'!$A$6:$A$120,0)),"Unknown ID"))</f>
        <v/>
      </c>
      <c r="D279" s="48" t="n"/>
      <c r="E279" s="48" t="n"/>
      <c r="F279" s="48" t="n"/>
      <c r="G279" s="49" t="n"/>
      <c r="H279" s="49" t="n"/>
      <c r="I279" s="41" t="n"/>
      <c r="J279" s="41" t="n"/>
      <c r="K279" s="48" t="n"/>
      <c r="L279" s="45">
        <f>IF(OR($A279="",$I279="",$J279=""),"",IF(TODAY()&lt;$I279,"Upcoming",IF(TODAY()&gt;$J279,"Expired","Active")))</f>
        <v/>
      </c>
      <c r="M279" s="45">
        <f>IF($L279="Active",$J279-TODAY(),"")</f>
        <v/>
      </c>
      <c r="N279" s="48" t="n"/>
      <c r="O279" s="47">
        <f>IF($L279="Active",$A279,"")</f>
        <v/>
      </c>
    </row>
    <row r="280">
      <c r="A280" s="48" t="n"/>
      <c r="B280" s="45">
        <f>IF($A280="","",IFERROR(INDEX('Chain Program'!$B$6:$B$120,MATCH($A280,'Chain Program'!$A$6:$A$120,0)),"Unknown ID"))</f>
        <v/>
      </c>
      <c r="C280" s="45">
        <f>IF($A280="","",IFERROR(INDEX('Chain Program'!$D$6:$D$120,MATCH($A280,'Chain Program'!$A$6:$A$120,0)),"Unknown ID"))</f>
        <v/>
      </c>
      <c r="D280" s="48" t="n"/>
      <c r="E280" s="48" t="n"/>
      <c r="F280" s="48" t="n"/>
      <c r="G280" s="49" t="n"/>
      <c r="H280" s="49" t="n"/>
      <c r="I280" s="41" t="n"/>
      <c r="J280" s="41" t="n"/>
      <c r="K280" s="48" t="n"/>
      <c r="L280" s="45">
        <f>IF(OR($A280="",$I280="",$J280=""),"",IF(TODAY()&lt;$I280,"Upcoming",IF(TODAY()&gt;$J280,"Expired","Active")))</f>
        <v/>
      </c>
      <c r="M280" s="45">
        <f>IF($L280="Active",$J280-TODAY(),"")</f>
        <v/>
      </c>
      <c r="N280" s="48" t="n"/>
      <c r="O280" s="47">
        <f>IF($L280="Active",$A280,"")</f>
        <v/>
      </c>
    </row>
    <row r="281">
      <c r="A281" s="48" t="n"/>
      <c r="B281" s="45">
        <f>IF($A281="","",IFERROR(INDEX('Chain Program'!$B$6:$B$120,MATCH($A281,'Chain Program'!$A$6:$A$120,0)),"Unknown ID"))</f>
        <v/>
      </c>
      <c r="C281" s="45">
        <f>IF($A281="","",IFERROR(INDEX('Chain Program'!$D$6:$D$120,MATCH($A281,'Chain Program'!$A$6:$A$120,0)),"Unknown ID"))</f>
        <v/>
      </c>
      <c r="D281" s="48" t="n"/>
      <c r="E281" s="48" t="n"/>
      <c r="F281" s="48" t="n"/>
      <c r="G281" s="49" t="n"/>
      <c r="H281" s="49" t="n"/>
      <c r="I281" s="41" t="n"/>
      <c r="J281" s="41" t="n"/>
      <c r="K281" s="48" t="n"/>
      <c r="L281" s="45">
        <f>IF(OR($A281="",$I281="",$J281=""),"",IF(TODAY()&lt;$I281,"Upcoming",IF(TODAY()&gt;$J281,"Expired","Active")))</f>
        <v/>
      </c>
      <c r="M281" s="45">
        <f>IF($L281="Active",$J281-TODAY(),"")</f>
        <v/>
      </c>
      <c r="N281" s="48" t="n"/>
      <c r="O281" s="47">
        <f>IF($L281="Active",$A281,"")</f>
        <v/>
      </c>
    </row>
    <row r="282">
      <c r="A282" s="48" t="n"/>
      <c r="B282" s="45">
        <f>IF($A282="","",IFERROR(INDEX('Chain Program'!$B$6:$B$120,MATCH($A282,'Chain Program'!$A$6:$A$120,0)),"Unknown ID"))</f>
        <v/>
      </c>
      <c r="C282" s="45">
        <f>IF($A282="","",IFERROR(INDEX('Chain Program'!$D$6:$D$120,MATCH($A282,'Chain Program'!$A$6:$A$120,0)),"Unknown ID"))</f>
        <v/>
      </c>
      <c r="D282" s="48" t="n"/>
      <c r="E282" s="48" t="n"/>
      <c r="F282" s="48" t="n"/>
      <c r="G282" s="49" t="n"/>
      <c r="H282" s="49" t="n"/>
      <c r="I282" s="41" t="n"/>
      <c r="J282" s="41" t="n"/>
      <c r="K282" s="48" t="n"/>
      <c r="L282" s="45">
        <f>IF(OR($A282="",$I282="",$J282=""),"",IF(TODAY()&lt;$I282,"Upcoming",IF(TODAY()&gt;$J282,"Expired","Active")))</f>
        <v/>
      </c>
      <c r="M282" s="45">
        <f>IF($L282="Active",$J282-TODAY(),"")</f>
        <v/>
      </c>
      <c r="N282" s="48" t="n"/>
      <c r="O282" s="47">
        <f>IF($L282="Active",$A282,"")</f>
        <v/>
      </c>
    </row>
    <row r="283">
      <c r="A283" s="48" t="n"/>
      <c r="B283" s="45">
        <f>IF($A283="","",IFERROR(INDEX('Chain Program'!$B$6:$B$120,MATCH($A283,'Chain Program'!$A$6:$A$120,0)),"Unknown ID"))</f>
        <v/>
      </c>
      <c r="C283" s="45">
        <f>IF($A283="","",IFERROR(INDEX('Chain Program'!$D$6:$D$120,MATCH($A283,'Chain Program'!$A$6:$A$120,0)),"Unknown ID"))</f>
        <v/>
      </c>
      <c r="D283" s="48" t="n"/>
      <c r="E283" s="48" t="n"/>
      <c r="F283" s="48" t="n"/>
      <c r="G283" s="49" t="n"/>
      <c r="H283" s="49" t="n"/>
      <c r="I283" s="41" t="n"/>
      <c r="J283" s="41" t="n"/>
      <c r="K283" s="48" t="n"/>
      <c r="L283" s="45">
        <f>IF(OR($A283="",$I283="",$J283=""),"",IF(TODAY()&lt;$I283,"Upcoming",IF(TODAY()&gt;$J283,"Expired","Active")))</f>
        <v/>
      </c>
      <c r="M283" s="45">
        <f>IF($L283="Active",$J283-TODAY(),"")</f>
        <v/>
      </c>
      <c r="N283" s="48" t="n"/>
      <c r="O283" s="47">
        <f>IF($L283="Active",$A283,"")</f>
        <v/>
      </c>
    </row>
    <row r="284">
      <c r="A284" s="48" t="n"/>
      <c r="B284" s="45">
        <f>IF($A284="","",IFERROR(INDEX('Chain Program'!$B$6:$B$120,MATCH($A284,'Chain Program'!$A$6:$A$120,0)),"Unknown ID"))</f>
        <v/>
      </c>
      <c r="C284" s="45">
        <f>IF($A284="","",IFERROR(INDEX('Chain Program'!$D$6:$D$120,MATCH($A284,'Chain Program'!$A$6:$A$120,0)),"Unknown ID"))</f>
        <v/>
      </c>
      <c r="D284" s="48" t="n"/>
      <c r="E284" s="48" t="n"/>
      <c r="F284" s="48" t="n"/>
      <c r="G284" s="49" t="n"/>
      <c r="H284" s="49" t="n"/>
      <c r="I284" s="41" t="n"/>
      <c r="J284" s="41" t="n"/>
      <c r="K284" s="48" t="n"/>
      <c r="L284" s="45">
        <f>IF(OR($A284="",$I284="",$J284=""),"",IF(TODAY()&lt;$I284,"Upcoming",IF(TODAY()&gt;$J284,"Expired","Active")))</f>
        <v/>
      </c>
      <c r="M284" s="45">
        <f>IF($L284="Active",$J284-TODAY(),"")</f>
        <v/>
      </c>
      <c r="N284" s="48" t="n"/>
      <c r="O284" s="47">
        <f>IF($L284="Active",$A284,"")</f>
        <v/>
      </c>
    </row>
    <row r="285">
      <c r="A285" s="48" t="n"/>
      <c r="B285" s="45">
        <f>IF($A285="","",IFERROR(INDEX('Chain Program'!$B$6:$B$120,MATCH($A285,'Chain Program'!$A$6:$A$120,0)),"Unknown ID"))</f>
        <v/>
      </c>
      <c r="C285" s="45">
        <f>IF($A285="","",IFERROR(INDEX('Chain Program'!$D$6:$D$120,MATCH($A285,'Chain Program'!$A$6:$A$120,0)),"Unknown ID"))</f>
        <v/>
      </c>
      <c r="D285" s="48" t="n"/>
      <c r="E285" s="48" t="n"/>
      <c r="F285" s="48" t="n"/>
      <c r="G285" s="49" t="n"/>
      <c r="H285" s="49" t="n"/>
      <c r="I285" s="41" t="n"/>
      <c r="J285" s="41" t="n"/>
      <c r="K285" s="48" t="n"/>
      <c r="L285" s="45">
        <f>IF(OR($A285="",$I285="",$J285=""),"",IF(TODAY()&lt;$I285,"Upcoming",IF(TODAY()&gt;$J285,"Expired","Active")))</f>
        <v/>
      </c>
      <c r="M285" s="45">
        <f>IF($L285="Active",$J285-TODAY(),"")</f>
        <v/>
      </c>
      <c r="N285" s="48" t="n"/>
      <c r="O285" s="47">
        <f>IF($L285="Active",$A285,"")</f>
        <v/>
      </c>
    </row>
    <row r="286">
      <c r="A286" s="48" t="n"/>
      <c r="B286" s="45">
        <f>IF($A286="","",IFERROR(INDEX('Chain Program'!$B$6:$B$120,MATCH($A286,'Chain Program'!$A$6:$A$120,0)),"Unknown ID"))</f>
        <v/>
      </c>
      <c r="C286" s="45">
        <f>IF($A286="","",IFERROR(INDEX('Chain Program'!$D$6:$D$120,MATCH($A286,'Chain Program'!$A$6:$A$120,0)),"Unknown ID"))</f>
        <v/>
      </c>
      <c r="D286" s="48" t="n"/>
      <c r="E286" s="48" t="n"/>
      <c r="F286" s="48" t="n"/>
      <c r="G286" s="49" t="n"/>
      <c r="H286" s="49" t="n"/>
      <c r="I286" s="41" t="n"/>
      <c r="J286" s="41" t="n"/>
      <c r="K286" s="48" t="n"/>
      <c r="L286" s="45">
        <f>IF(OR($A286="",$I286="",$J286=""),"",IF(TODAY()&lt;$I286,"Upcoming",IF(TODAY()&gt;$J286,"Expired","Active")))</f>
        <v/>
      </c>
      <c r="M286" s="45">
        <f>IF($L286="Active",$J286-TODAY(),"")</f>
        <v/>
      </c>
      <c r="N286" s="48" t="n"/>
      <c r="O286" s="47">
        <f>IF($L286="Active",$A286,"")</f>
        <v/>
      </c>
    </row>
    <row r="287">
      <c r="A287" s="48" t="n"/>
      <c r="B287" s="45">
        <f>IF($A287="","",IFERROR(INDEX('Chain Program'!$B$6:$B$120,MATCH($A287,'Chain Program'!$A$6:$A$120,0)),"Unknown ID"))</f>
        <v/>
      </c>
      <c r="C287" s="45">
        <f>IF($A287="","",IFERROR(INDEX('Chain Program'!$D$6:$D$120,MATCH($A287,'Chain Program'!$A$6:$A$120,0)),"Unknown ID"))</f>
        <v/>
      </c>
      <c r="D287" s="48" t="n"/>
      <c r="E287" s="48" t="n"/>
      <c r="F287" s="48" t="n"/>
      <c r="G287" s="49" t="n"/>
      <c r="H287" s="49" t="n"/>
      <c r="I287" s="41" t="n"/>
      <c r="J287" s="41" t="n"/>
      <c r="K287" s="48" t="n"/>
      <c r="L287" s="45">
        <f>IF(OR($A287="",$I287="",$J287=""),"",IF(TODAY()&lt;$I287,"Upcoming",IF(TODAY()&gt;$J287,"Expired","Active")))</f>
        <v/>
      </c>
      <c r="M287" s="45">
        <f>IF($L287="Active",$J287-TODAY(),"")</f>
        <v/>
      </c>
      <c r="N287" s="48" t="n"/>
      <c r="O287" s="47">
        <f>IF($L287="Active",$A287,"")</f>
        <v/>
      </c>
    </row>
    <row r="288">
      <c r="A288" s="48" t="n"/>
      <c r="B288" s="45">
        <f>IF($A288="","",IFERROR(INDEX('Chain Program'!$B$6:$B$120,MATCH($A288,'Chain Program'!$A$6:$A$120,0)),"Unknown ID"))</f>
        <v/>
      </c>
      <c r="C288" s="45">
        <f>IF($A288="","",IFERROR(INDEX('Chain Program'!$D$6:$D$120,MATCH($A288,'Chain Program'!$A$6:$A$120,0)),"Unknown ID"))</f>
        <v/>
      </c>
      <c r="D288" s="48" t="n"/>
      <c r="E288" s="48" t="n"/>
      <c r="F288" s="48" t="n"/>
      <c r="G288" s="49" t="n"/>
      <c r="H288" s="49" t="n"/>
      <c r="I288" s="41" t="n"/>
      <c r="J288" s="41" t="n"/>
      <c r="K288" s="48" t="n"/>
      <c r="L288" s="45">
        <f>IF(OR($A288="",$I288="",$J288=""),"",IF(TODAY()&lt;$I288,"Upcoming",IF(TODAY()&gt;$J288,"Expired","Active")))</f>
        <v/>
      </c>
      <c r="M288" s="45">
        <f>IF($L288="Active",$J288-TODAY(),"")</f>
        <v/>
      </c>
      <c r="N288" s="48" t="n"/>
      <c r="O288" s="47">
        <f>IF($L288="Active",$A288,"")</f>
        <v/>
      </c>
    </row>
    <row r="289">
      <c r="A289" s="48" t="n"/>
      <c r="B289" s="45">
        <f>IF($A289="","",IFERROR(INDEX('Chain Program'!$B$6:$B$120,MATCH($A289,'Chain Program'!$A$6:$A$120,0)),"Unknown ID"))</f>
        <v/>
      </c>
      <c r="C289" s="45">
        <f>IF($A289="","",IFERROR(INDEX('Chain Program'!$D$6:$D$120,MATCH($A289,'Chain Program'!$A$6:$A$120,0)),"Unknown ID"))</f>
        <v/>
      </c>
      <c r="D289" s="48" t="n"/>
      <c r="E289" s="48" t="n"/>
      <c r="F289" s="48" t="n"/>
      <c r="G289" s="49" t="n"/>
      <c r="H289" s="49" t="n"/>
      <c r="I289" s="41" t="n"/>
      <c r="J289" s="41" t="n"/>
      <c r="K289" s="48" t="n"/>
      <c r="L289" s="45">
        <f>IF(OR($A289="",$I289="",$J289=""),"",IF(TODAY()&lt;$I289,"Upcoming",IF(TODAY()&gt;$J289,"Expired","Active")))</f>
        <v/>
      </c>
      <c r="M289" s="45">
        <f>IF($L289="Active",$J289-TODAY(),"")</f>
        <v/>
      </c>
      <c r="N289" s="48" t="n"/>
      <c r="O289" s="47">
        <f>IF($L289="Active",$A289,"")</f>
        <v/>
      </c>
    </row>
    <row r="290">
      <c r="A290" s="48" t="n"/>
      <c r="B290" s="45">
        <f>IF($A290="","",IFERROR(INDEX('Chain Program'!$B$6:$B$120,MATCH($A290,'Chain Program'!$A$6:$A$120,0)),"Unknown ID"))</f>
        <v/>
      </c>
      <c r="C290" s="45">
        <f>IF($A290="","",IFERROR(INDEX('Chain Program'!$D$6:$D$120,MATCH($A290,'Chain Program'!$A$6:$A$120,0)),"Unknown ID"))</f>
        <v/>
      </c>
      <c r="D290" s="48" t="n"/>
      <c r="E290" s="48" t="n"/>
      <c r="F290" s="48" t="n"/>
      <c r="G290" s="49" t="n"/>
      <c r="H290" s="49" t="n"/>
      <c r="I290" s="41" t="n"/>
      <c r="J290" s="41" t="n"/>
      <c r="K290" s="48" t="n"/>
      <c r="L290" s="45">
        <f>IF(OR($A290="",$I290="",$J290=""),"",IF(TODAY()&lt;$I290,"Upcoming",IF(TODAY()&gt;$J290,"Expired","Active")))</f>
        <v/>
      </c>
      <c r="M290" s="45">
        <f>IF($L290="Active",$J290-TODAY(),"")</f>
        <v/>
      </c>
      <c r="N290" s="48" t="n"/>
      <c r="O290" s="47">
        <f>IF($L290="Active",$A290,"")</f>
        <v/>
      </c>
    </row>
    <row r="291">
      <c r="A291" s="48" t="n"/>
      <c r="B291" s="45">
        <f>IF($A291="","",IFERROR(INDEX('Chain Program'!$B$6:$B$120,MATCH($A291,'Chain Program'!$A$6:$A$120,0)),"Unknown ID"))</f>
        <v/>
      </c>
      <c r="C291" s="45">
        <f>IF($A291="","",IFERROR(INDEX('Chain Program'!$D$6:$D$120,MATCH($A291,'Chain Program'!$A$6:$A$120,0)),"Unknown ID"))</f>
        <v/>
      </c>
      <c r="D291" s="48" t="n"/>
      <c r="E291" s="48" t="n"/>
      <c r="F291" s="48" t="n"/>
      <c r="G291" s="49" t="n"/>
      <c r="H291" s="49" t="n"/>
      <c r="I291" s="41" t="n"/>
      <c r="J291" s="41" t="n"/>
      <c r="K291" s="48" t="n"/>
      <c r="L291" s="45">
        <f>IF(OR($A291="",$I291="",$J291=""),"",IF(TODAY()&lt;$I291,"Upcoming",IF(TODAY()&gt;$J291,"Expired","Active")))</f>
        <v/>
      </c>
      <c r="M291" s="45">
        <f>IF($L291="Active",$J291-TODAY(),"")</f>
        <v/>
      </c>
      <c r="N291" s="48" t="n"/>
      <c r="O291" s="47">
        <f>IF($L291="Active",$A291,"")</f>
        <v/>
      </c>
    </row>
    <row r="292">
      <c r="A292" s="48" t="n"/>
      <c r="B292" s="45">
        <f>IF($A292="","",IFERROR(INDEX('Chain Program'!$B$6:$B$120,MATCH($A292,'Chain Program'!$A$6:$A$120,0)),"Unknown ID"))</f>
        <v/>
      </c>
      <c r="C292" s="45">
        <f>IF($A292="","",IFERROR(INDEX('Chain Program'!$D$6:$D$120,MATCH($A292,'Chain Program'!$A$6:$A$120,0)),"Unknown ID"))</f>
        <v/>
      </c>
      <c r="D292" s="48" t="n"/>
      <c r="E292" s="48" t="n"/>
      <c r="F292" s="48" t="n"/>
      <c r="G292" s="49" t="n"/>
      <c r="H292" s="49" t="n"/>
      <c r="I292" s="41" t="n"/>
      <c r="J292" s="41" t="n"/>
      <c r="K292" s="48" t="n"/>
      <c r="L292" s="45">
        <f>IF(OR($A292="",$I292="",$J292=""),"",IF(TODAY()&lt;$I292,"Upcoming",IF(TODAY()&gt;$J292,"Expired","Active")))</f>
        <v/>
      </c>
      <c r="M292" s="45">
        <f>IF($L292="Active",$J292-TODAY(),"")</f>
        <v/>
      </c>
      <c r="N292" s="48" t="n"/>
      <c r="O292" s="47">
        <f>IF($L292="Active",$A292,"")</f>
        <v/>
      </c>
    </row>
    <row r="293">
      <c r="A293" s="48" t="n"/>
      <c r="B293" s="45">
        <f>IF($A293="","",IFERROR(INDEX('Chain Program'!$B$6:$B$120,MATCH($A293,'Chain Program'!$A$6:$A$120,0)),"Unknown ID"))</f>
        <v/>
      </c>
      <c r="C293" s="45">
        <f>IF($A293="","",IFERROR(INDEX('Chain Program'!$D$6:$D$120,MATCH($A293,'Chain Program'!$A$6:$A$120,0)),"Unknown ID"))</f>
        <v/>
      </c>
      <c r="D293" s="48" t="n"/>
      <c r="E293" s="48" t="n"/>
      <c r="F293" s="48" t="n"/>
      <c r="G293" s="49" t="n"/>
      <c r="H293" s="49" t="n"/>
      <c r="I293" s="41" t="n"/>
      <c r="J293" s="41" t="n"/>
      <c r="K293" s="48" t="n"/>
      <c r="L293" s="45">
        <f>IF(OR($A293="",$I293="",$J293=""),"",IF(TODAY()&lt;$I293,"Upcoming",IF(TODAY()&gt;$J293,"Expired","Active")))</f>
        <v/>
      </c>
      <c r="M293" s="45">
        <f>IF($L293="Active",$J293-TODAY(),"")</f>
        <v/>
      </c>
      <c r="N293" s="48" t="n"/>
      <c r="O293" s="47">
        <f>IF($L293="Active",$A293,"")</f>
        <v/>
      </c>
    </row>
    <row r="294">
      <c r="A294" s="48" t="n"/>
      <c r="B294" s="45">
        <f>IF($A294="","",IFERROR(INDEX('Chain Program'!$B$6:$B$120,MATCH($A294,'Chain Program'!$A$6:$A$120,0)),"Unknown ID"))</f>
        <v/>
      </c>
      <c r="C294" s="45">
        <f>IF($A294="","",IFERROR(INDEX('Chain Program'!$D$6:$D$120,MATCH($A294,'Chain Program'!$A$6:$A$120,0)),"Unknown ID"))</f>
        <v/>
      </c>
      <c r="D294" s="48" t="n"/>
      <c r="E294" s="48" t="n"/>
      <c r="F294" s="48" t="n"/>
      <c r="G294" s="49" t="n"/>
      <c r="H294" s="49" t="n"/>
      <c r="I294" s="41" t="n"/>
      <c r="J294" s="41" t="n"/>
      <c r="K294" s="48" t="n"/>
      <c r="L294" s="45">
        <f>IF(OR($A294="",$I294="",$J294=""),"",IF(TODAY()&lt;$I294,"Upcoming",IF(TODAY()&gt;$J294,"Expired","Active")))</f>
        <v/>
      </c>
      <c r="M294" s="45">
        <f>IF($L294="Active",$J294-TODAY(),"")</f>
        <v/>
      </c>
      <c r="N294" s="48" t="n"/>
      <c r="O294" s="47">
        <f>IF($L294="Active",$A294,"")</f>
        <v/>
      </c>
    </row>
    <row r="295">
      <c r="A295" s="48" t="n"/>
      <c r="B295" s="45">
        <f>IF($A295="","",IFERROR(INDEX('Chain Program'!$B$6:$B$120,MATCH($A295,'Chain Program'!$A$6:$A$120,0)),"Unknown ID"))</f>
        <v/>
      </c>
      <c r="C295" s="45">
        <f>IF($A295="","",IFERROR(INDEX('Chain Program'!$D$6:$D$120,MATCH($A295,'Chain Program'!$A$6:$A$120,0)),"Unknown ID"))</f>
        <v/>
      </c>
      <c r="D295" s="48" t="n"/>
      <c r="E295" s="48" t="n"/>
      <c r="F295" s="48" t="n"/>
      <c r="G295" s="49" t="n"/>
      <c r="H295" s="49" t="n"/>
      <c r="I295" s="41" t="n"/>
      <c r="J295" s="41" t="n"/>
      <c r="K295" s="48" t="n"/>
      <c r="L295" s="45">
        <f>IF(OR($A295="",$I295="",$J295=""),"",IF(TODAY()&lt;$I295,"Upcoming",IF(TODAY()&gt;$J295,"Expired","Active")))</f>
        <v/>
      </c>
      <c r="M295" s="45">
        <f>IF($L295="Active",$J295-TODAY(),"")</f>
        <v/>
      </c>
      <c r="N295" s="48" t="n"/>
      <c r="O295" s="47">
        <f>IF($L295="Active",$A295,"")</f>
        <v/>
      </c>
    </row>
    <row r="296">
      <c r="A296" s="48" t="n"/>
      <c r="B296" s="45">
        <f>IF($A296="","",IFERROR(INDEX('Chain Program'!$B$6:$B$120,MATCH($A296,'Chain Program'!$A$6:$A$120,0)),"Unknown ID"))</f>
        <v/>
      </c>
      <c r="C296" s="45">
        <f>IF($A296="","",IFERROR(INDEX('Chain Program'!$D$6:$D$120,MATCH($A296,'Chain Program'!$A$6:$A$120,0)),"Unknown ID"))</f>
        <v/>
      </c>
      <c r="D296" s="48" t="n"/>
      <c r="E296" s="48" t="n"/>
      <c r="F296" s="48" t="n"/>
      <c r="G296" s="49" t="n"/>
      <c r="H296" s="49" t="n"/>
      <c r="I296" s="41" t="n"/>
      <c r="J296" s="41" t="n"/>
      <c r="K296" s="48" t="n"/>
      <c r="L296" s="45">
        <f>IF(OR($A296="",$I296="",$J296=""),"",IF(TODAY()&lt;$I296,"Upcoming",IF(TODAY()&gt;$J296,"Expired","Active")))</f>
        <v/>
      </c>
      <c r="M296" s="45">
        <f>IF($L296="Active",$J296-TODAY(),"")</f>
        <v/>
      </c>
      <c r="N296" s="48" t="n"/>
      <c r="O296" s="47">
        <f>IF($L296="Active",$A296,"")</f>
        <v/>
      </c>
    </row>
    <row r="297">
      <c r="A297" s="48" t="n"/>
      <c r="B297" s="45">
        <f>IF($A297="","",IFERROR(INDEX('Chain Program'!$B$6:$B$120,MATCH($A297,'Chain Program'!$A$6:$A$120,0)),"Unknown ID"))</f>
        <v/>
      </c>
      <c r="C297" s="45">
        <f>IF($A297="","",IFERROR(INDEX('Chain Program'!$D$6:$D$120,MATCH($A297,'Chain Program'!$A$6:$A$120,0)),"Unknown ID"))</f>
        <v/>
      </c>
      <c r="D297" s="48" t="n"/>
      <c r="E297" s="48" t="n"/>
      <c r="F297" s="48" t="n"/>
      <c r="G297" s="49" t="n"/>
      <c r="H297" s="49" t="n"/>
      <c r="I297" s="41" t="n"/>
      <c r="J297" s="41" t="n"/>
      <c r="K297" s="48" t="n"/>
      <c r="L297" s="45">
        <f>IF(OR($A297="",$I297="",$J297=""),"",IF(TODAY()&lt;$I297,"Upcoming",IF(TODAY()&gt;$J297,"Expired","Active")))</f>
        <v/>
      </c>
      <c r="M297" s="45">
        <f>IF($L297="Active",$J297-TODAY(),"")</f>
        <v/>
      </c>
      <c r="N297" s="48" t="n"/>
      <c r="O297" s="47">
        <f>IF($L297="Active",$A297,"")</f>
        <v/>
      </c>
    </row>
    <row r="298">
      <c r="A298" s="48" t="n"/>
      <c r="B298" s="45">
        <f>IF($A298="","",IFERROR(INDEX('Chain Program'!$B$6:$B$120,MATCH($A298,'Chain Program'!$A$6:$A$120,0)),"Unknown ID"))</f>
        <v/>
      </c>
      <c r="C298" s="45">
        <f>IF($A298="","",IFERROR(INDEX('Chain Program'!$D$6:$D$120,MATCH($A298,'Chain Program'!$A$6:$A$120,0)),"Unknown ID"))</f>
        <v/>
      </c>
      <c r="D298" s="48" t="n"/>
      <c r="E298" s="48" t="n"/>
      <c r="F298" s="48" t="n"/>
      <c r="G298" s="49" t="n"/>
      <c r="H298" s="49" t="n"/>
      <c r="I298" s="41" t="n"/>
      <c r="J298" s="41" t="n"/>
      <c r="K298" s="48" t="n"/>
      <c r="L298" s="45">
        <f>IF(OR($A298="",$I298="",$J298=""),"",IF(TODAY()&lt;$I298,"Upcoming",IF(TODAY()&gt;$J298,"Expired","Active")))</f>
        <v/>
      </c>
      <c r="M298" s="45">
        <f>IF($L298="Active",$J298-TODAY(),"")</f>
        <v/>
      </c>
      <c r="N298" s="48" t="n"/>
      <c r="O298" s="47">
        <f>IF($L298="Active",$A298,"")</f>
        <v/>
      </c>
    </row>
    <row r="299">
      <c r="A299" s="48" t="n"/>
      <c r="B299" s="45">
        <f>IF($A299="","",IFERROR(INDEX('Chain Program'!$B$6:$B$120,MATCH($A299,'Chain Program'!$A$6:$A$120,0)),"Unknown ID"))</f>
        <v/>
      </c>
      <c r="C299" s="45">
        <f>IF($A299="","",IFERROR(INDEX('Chain Program'!$D$6:$D$120,MATCH($A299,'Chain Program'!$A$6:$A$120,0)),"Unknown ID"))</f>
        <v/>
      </c>
      <c r="D299" s="48" t="n"/>
      <c r="E299" s="48" t="n"/>
      <c r="F299" s="48" t="n"/>
      <c r="G299" s="49" t="n"/>
      <c r="H299" s="49" t="n"/>
      <c r="I299" s="41" t="n"/>
      <c r="J299" s="41" t="n"/>
      <c r="K299" s="48" t="n"/>
      <c r="L299" s="45">
        <f>IF(OR($A299="",$I299="",$J299=""),"",IF(TODAY()&lt;$I299,"Upcoming",IF(TODAY()&gt;$J299,"Expired","Active")))</f>
        <v/>
      </c>
      <c r="M299" s="45">
        <f>IF($L299="Active",$J299-TODAY(),"")</f>
        <v/>
      </c>
      <c r="N299" s="48" t="n"/>
      <c r="O299" s="47">
        <f>IF($L299="Active",$A299,"")</f>
        <v/>
      </c>
    </row>
    <row r="300">
      <c r="A300" s="48" t="n"/>
      <c r="B300" s="45">
        <f>IF($A300="","",IFERROR(INDEX('Chain Program'!$B$6:$B$120,MATCH($A300,'Chain Program'!$A$6:$A$120,0)),"Unknown ID"))</f>
        <v/>
      </c>
      <c r="C300" s="45">
        <f>IF($A300="","",IFERROR(INDEX('Chain Program'!$D$6:$D$120,MATCH($A300,'Chain Program'!$A$6:$A$120,0)),"Unknown ID"))</f>
        <v/>
      </c>
      <c r="D300" s="48" t="n"/>
      <c r="E300" s="48" t="n"/>
      <c r="F300" s="48" t="n"/>
      <c r="G300" s="49" t="n"/>
      <c r="H300" s="49" t="n"/>
      <c r="I300" s="41" t="n"/>
      <c r="J300" s="41" t="n"/>
      <c r="K300" s="48" t="n"/>
      <c r="L300" s="45">
        <f>IF(OR($A300="",$I300="",$J300=""),"",IF(TODAY()&lt;$I300,"Upcoming",IF(TODAY()&gt;$J300,"Expired","Active")))</f>
        <v/>
      </c>
      <c r="M300" s="45">
        <f>IF($L300="Active",$J300-TODAY(),"")</f>
        <v/>
      </c>
      <c r="N300" s="48" t="n"/>
      <c r="O300" s="47">
        <f>IF($L300="Active",$A300,"")</f>
        <v/>
      </c>
    </row>
    <row r="301">
      <c r="A301" s="48" t="n"/>
      <c r="B301" s="45">
        <f>IF($A301="","",IFERROR(INDEX('Chain Program'!$B$6:$B$120,MATCH($A301,'Chain Program'!$A$6:$A$120,0)),"Unknown ID"))</f>
        <v/>
      </c>
      <c r="C301" s="45">
        <f>IF($A301="","",IFERROR(INDEX('Chain Program'!$D$6:$D$120,MATCH($A301,'Chain Program'!$A$6:$A$120,0)),"Unknown ID"))</f>
        <v/>
      </c>
      <c r="D301" s="48" t="n"/>
      <c r="E301" s="48" t="n"/>
      <c r="F301" s="48" t="n"/>
      <c r="G301" s="49" t="n"/>
      <c r="H301" s="49" t="n"/>
      <c r="I301" s="41" t="n"/>
      <c r="J301" s="41" t="n"/>
      <c r="K301" s="48" t="n"/>
      <c r="L301" s="45">
        <f>IF(OR($A301="",$I301="",$J301=""),"",IF(TODAY()&lt;$I301,"Upcoming",IF(TODAY()&gt;$J301,"Expired","Active")))</f>
        <v/>
      </c>
      <c r="M301" s="45">
        <f>IF($L301="Active",$J301-TODAY(),"")</f>
        <v/>
      </c>
      <c r="N301" s="48" t="n"/>
      <c r="O301" s="47">
        <f>IF($L301="Active",$A301,"")</f>
        <v/>
      </c>
    </row>
    <row r="302">
      <c r="A302" s="48" t="n"/>
      <c r="B302" s="45">
        <f>IF($A302="","",IFERROR(INDEX('Chain Program'!$B$6:$B$120,MATCH($A302,'Chain Program'!$A$6:$A$120,0)),"Unknown ID"))</f>
        <v/>
      </c>
      <c r="C302" s="45">
        <f>IF($A302="","",IFERROR(INDEX('Chain Program'!$D$6:$D$120,MATCH($A302,'Chain Program'!$A$6:$A$120,0)),"Unknown ID"))</f>
        <v/>
      </c>
      <c r="D302" s="48" t="n"/>
      <c r="E302" s="48" t="n"/>
      <c r="F302" s="48" t="n"/>
      <c r="G302" s="49" t="n"/>
      <c r="H302" s="49" t="n"/>
      <c r="I302" s="41" t="n"/>
      <c r="J302" s="41" t="n"/>
      <c r="K302" s="48" t="n"/>
      <c r="L302" s="45">
        <f>IF(OR($A302="",$I302="",$J302=""),"",IF(TODAY()&lt;$I302,"Upcoming",IF(TODAY()&gt;$J302,"Expired","Active")))</f>
        <v/>
      </c>
      <c r="M302" s="45">
        <f>IF($L302="Active",$J302-TODAY(),"")</f>
        <v/>
      </c>
      <c r="N302" s="48" t="n"/>
      <c r="O302" s="47">
        <f>IF($L302="Active",$A302,"")</f>
        <v/>
      </c>
    </row>
    <row r="303">
      <c r="A303" s="48" t="n"/>
      <c r="B303" s="45">
        <f>IF($A303="","",IFERROR(INDEX('Chain Program'!$B$6:$B$120,MATCH($A303,'Chain Program'!$A$6:$A$120,0)),"Unknown ID"))</f>
        <v/>
      </c>
      <c r="C303" s="45">
        <f>IF($A303="","",IFERROR(INDEX('Chain Program'!$D$6:$D$120,MATCH($A303,'Chain Program'!$A$6:$A$120,0)),"Unknown ID"))</f>
        <v/>
      </c>
      <c r="D303" s="48" t="n"/>
      <c r="E303" s="48" t="n"/>
      <c r="F303" s="48" t="n"/>
      <c r="G303" s="49" t="n"/>
      <c r="H303" s="49" t="n"/>
      <c r="I303" s="41" t="n"/>
      <c r="J303" s="41" t="n"/>
      <c r="K303" s="48" t="n"/>
      <c r="L303" s="45">
        <f>IF(OR($A303="",$I303="",$J303=""),"",IF(TODAY()&lt;$I303,"Upcoming",IF(TODAY()&gt;$J303,"Expired","Active")))</f>
        <v/>
      </c>
      <c r="M303" s="45">
        <f>IF($L303="Active",$J303-TODAY(),"")</f>
        <v/>
      </c>
      <c r="N303" s="48" t="n"/>
      <c r="O303" s="47">
        <f>IF($L303="Active",$A303,"")</f>
        <v/>
      </c>
    </row>
    <row r="304">
      <c r="A304" s="48" t="n"/>
      <c r="B304" s="45">
        <f>IF($A304="","",IFERROR(INDEX('Chain Program'!$B$6:$B$120,MATCH($A304,'Chain Program'!$A$6:$A$120,0)),"Unknown ID"))</f>
        <v/>
      </c>
      <c r="C304" s="45">
        <f>IF($A304="","",IFERROR(INDEX('Chain Program'!$D$6:$D$120,MATCH($A304,'Chain Program'!$A$6:$A$120,0)),"Unknown ID"))</f>
        <v/>
      </c>
      <c r="D304" s="48" t="n"/>
      <c r="E304" s="48" t="n"/>
      <c r="F304" s="48" t="n"/>
      <c r="G304" s="49" t="n"/>
      <c r="H304" s="49" t="n"/>
      <c r="I304" s="41" t="n"/>
      <c r="J304" s="41" t="n"/>
      <c r="K304" s="48" t="n"/>
      <c r="L304" s="45">
        <f>IF(OR($A304="",$I304="",$J304=""),"",IF(TODAY()&lt;$I304,"Upcoming",IF(TODAY()&gt;$J304,"Expired","Active")))</f>
        <v/>
      </c>
      <c r="M304" s="45">
        <f>IF($L304="Active",$J304-TODAY(),"")</f>
        <v/>
      </c>
      <c r="N304" s="48" t="n"/>
      <c r="O304" s="47">
        <f>IF($L304="Active",$A304,"")</f>
        <v/>
      </c>
    </row>
    <row r="305">
      <c r="A305" s="48" t="n"/>
      <c r="B305" s="45">
        <f>IF($A305="","",IFERROR(INDEX('Chain Program'!$B$6:$B$120,MATCH($A305,'Chain Program'!$A$6:$A$120,0)),"Unknown ID"))</f>
        <v/>
      </c>
      <c r="C305" s="45">
        <f>IF($A305="","",IFERROR(INDEX('Chain Program'!$D$6:$D$120,MATCH($A305,'Chain Program'!$A$6:$A$120,0)),"Unknown ID"))</f>
        <v/>
      </c>
      <c r="D305" s="48" t="n"/>
      <c r="E305" s="48" t="n"/>
      <c r="F305" s="48" t="n"/>
      <c r="G305" s="49" t="n"/>
      <c r="H305" s="49" t="n"/>
      <c r="I305" s="41" t="n"/>
      <c r="J305" s="41" t="n"/>
      <c r="K305" s="48" t="n"/>
      <c r="L305" s="45">
        <f>IF(OR($A305="",$I305="",$J305=""),"",IF(TODAY()&lt;$I305,"Upcoming",IF(TODAY()&gt;$J305,"Expired","Active")))</f>
        <v/>
      </c>
      <c r="M305" s="45">
        <f>IF($L305="Active",$J305-TODAY(),"")</f>
        <v/>
      </c>
      <c r="N305" s="48" t="n"/>
      <c r="O305" s="47">
        <f>IF($L305="Active",$A305,"")</f>
        <v/>
      </c>
    </row>
    <row r="306">
      <c r="A306" s="48" t="n"/>
      <c r="B306" s="45">
        <f>IF($A306="","",IFERROR(INDEX('Chain Program'!$B$6:$B$120,MATCH($A306,'Chain Program'!$A$6:$A$120,0)),"Unknown ID"))</f>
        <v/>
      </c>
      <c r="C306" s="45">
        <f>IF($A306="","",IFERROR(INDEX('Chain Program'!$D$6:$D$120,MATCH($A306,'Chain Program'!$A$6:$A$120,0)),"Unknown ID"))</f>
        <v/>
      </c>
      <c r="D306" s="48" t="n"/>
      <c r="E306" s="48" t="n"/>
      <c r="F306" s="48" t="n"/>
      <c r="G306" s="49" t="n"/>
      <c r="H306" s="49" t="n"/>
      <c r="I306" s="41" t="n"/>
      <c r="J306" s="41" t="n"/>
      <c r="K306" s="48" t="n"/>
      <c r="L306" s="45">
        <f>IF(OR($A306="",$I306="",$J306=""),"",IF(TODAY()&lt;$I306,"Upcoming",IF(TODAY()&gt;$J306,"Expired","Active")))</f>
        <v/>
      </c>
      <c r="M306" s="45">
        <f>IF($L306="Active",$J306-TODAY(),"")</f>
        <v/>
      </c>
      <c r="N306" s="48" t="n"/>
      <c r="O306" s="47">
        <f>IF($L306="Active",$A306,"")</f>
        <v/>
      </c>
    </row>
    <row r="307">
      <c r="A307" s="48" t="n"/>
      <c r="B307" s="45">
        <f>IF($A307="","",IFERROR(INDEX('Chain Program'!$B$6:$B$120,MATCH($A307,'Chain Program'!$A$6:$A$120,0)),"Unknown ID"))</f>
        <v/>
      </c>
      <c r="C307" s="45">
        <f>IF($A307="","",IFERROR(INDEX('Chain Program'!$D$6:$D$120,MATCH($A307,'Chain Program'!$A$6:$A$120,0)),"Unknown ID"))</f>
        <v/>
      </c>
      <c r="D307" s="48" t="n"/>
      <c r="E307" s="48" t="n"/>
      <c r="F307" s="48" t="n"/>
      <c r="G307" s="49" t="n"/>
      <c r="H307" s="49" t="n"/>
      <c r="I307" s="41" t="n"/>
      <c r="J307" s="41" t="n"/>
      <c r="K307" s="48" t="n"/>
      <c r="L307" s="45">
        <f>IF(OR($A307="",$I307="",$J307=""),"",IF(TODAY()&lt;$I307,"Upcoming",IF(TODAY()&gt;$J307,"Expired","Active")))</f>
        <v/>
      </c>
      <c r="M307" s="45">
        <f>IF($L307="Active",$J307-TODAY(),"")</f>
        <v/>
      </c>
      <c r="N307" s="48" t="n"/>
      <c r="O307" s="47">
        <f>IF($L307="Active",$A307,"")</f>
        <v/>
      </c>
    </row>
    <row r="308">
      <c r="A308" s="48" t="n"/>
      <c r="B308" s="45">
        <f>IF($A308="","",IFERROR(INDEX('Chain Program'!$B$6:$B$120,MATCH($A308,'Chain Program'!$A$6:$A$120,0)),"Unknown ID"))</f>
        <v/>
      </c>
      <c r="C308" s="45">
        <f>IF($A308="","",IFERROR(INDEX('Chain Program'!$D$6:$D$120,MATCH($A308,'Chain Program'!$A$6:$A$120,0)),"Unknown ID"))</f>
        <v/>
      </c>
      <c r="D308" s="48" t="n"/>
      <c r="E308" s="48" t="n"/>
      <c r="F308" s="48" t="n"/>
      <c r="G308" s="49" t="n"/>
      <c r="H308" s="49" t="n"/>
      <c r="I308" s="41" t="n"/>
      <c r="J308" s="41" t="n"/>
      <c r="K308" s="48" t="n"/>
      <c r="L308" s="45">
        <f>IF(OR($A308="",$I308="",$J308=""),"",IF(TODAY()&lt;$I308,"Upcoming",IF(TODAY()&gt;$J308,"Expired","Active")))</f>
        <v/>
      </c>
      <c r="M308" s="45">
        <f>IF($L308="Active",$J308-TODAY(),"")</f>
        <v/>
      </c>
      <c r="N308" s="48" t="n"/>
      <c r="O308" s="47">
        <f>IF($L308="Active",$A308,"")</f>
        <v/>
      </c>
    </row>
    <row r="309">
      <c r="A309" s="48" t="n"/>
      <c r="B309" s="45">
        <f>IF($A309="","",IFERROR(INDEX('Chain Program'!$B$6:$B$120,MATCH($A309,'Chain Program'!$A$6:$A$120,0)),"Unknown ID"))</f>
        <v/>
      </c>
      <c r="C309" s="45">
        <f>IF($A309="","",IFERROR(INDEX('Chain Program'!$D$6:$D$120,MATCH($A309,'Chain Program'!$A$6:$A$120,0)),"Unknown ID"))</f>
        <v/>
      </c>
      <c r="D309" s="48" t="n"/>
      <c r="E309" s="48" t="n"/>
      <c r="F309" s="48" t="n"/>
      <c r="G309" s="49" t="n"/>
      <c r="H309" s="49" t="n"/>
      <c r="I309" s="41" t="n"/>
      <c r="J309" s="41" t="n"/>
      <c r="K309" s="48" t="n"/>
      <c r="L309" s="45">
        <f>IF(OR($A309="",$I309="",$J309=""),"",IF(TODAY()&lt;$I309,"Upcoming",IF(TODAY()&gt;$J309,"Expired","Active")))</f>
        <v/>
      </c>
      <c r="M309" s="45">
        <f>IF($L309="Active",$J309-TODAY(),"")</f>
        <v/>
      </c>
      <c r="N309" s="48" t="n"/>
      <c r="O309" s="47">
        <f>IF($L309="Active",$A309,"")</f>
        <v/>
      </c>
    </row>
    <row r="310">
      <c r="A310" s="48" t="n"/>
      <c r="B310" s="45">
        <f>IF($A310="","",IFERROR(INDEX('Chain Program'!$B$6:$B$120,MATCH($A310,'Chain Program'!$A$6:$A$120,0)),"Unknown ID"))</f>
        <v/>
      </c>
      <c r="C310" s="45">
        <f>IF($A310="","",IFERROR(INDEX('Chain Program'!$D$6:$D$120,MATCH($A310,'Chain Program'!$A$6:$A$120,0)),"Unknown ID"))</f>
        <v/>
      </c>
      <c r="D310" s="48" t="n"/>
      <c r="E310" s="48" t="n"/>
      <c r="F310" s="48" t="n"/>
      <c r="G310" s="49" t="n"/>
      <c r="H310" s="49" t="n"/>
      <c r="I310" s="41" t="n"/>
      <c r="J310" s="41" t="n"/>
      <c r="K310" s="48" t="n"/>
      <c r="L310" s="45">
        <f>IF(OR($A310="",$I310="",$J310=""),"",IF(TODAY()&lt;$I310,"Upcoming",IF(TODAY()&gt;$J310,"Expired","Active")))</f>
        <v/>
      </c>
      <c r="M310" s="45">
        <f>IF($L310="Active",$J310-TODAY(),"")</f>
        <v/>
      </c>
      <c r="N310" s="48" t="n"/>
      <c r="O310" s="47">
        <f>IF($L310="Active",$A310,"")</f>
        <v/>
      </c>
    </row>
    <row r="311">
      <c r="A311" s="48" t="n"/>
      <c r="B311" s="45">
        <f>IF($A311="","",IFERROR(INDEX('Chain Program'!$B$6:$B$120,MATCH($A311,'Chain Program'!$A$6:$A$120,0)),"Unknown ID"))</f>
        <v/>
      </c>
      <c r="C311" s="45">
        <f>IF($A311="","",IFERROR(INDEX('Chain Program'!$D$6:$D$120,MATCH($A311,'Chain Program'!$A$6:$A$120,0)),"Unknown ID"))</f>
        <v/>
      </c>
      <c r="D311" s="48" t="n"/>
      <c r="E311" s="48" t="n"/>
      <c r="F311" s="48" t="n"/>
      <c r="G311" s="49" t="n"/>
      <c r="H311" s="49" t="n"/>
      <c r="I311" s="41" t="n"/>
      <c r="J311" s="41" t="n"/>
      <c r="K311" s="48" t="n"/>
      <c r="L311" s="45">
        <f>IF(OR($A311="",$I311="",$J311=""),"",IF(TODAY()&lt;$I311,"Upcoming",IF(TODAY()&gt;$J311,"Expired","Active")))</f>
        <v/>
      </c>
      <c r="M311" s="45">
        <f>IF($L311="Active",$J311-TODAY(),"")</f>
        <v/>
      </c>
      <c r="N311" s="48" t="n"/>
      <c r="O311" s="47">
        <f>IF($L311="Active",$A311,"")</f>
        <v/>
      </c>
    </row>
    <row r="312">
      <c r="A312" s="48" t="n"/>
      <c r="B312" s="45">
        <f>IF($A312="","",IFERROR(INDEX('Chain Program'!$B$6:$B$120,MATCH($A312,'Chain Program'!$A$6:$A$120,0)),"Unknown ID"))</f>
        <v/>
      </c>
      <c r="C312" s="45">
        <f>IF($A312="","",IFERROR(INDEX('Chain Program'!$D$6:$D$120,MATCH($A312,'Chain Program'!$A$6:$A$120,0)),"Unknown ID"))</f>
        <v/>
      </c>
      <c r="D312" s="48" t="n"/>
      <c r="E312" s="48" t="n"/>
      <c r="F312" s="48" t="n"/>
      <c r="G312" s="49" t="n"/>
      <c r="H312" s="49" t="n"/>
      <c r="I312" s="41" t="n"/>
      <c r="J312" s="41" t="n"/>
      <c r="K312" s="48" t="n"/>
      <c r="L312" s="45">
        <f>IF(OR($A312="",$I312="",$J312=""),"",IF(TODAY()&lt;$I312,"Upcoming",IF(TODAY()&gt;$J312,"Expired","Active")))</f>
        <v/>
      </c>
      <c r="M312" s="45">
        <f>IF($L312="Active",$J312-TODAY(),"")</f>
        <v/>
      </c>
      <c r="N312" s="48" t="n"/>
      <c r="O312" s="47">
        <f>IF($L312="Active",$A312,"")</f>
        <v/>
      </c>
    </row>
    <row r="313">
      <c r="A313" s="48" t="n"/>
      <c r="B313" s="45">
        <f>IF($A313="","",IFERROR(INDEX('Chain Program'!$B$6:$B$120,MATCH($A313,'Chain Program'!$A$6:$A$120,0)),"Unknown ID"))</f>
        <v/>
      </c>
      <c r="C313" s="45">
        <f>IF($A313="","",IFERROR(INDEX('Chain Program'!$D$6:$D$120,MATCH($A313,'Chain Program'!$A$6:$A$120,0)),"Unknown ID"))</f>
        <v/>
      </c>
      <c r="D313" s="48" t="n"/>
      <c r="E313" s="48" t="n"/>
      <c r="F313" s="48" t="n"/>
      <c r="G313" s="49" t="n"/>
      <c r="H313" s="49" t="n"/>
      <c r="I313" s="41" t="n"/>
      <c r="J313" s="41" t="n"/>
      <c r="K313" s="48" t="n"/>
      <c r="L313" s="45">
        <f>IF(OR($A313="",$I313="",$J313=""),"",IF(TODAY()&lt;$I313,"Upcoming",IF(TODAY()&gt;$J313,"Expired","Active")))</f>
        <v/>
      </c>
      <c r="M313" s="45">
        <f>IF($L313="Active",$J313-TODAY(),"")</f>
        <v/>
      </c>
      <c r="N313" s="48" t="n"/>
      <c r="O313" s="47">
        <f>IF($L313="Active",$A313,"")</f>
        <v/>
      </c>
    </row>
    <row r="314">
      <c r="A314" s="48" t="n"/>
      <c r="B314" s="45">
        <f>IF($A314="","",IFERROR(INDEX('Chain Program'!$B$6:$B$120,MATCH($A314,'Chain Program'!$A$6:$A$120,0)),"Unknown ID"))</f>
        <v/>
      </c>
      <c r="C314" s="45">
        <f>IF($A314="","",IFERROR(INDEX('Chain Program'!$D$6:$D$120,MATCH($A314,'Chain Program'!$A$6:$A$120,0)),"Unknown ID"))</f>
        <v/>
      </c>
      <c r="D314" s="48" t="n"/>
      <c r="E314" s="48" t="n"/>
      <c r="F314" s="48" t="n"/>
      <c r="G314" s="49" t="n"/>
      <c r="H314" s="49" t="n"/>
      <c r="I314" s="41" t="n"/>
      <c r="J314" s="41" t="n"/>
      <c r="K314" s="48" t="n"/>
      <c r="L314" s="45">
        <f>IF(OR($A314="",$I314="",$J314=""),"",IF(TODAY()&lt;$I314,"Upcoming",IF(TODAY()&gt;$J314,"Expired","Active")))</f>
        <v/>
      </c>
      <c r="M314" s="45">
        <f>IF($L314="Active",$J314-TODAY(),"")</f>
        <v/>
      </c>
      <c r="N314" s="48" t="n"/>
      <c r="O314" s="47">
        <f>IF($L314="Active",$A314,"")</f>
        <v/>
      </c>
    </row>
    <row r="315">
      <c r="A315" s="48" t="n"/>
      <c r="B315" s="45">
        <f>IF($A315="","",IFERROR(INDEX('Chain Program'!$B$6:$B$120,MATCH($A315,'Chain Program'!$A$6:$A$120,0)),"Unknown ID"))</f>
        <v/>
      </c>
      <c r="C315" s="45">
        <f>IF($A315="","",IFERROR(INDEX('Chain Program'!$D$6:$D$120,MATCH($A315,'Chain Program'!$A$6:$A$120,0)),"Unknown ID"))</f>
        <v/>
      </c>
      <c r="D315" s="48" t="n"/>
      <c r="E315" s="48" t="n"/>
      <c r="F315" s="48" t="n"/>
      <c r="G315" s="49" t="n"/>
      <c r="H315" s="49" t="n"/>
      <c r="I315" s="41" t="n"/>
      <c r="J315" s="41" t="n"/>
      <c r="K315" s="48" t="n"/>
      <c r="L315" s="45">
        <f>IF(OR($A315="",$I315="",$J315=""),"",IF(TODAY()&lt;$I315,"Upcoming",IF(TODAY()&gt;$J315,"Expired","Active")))</f>
        <v/>
      </c>
      <c r="M315" s="45">
        <f>IF($L315="Active",$J315-TODAY(),"")</f>
        <v/>
      </c>
      <c r="N315" s="48" t="n"/>
      <c r="O315" s="47">
        <f>IF($L315="Active",$A315,"")</f>
        <v/>
      </c>
    </row>
    <row r="316">
      <c r="A316" s="48" t="n"/>
      <c r="B316" s="45">
        <f>IF($A316="","",IFERROR(INDEX('Chain Program'!$B$6:$B$120,MATCH($A316,'Chain Program'!$A$6:$A$120,0)),"Unknown ID"))</f>
        <v/>
      </c>
      <c r="C316" s="45">
        <f>IF($A316="","",IFERROR(INDEX('Chain Program'!$D$6:$D$120,MATCH($A316,'Chain Program'!$A$6:$A$120,0)),"Unknown ID"))</f>
        <v/>
      </c>
      <c r="D316" s="48" t="n"/>
      <c r="E316" s="48" t="n"/>
      <c r="F316" s="48" t="n"/>
      <c r="G316" s="49" t="n"/>
      <c r="H316" s="49" t="n"/>
      <c r="I316" s="41" t="n"/>
      <c r="J316" s="41" t="n"/>
      <c r="K316" s="48" t="n"/>
      <c r="L316" s="45">
        <f>IF(OR($A316="",$I316="",$J316=""),"",IF(TODAY()&lt;$I316,"Upcoming",IF(TODAY()&gt;$J316,"Expired","Active")))</f>
        <v/>
      </c>
      <c r="M316" s="45">
        <f>IF($L316="Active",$J316-TODAY(),"")</f>
        <v/>
      </c>
      <c r="N316" s="48" t="n"/>
      <c r="O316" s="47">
        <f>IF($L316="Active",$A316,"")</f>
        <v/>
      </c>
    </row>
    <row r="317">
      <c r="A317" s="48" t="n"/>
      <c r="B317" s="45">
        <f>IF($A317="","",IFERROR(INDEX('Chain Program'!$B$6:$B$120,MATCH($A317,'Chain Program'!$A$6:$A$120,0)),"Unknown ID"))</f>
        <v/>
      </c>
      <c r="C317" s="45">
        <f>IF($A317="","",IFERROR(INDEX('Chain Program'!$D$6:$D$120,MATCH($A317,'Chain Program'!$A$6:$A$120,0)),"Unknown ID"))</f>
        <v/>
      </c>
      <c r="D317" s="48" t="n"/>
      <c r="E317" s="48" t="n"/>
      <c r="F317" s="48" t="n"/>
      <c r="G317" s="49" t="n"/>
      <c r="H317" s="49" t="n"/>
      <c r="I317" s="41" t="n"/>
      <c r="J317" s="41" t="n"/>
      <c r="K317" s="48" t="n"/>
      <c r="L317" s="45">
        <f>IF(OR($A317="",$I317="",$J317=""),"",IF(TODAY()&lt;$I317,"Upcoming",IF(TODAY()&gt;$J317,"Expired","Active")))</f>
        <v/>
      </c>
      <c r="M317" s="45">
        <f>IF($L317="Active",$J317-TODAY(),"")</f>
        <v/>
      </c>
      <c r="N317" s="48" t="n"/>
      <c r="O317" s="47">
        <f>IF($L317="Active",$A317,"")</f>
        <v/>
      </c>
    </row>
    <row r="318">
      <c r="A318" s="48" t="n"/>
      <c r="B318" s="45">
        <f>IF($A318="","",IFERROR(INDEX('Chain Program'!$B$6:$B$120,MATCH($A318,'Chain Program'!$A$6:$A$120,0)),"Unknown ID"))</f>
        <v/>
      </c>
      <c r="C318" s="45">
        <f>IF($A318="","",IFERROR(INDEX('Chain Program'!$D$6:$D$120,MATCH($A318,'Chain Program'!$A$6:$A$120,0)),"Unknown ID"))</f>
        <v/>
      </c>
      <c r="D318" s="48" t="n"/>
      <c r="E318" s="48" t="n"/>
      <c r="F318" s="48" t="n"/>
      <c r="G318" s="49" t="n"/>
      <c r="H318" s="49" t="n"/>
      <c r="I318" s="41" t="n"/>
      <c r="J318" s="41" t="n"/>
      <c r="K318" s="48" t="n"/>
      <c r="L318" s="45">
        <f>IF(OR($A318="",$I318="",$J318=""),"",IF(TODAY()&lt;$I318,"Upcoming",IF(TODAY()&gt;$J318,"Expired","Active")))</f>
        <v/>
      </c>
      <c r="M318" s="45">
        <f>IF($L318="Active",$J318-TODAY(),"")</f>
        <v/>
      </c>
      <c r="N318" s="48" t="n"/>
      <c r="O318" s="47">
        <f>IF($L318="Active",$A318,"")</f>
        <v/>
      </c>
    </row>
    <row r="319">
      <c r="A319" s="48" t="n"/>
      <c r="B319" s="45">
        <f>IF($A319="","",IFERROR(INDEX('Chain Program'!$B$6:$B$120,MATCH($A319,'Chain Program'!$A$6:$A$120,0)),"Unknown ID"))</f>
        <v/>
      </c>
      <c r="C319" s="45">
        <f>IF($A319="","",IFERROR(INDEX('Chain Program'!$D$6:$D$120,MATCH($A319,'Chain Program'!$A$6:$A$120,0)),"Unknown ID"))</f>
        <v/>
      </c>
      <c r="D319" s="48" t="n"/>
      <c r="E319" s="48" t="n"/>
      <c r="F319" s="48" t="n"/>
      <c r="G319" s="49" t="n"/>
      <c r="H319" s="49" t="n"/>
      <c r="I319" s="41" t="n"/>
      <c r="J319" s="41" t="n"/>
      <c r="K319" s="48" t="n"/>
      <c r="L319" s="45">
        <f>IF(OR($A319="",$I319="",$J319=""),"",IF(TODAY()&lt;$I319,"Upcoming",IF(TODAY()&gt;$J319,"Expired","Active")))</f>
        <v/>
      </c>
      <c r="M319" s="45">
        <f>IF($L319="Active",$J319-TODAY(),"")</f>
        <v/>
      </c>
      <c r="N319" s="48" t="n"/>
      <c r="O319" s="47">
        <f>IF($L319="Active",$A319,"")</f>
        <v/>
      </c>
    </row>
    <row r="320">
      <c r="A320" s="48" t="n"/>
      <c r="B320" s="45">
        <f>IF($A320="","",IFERROR(INDEX('Chain Program'!$B$6:$B$120,MATCH($A320,'Chain Program'!$A$6:$A$120,0)),"Unknown ID"))</f>
        <v/>
      </c>
      <c r="C320" s="45">
        <f>IF($A320="","",IFERROR(INDEX('Chain Program'!$D$6:$D$120,MATCH($A320,'Chain Program'!$A$6:$A$120,0)),"Unknown ID"))</f>
        <v/>
      </c>
      <c r="D320" s="48" t="n"/>
      <c r="E320" s="48" t="n"/>
      <c r="F320" s="48" t="n"/>
      <c r="G320" s="49" t="n"/>
      <c r="H320" s="49" t="n"/>
      <c r="I320" s="41" t="n"/>
      <c r="J320" s="41" t="n"/>
      <c r="K320" s="48" t="n"/>
      <c r="L320" s="45">
        <f>IF(OR($A320="",$I320="",$J320=""),"",IF(TODAY()&lt;$I320,"Upcoming",IF(TODAY()&gt;$J320,"Expired","Active")))</f>
        <v/>
      </c>
      <c r="M320" s="45">
        <f>IF($L320="Active",$J320-TODAY(),"")</f>
        <v/>
      </c>
      <c r="N320" s="48" t="n"/>
      <c r="O320" s="47">
        <f>IF($L320="Active",$A320,"")</f>
        <v/>
      </c>
    </row>
    <row r="321">
      <c r="A321" s="48" t="n"/>
      <c r="B321" s="45">
        <f>IF($A321="","",IFERROR(INDEX('Chain Program'!$B$6:$B$120,MATCH($A321,'Chain Program'!$A$6:$A$120,0)),"Unknown ID"))</f>
        <v/>
      </c>
      <c r="C321" s="45">
        <f>IF($A321="","",IFERROR(INDEX('Chain Program'!$D$6:$D$120,MATCH($A321,'Chain Program'!$A$6:$A$120,0)),"Unknown ID"))</f>
        <v/>
      </c>
      <c r="D321" s="48" t="n"/>
      <c r="E321" s="48" t="n"/>
      <c r="F321" s="48" t="n"/>
      <c r="G321" s="49" t="n"/>
      <c r="H321" s="49" t="n"/>
      <c r="I321" s="41" t="n"/>
      <c r="J321" s="41" t="n"/>
      <c r="K321" s="48" t="n"/>
      <c r="L321" s="45">
        <f>IF(OR($A321="",$I321="",$J321=""),"",IF(TODAY()&lt;$I321,"Upcoming",IF(TODAY()&gt;$J321,"Expired","Active")))</f>
        <v/>
      </c>
      <c r="M321" s="45">
        <f>IF($L321="Active",$J321-TODAY(),"")</f>
        <v/>
      </c>
      <c r="N321" s="48" t="n"/>
      <c r="O321" s="47">
        <f>IF($L321="Active",$A321,"")</f>
        <v/>
      </c>
    </row>
    <row r="322">
      <c r="A322" s="48" t="n"/>
      <c r="B322" s="45">
        <f>IF($A322="","",IFERROR(INDEX('Chain Program'!$B$6:$B$120,MATCH($A322,'Chain Program'!$A$6:$A$120,0)),"Unknown ID"))</f>
        <v/>
      </c>
      <c r="C322" s="45">
        <f>IF($A322="","",IFERROR(INDEX('Chain Program'!$D$6:$D$120,MATCH($A322,'Chain Program'!$A$6:$A$120,0)),"Unknown ID"))</f>
        <v/>
      </c>
      <c r="D322" s="48" t="n"/>
      <c r="E322" s="48" t="n"/>
      <c r="F322" s="48" t="n"/>
      <c r="G322" s="49" t="n"/>
      <c r="H322" s="49" t="n"/>
      <c r="I322" s="41" t="n"/>
      <c r="J322" s="41" t="n"/>
      <c r="K322" s="48" t="n"/>
      <c r="L322" s="45">
        <f>IF(OR($A322="",$I322="",$J322=""),"",IF(TODAY()&lt;$I322,"Upcoming",IF(TODAY()&gt;$J322,"Expired","Active")))</f>
        <v/>
      </c>
      <c r="M322" s="45">
        <f>IF($L322="Active",$J322-TODAY(),"")</f>
        <v/>
      </c>
      <c r="N322" s="48" t="n"/>
      <c r="O322" s="47">
        <f>IF($L322="Active",$A322,"")</f>
        <v/>
      </c>
    </row>
    <row r="323">
      <c r="A323" s="48" t="n"/>
      <c r="B323" s="45">
        <f>IF($A323="","",IFERROR(INDEX('Chain Program'!$B$6:$B$120,MATCH($A323,'Chain Program'!$A$6:$A$120,0)),"Unknown ID"))</f>
        <v/>
      </c>
      <c r="C323" s="45">
        <f>IF($A323="","",IFERROR(INDEX('Chain Program'!$D$6:$D$120,MATCH($A323,'Chain Program'!$A$6:$A$120,0)),"Unknown ID"))</f>
        <v/>
      </c>
      <c r="D323" s="48" t="n"/>
      <c r="E323" s="48" t="n"/>
      <c r="F323" s="48" t="n"/>
      <c r="G323" s="49" t="n"/>
      <c r="H323" s="49" t="n"/>
      <c r="I323" s="41" t="n"/>
      <c r="J323" s="41" t="n"/>
      <c r="K323" s="48" t="n"/>
      <c r="L323" s="45">
        <f>IF(OR($A323="",$I323="",$J323=""),"",IF(TODAY()&lt;$I323,"Upcoming",IF(TODAY()&gt;$J323,"Expired","Active")))</f>
        <v/>
      </c>
      <c r="M323" s="45">
        <f>IF($L323="Active",$J323-TODAY(),"")</f>
        <v/>
      </c>
      <c r="N323" s="48" t="n"/>
      <c r="O323" s="47">
        <f>IF($L323="Active",$A323,"")</f>
        <v/>
      </c>
    </row>
    <row r="324">
      <c r="A324" s="48" t="n"/>
      <c r="B324" s="45">
        <f>IF($A324="","",IFERROR(INDEX('Chain Program'!$B$6:$B$120,MATCH($A324,'Chain Program'!$A$6:$A$120,0)),"Unknown ID"))</f>
        <v/>
      </c>
      <c r="C324" s="45">
        <f>IF($A324="","",IFERROR(INDEX('Chain Program'!$D$6:$D$120,MATCH($A324,'Chain Program'!$A$6:$A$120,0)),"Unknown ID"))</f>
        <v/>
      </c>
      <c r="D324" s="48" t="n"/>
      <c r="E324" s="48" t="n"/>
      <c r="F324" s="48" t="n"/>
      <c r="G324" s="49" t="n"/>
      <c r="H324" s="49" t="n"/>
      <c r="I324" s="41" t="n"/>
      <c r="J324" s="41" t="n"/>
      <c r="K324" s="48" t="n"/>
      <c r="L324" s="45">
        <f>IF(OR($A324="",$I324="",$J324=""),"",IF(TODAY()&lt;$I324,"Upcoming",IF(TODAY()&gt;$J324,"Expired","Active")))</f>
        <v/>
      </c>
      <c r="M324" s="45">
        <f>IF($L324="Active",$J324-TODAY(),"")</f>
        <v/>
      </c>
      <c r="N324" s="48" t="n"/>
      <c r="O324" s="47">
        <f>IF($L324="Active",$A324,"")</f>
        <v/>
      </c>
    </row>
    <row r="325">
      <c r="A325" s="48" t="n"/>
      <c r="B325" s="45">
        <f>IF($A325="","",IFERROR(INDEX('Chain Program'!$B$6:$B$120,MATCH($A325,'Chain Program'!$A$6:$A$120,0)),"Unknown ID"))</f>
        <v/>
      </c>
      <c r="C325" s="45">
        <f>IF($A325="","",IFERROR(INDEX('Chain Program'!$D$6:$D$120,MATCH($A325,'Chain Program'!$A$6:$A$120,0)),"Unknown ID"))</f>
        <v/>
      </c>
      <c r="D325" s="48" t="n"/>
      <c r="E325" s="48" t="n"/>
      <c r="F325" s="48" t="n"/>
      <c r="G325" s="49" t="n"/>
      <c r="H325" s="49" t="n"/>
      <c r="I325" s="41" t="n"/>
      <c r="J325" s="41" t="n"/>
      <c r="K325" s="48" t="n"/>
      <c r="L325" s="45">
        <f>IF(OR($A325="",$I325="",$J325=""),"",IF(TODAY()&lt;$I325,"Upcoming",IF(TODAY()&gt;$J325,"Expired","Active")))</f>
        <v/>
      </c>
      <c r="M325" s="45">
        <f>IF($L325="Active",$J325-TODAY(),"")</f>
        <v/>
      </c>
      <c r="N325" s="48" t="n"/>
      <c r="O325" s="47">
        <f>IF($L325="Active",$A325,"")</f>
        <v/>
      </c>
    </row>
    <row r="326">
      <c r="A326" s="48" t="n"/>
      <c r="B326" s="45">
        <f>IF($A326="","",IFERROR(INDEX('Chain Program'!$B$6:$B$120,MATCH($A326,'Chain Program'!$A$6:$A$120,0)),"Unknown ID"))</f>
        <v/>
      </c>
      <c r="C326" s="45">
        <f>IF($A326="","",IFERROR(INDEX('Chain Program'!$D$6:$D$120,MATCH($A326,'Chain Program'!$A$6:$A$120,0)),"Unknown ID"))</f>
        <v/>
      </c>
      <c r="D326" s="48" t="n"/>
      <c r="E326" s="48" t="n"/>
      <c r="F326" s="48" t="n"/>
      <c r="G326" s="49" t="n"/>
      <c r="H326" s="49" t="n"/>
      <c r="I326" s="41" t="n"/>
      <c r="J326" s="41" t="n"/>
      <c r="K326" s="48" t="n"/>
      <c r="L326" s="45">
        <f>IF(OR($A326="",$I326="",$J326=""),"",IF(TODAY()&lt;$I326,"Upcoming",IF(TODAY()&gt;$J326,"Expired","Active")))</f>
        <v/>
      </c>
      <c r="M326" s="45">
        <f>IF($L326="Active",$J326-TODAY(),"")</f>
        <v/>
      </c>
      <c r="N326" s="48" t="n"/>
      <c r="O326" s="47">
        <f>IF($L326="Active",$A326,"")</f>
        <v/>
      </c>
    </row>
    <row r="327">
      <c r="A327" s="48" t="n"/>
      <c r="B327" s="45">
        <f>IF($A327="","",IFERROR(INDEX('Chain Program'!$B$6:$B$120,MATCH($A327,'Chain Program'!$A$6:$A$120,0)),"Unknown ID"))</f>
        <v/>
      </c>
      <c r="C327" s="45">
        <f>IF($A327="","",IFERROR(INDEX('Chain Program'!$D$6:$D$120,MATCH($A327,'Chain Program'!$A$6:$A$120,0)),"Unknown ID"))</f>
        <v/>
      </c>
      <c r="D327" s="48" t="n"/>
      <c r="E327" s="48" t="n"/>
      <c r="F327" s="48" t="n"/>
      <c r="G327" s="49" t="n"/>
      <c r="H327" s="49" t="n"/>
      <c r="I327" s="41" t="n"/>
      <c r="J327" s="41" t="n"/>
      <c r="K327" s="48" t="n"/>
      <c r="L327" s="45">
        <f>IF(OR($A327="",$I327="",$J327=""),"",IF(TODAY()&lt;$I327,"Upcoming",IF(TODAY()&gt;$J327,"Expired","Active")))</f>
        <v/>
      </c>
      <c r="M327" s="45">
        <f>IF($L327="Active",$J327-TODAY(),"")</f>
        <v/>
      </c>
      <c r="N327" s="48" t="n"/>
      <c r="O327" s="47">
        <f>IF($L327="Active",$A327,"")</f>
        <v/>
      </c>
    </row>
    <row r="328">
      <c r="A328" s="48" t="n"/>
      <c r="B328" s="45">
        <f>IF($A328="","",IFERROR(INDEX('Chain Program'!$B$6:$B$120,MATCH($A328,'Chain Program'!$A$6:$A$120,0)),"Unknown ID"))</f>
        <v/>
      </c>
      <c r="C328" s="45">
        <f>IF($A328="","",IFERROR(INDEX('Chain Program'!$D$6:$D$120,MATCH($A328,'Chain Program'!$A$6:$A$120,0)),"Unknown ID"))</f>
        <v/>
      </c>
      <c r="D328" s="48" t="n"/>
      <c r="E328" s="48" t="n"/>
      <c r="F328" s="48" t="n"/>
      <c r="G328" s="49" t="n"/>
      <c r="H328" s="49" t="n"/>
      <c r="I328" s="41" t="n"/>
      <c r="J328" s="41" t="n"/>
      <c r="K328" s="48" t="n"/>
      <c r="L328" s="45">
        <f>IF(OR($A328="",$I328="",$J328=""),"",IF(TODAY()&lt;$I328,"Upcoming",IF(TODAY()&gt;$J328,"Expired","Active")))</f>
        <v/>
      </c>
      <c r="M328" s="45">
        <f>IF($L328="Active",$J328-TODAY(),"")</f>
        <v/>
      </c>
      <c r="N328" s="48" t="n"/>
      <c r="O328" s="47">
        <f>IF($L328="Active",$A328,"")</f>
        <v/>
      </c>
    </row>
    <row r="329">
      <c r="A329" s="48" t="n"/>
      <c r="B329" s="45">
        <f>IF($A329="","",IFERROR(INDEX('Chain Program'!$B$6:$B$120,MATCH($A329,'Chain Program'!$A$6:$A$120,0)),"Unknown ID"))</f>
        <v/>
      </c>
      <c r="C329" s="45">
        <f>IF($A329="","",IFERROR(INDEX('Chain Program'!$D$6:$D$120,MATCH($A329,'Chain Program'!$A$6:$A$120,0)),"Unknown ID"))</f>
        <v/>
      </c>
      <c r="D329" s="48" t="n"/>
      <c r="E329" s="48" t="n"/>
      <c r="F329" s="48" t="n"/>
      <c r="G329" s="49" t="n"/>
      <c r="H329" s="49" t="n"/>
      <c r="I329" s="41" t="n"/>
      <c r="J329" s="41" t="n"/>
      <c r="K329" s="48" t="n"/>
      <c r="L329" s="45">
        <f>IF(OR($A329="",$I329="",$J329=""),"",IF(TODAY()&lt;$I329,"Upcoming",IF(TODAY()&gt;$J329,"Expired","Active")))</f>
        <v/>
      </c>
      <c r="M329" s="45">
        <f>IF($L329="Active",$J329-TODAY(),"")</f>
        <v/>
      </c>
      <c r="N329" s="48" t="n"/>
      <c r="O329" s="47">
        <f>IF($L329="Active",$A329,"")</f>
        <v/>
      </c>
    </row>
    <row r="330">
      <c r="A330" s="48" t="n"/>
      <c r="B330" s="45">
        <f>IF($A330="","",IFERROR(INDEX('Chain Program'!$B$6:$B$120,MATCH($A330,'Chain Program'!$A$6:$A$120,0)),"Unknown ID"))</f>
        <v/>
      </c>
      <c r="C330" s="45">
        <f>IF($A330="","",IFERROR(INDEX('Chain Program'!$D$6:$D$120,MATCH($A330,'Chain Program'!$A$6:$A$120,0)),"Unknown ID"))</f>
        <v/>
      </c>
      <c r="D330" s="48" t="n"/>
      <c r="E330" s="48" t="n"/>
      <c r="F330" s="48" t="n"/>
      <c r="G330" s="49" t="n"/>
      <c r="H330" s="49" t="n"/>
      <c r="I330" s="41" t="n"/>
      <c r="J330" s="41" t="n"/>
      <c r="K330" s="48" t="n"/>
      <c r="L330" s="45">
        <f>IF(OR($A330="",$I330="",$J330=""),"",IF(TODAY()&lt;$I330,"Upcoming",IF(TODAY()&gt;$J330,"Expired","Active")))</f>
        <v/>
      </c>
      <c r="M330" s="45">
        <f>IF($L330="Active",$J330-TODAY(),"")</f>
        <v/>
      </c>
      <c r="N330" s="48" t="n"/>
      <c r="O330" s="47">
        <f>IF($L330="Active",$A330,"")</f>
        <v/>
      </c>
    </row>
    <row r="331">
      <c r="A331" s="48" t="n"/>
      <c r="B331" s="45">
        <f>IF($A331="","",IFERROR(INDEX('Chain Program'!$B$6:$B$120,MATCH($A331,'Chain Program'!$A$6:$A$120,0)),"Unknown ID"))</f>
        <v/>
      </c>
      <c r="C331" s="45">
        <f>IF($A331="","",IFERROR(INDEX('Chain Program'!$D$6:$D$120,MATCH($A331,'Chain Program'!$A$6:$A$120,0)),"Unknown ID"))</f>
        <v/>
      </c>
      <c r="D331" s="48" t="n"/>
      <c r="E331" s="48" t="n"/>
      <c r="F331" s="48" t="n"/>
      <c r="G331" s="49" t="n"/>
      <c r="H331" s="49" t="n"/>
      <c r="I331" s="41" t="n"/>
      <c r="J331" s="41" t="n"/>
      <c r="K331" s="48" t="n"/>
      <c r="L331" s="45">
        <f>IF(OR($A331="",$I331="",$J331=""),"",IF(TODAY()&lt;$I331,"Upcoming",IF(TODAY()&gt;$J331,"Expired","Active")))</f>
        <v/>
      </c>
      <c r="M331" s="45">
        <f>IF($L331="Active",$J331-TODAY(),"")</f>
        <v/>
      </c>
      <c r="N331" s="48" t="n"/>
      <c r="O331" s="47">
        <f>IF($L331="Active",$A331,"")</f>
        <v/>
      </c>
    </row>
    <row r="332">
      <c r="A332" s="48" t="n"/>
      <c r="B332" s="45">
        <f>IF($A332="","",IFERROR(INDEX('Chain Program'!$B$6:$B$120,MATCH($A332,'Chain Program'!$A$6:$A$120,0)),"Unknown ID"))</f>
        <v/>
      </c>
      <c r="C332" s="45">
        <f>IF($A332="","",IFERROR(INDEX('Chain Program'!$D$6:$D$120,MATCH($A332,'Chain Program'!$A$6:$A$120,0)),"Unknown ID"))</f>
        <v/>
      </c>
      <c r="D332" s="48" t="n"/>
      <c r="E332" s="48" t="n"/>
      <c r="F332" s="48" t="n"/>
      <c r="G332" s="49" t="n"/>
      <c r="H332" s="49" t="n"/>
      <c r="I332" s="41" t="n"/>
      <c r="J332" s="41" t="n"/>
      <c r="K332" s="48" t="n"/>
      <c r="L332" s="45">
        <f>IF(OR($A332="",$I332="",$J332=""),"",IF(TODAY()&lt;$I332,"Upcoming",IF(TODAY()&gt;$J332,"Expired","Active")))</f>
        <v/>
      </c>
      <c r="M332" s="45">
        <f>IF($L332="Active",$J332-TODAY(),"")</f>
        <v/>
      </c>
      <c r="N332" s="48" t="n"/>
      <c r="O332" s="47">
        <f>IF($L332="Active",$A332,"")</f>
        <v/>
      </c>
    </row>
    <row r="333">
      <c r="A333" s="48" t="n"/>
      <c r="B333" s="45">
        <f>IF($A333="","",IFERROR(INDEX('Chain Program'!$B$6:$B$120,MATCH($A333,'Chain Program'!$A$6:$A$120,0)),"Unknown ID"))</f>
        <v/>
      </c>
      <c r="C333" s="45">
        <f>IF($A333="","",IFERROR(INDEX('Chain Program'!$D$6:$D$120,MATCH($A333,'Chain Program'!$A$6:$A$120,0)),"Unknown ID"))</f>
        <v/>
      </c>
      <c r="D333" s="48" t="n"/>
      <c r="E333" s="48" t="n"/>
      <c r="F333" s="48" t="n"/>
      <c r="G333" s="49" t="n"/>
      <c r="H333" s="49" t="n"/>
      <c r="I333" s="41" t="n"/>
      <c r="J333" s="41" t="n"/>
      <c r="K333" s="48" t="n"/>
      <c r="L333" s="45">
        <f>IF(OR($A333="",$I333="",$J333=""),"",IF(TODAY()&lt;$I333,"Upcoming",IF(TODAY()&gt;$J333,"Expired","Active")))</f>
        <v/>
      </c>
      <c r="M333" s="45">
        <f>IF($L333="Active",$J333-TODAY(),"")</f>
        <v/>
      </c>
      <c r="N333" s="48" t="n"/>
      <c r="O333" s="47">
        <f>IF($L333="Active",$A333,"")</f>
        <v/>
      </c>
    </row>
    <row r="334">
      <c r="A334" s="48" t="n"/>
      <c r="B334" s="45">
        <f>IF($A334="","",IFERROR(INDEX('Chain Program'!$B$6:$B$120,MATCH($A334,'Chain Program'!$A$6:$A$120,0)),"Unknown ID"))</f>
        <v/>
      </c>
      <c r="C334" s="45">
        <f>IF($A334="","",IFERROR(INDEX('Chain Program'!$D$6:$D$120,MATCH($A334,'Chain Program'!$A$6:$A$120,0)),"Unknown ID"))</f>
        <v/>
      </c>
      <c r="D334" s="48" t="n"/>
      <c r="E334" s="48" t="n"/>
      <c r="F334" s="48" t="n"/>
      <c r="G334" s="49" t="n"/>
      <c r="H334" s="49" t="n"/>
      <c r="I334" s="41" t="n"/>
      <c r="J334" s="41" t="n"/>
      <c r="K334" s="48" t="n"/>
      <c r="L334" s="45">
        <f>IF(OR($A334="",$I334="",$J334=""),"",IF(TODAY()&lt;$I334,"Upcoming",IF(TODAY()&gt;$J334,"Expired","Active")))</f>
        <v/>
      </c>
      <c r="M334" s="45">
        <f>IF($L334="Active",$J334-TODAY(),"")</f>
        <v/>
      </c>
      <c r="N334" s="48" t="n"/>
      <c r="O334" s="47">
        <f>IF($L334="Active",$A334,"")</f>
        <v/>
      </c>
    </row>
    <row r="335">
      <c r="A335" s="48" t="n"/>
      <c r="B335" s="45">
        <f>IF($A335="","",IFERROR(INDEX('Chain Program'!$B$6:$B$120,MATCH($A335,'Chain Program'!$A$6:$A$120,0)),"Unknown ID"))</f>
        <v/>
      </c>
      <c r="C335" s="45">
        <f>IF($A335="","",IFERROR(INDEX('Chain Program'!$D$6:$D$120,MATCH($A335,'Chain Program'!$A$6:$A$120,0)),"Unknown ID"))</f>
        <v/>
      </c>
      <c r="D335" s="48" t="n"/>
      <c r="E335" s="48" t="n"/>
      <c r="F335" s="48" t="n"/>
      <c r="G335" s="49" t="n"/>
      <c r="H335" s="49" t="n"/>
      <c r="I335" s="41" t="n"/>
      <c r="J335" s="41" t="n"/>
      <c r="K335" s="48" t="n"/>
      <c r="L335" s="45">
        <f>IF(OR($A335="",$I335="",$J335=""),"",IF(TODAY()&lt;$I335,"Upcoming",IF(TODAY()&gt;$J335,"Expired","Active")))</f>
        <v/>
      </c>
      <c r="M335" s="45">
        <f>IF($L335="Active",$J335-TODAY(),"")</f>
        <v/>
      </c>
      <c r="N335" s="48" t="n"/>
      <c r="O335" s="47">
        <f>IF($L335="Active",$A335,"")</f>
        <v/>
      </c>
    </row>
    <row r="336">
      <c r="A336" s="48" t="n"/>
      <c r="B336" s="45">
        <f>IF($A336="","",IFERROR(INDEX('Chain Program'!$B$6:$B$120,MATCH($A336,'Chain Program'!$A$6:$A$120,0)),"Unknown ID"))</f>
        <v/>
      </c>
      <c r="C336" s="45">
        <f>IF($A336="","",IFERROR(INDEX('Chain Program'!$D$6:$D$120,MATCH($A336,'Chain Program'!$A$6:$A$120,0)),"Unknown ID"))</f>
        <v/>
      </c>
      <c r="D336" s="48" t="n"/>
      <c r="E336" s="48" t="n"/>
      <c r="F336" s="48" t="n"/>
      <c r="G336" s="49" t="n"/>
      <c r="H336" s="49" t="n"/>
      <c r="I336" s="41" t="n"/>
      <c r="J336" s="41" t="n"/>
      <c r="K336" s="48" t="n"/>
      <c r="L336" s="45">
        <f>IF(OR($A336="",$I336="",$J336=""),"",IF(TODAY()&lt;$I336,"Upcoming",IF(TODAY()&gt;$J336,"Expired","Active")))</f>
        <v/>
      </c>
      <c r="M336" s="45">
        <f>IF($L336="Active",$J336-TODAY(),"")</f>
        <v/>
      </c>
      <c r="N336" s="48" t="n"/>
      <c r="O336" s="47">
        <f>IF($L336="Active",$A336,"")</f>
        <v/>
      </c>
    </row>
    <row r="337">
      <c r="A337" s="48" t="n"/>
      <c r="B337" s="45">
        <f>IF($A337="","",IFERROR(INDEX('Chain Program'!$B$6:$B$120,MATCH($A337,'Chain Program'!$A$6:$A$120,0)),"Unknown ID"))</f>
        <v/>
      </c>
      <c r="C337" s="45">
        <f>IF($A337="","",IFERROR(INDEX('Chain Program'!$D$6:$D$120,MATCH($A337,'Chain Program'!$A$6:$A$120,0)),"Unknown ID"))</f>
        <v/>
      </c>
      <c r="D337" s="48" t="n"/>
      <c r="E337" s="48" t="n"/>
      <c r="F337" s="48" t="n"/>
      <c r="G337" s="49" t="n"/>
      <c r="H337" s="49" t="n"/>
      <c r="I337" s="41" t="n"/>
      <c r="J337" s="41" t="n"/>
      <c r="K337" s="48" t="n"/>
      <c r="L337" s="45">
        <f>IF(OR($A337="",$I337="",$J337=""),"",IF(TODAY()&lt;$I337,"Upcoming",IF(TODAY()&gt;$J337,"Expired","Active")))</f>
        <v/>
      </c>
      <c r="M337" s="45">
        <f>IF($L337="Active",$J337-TODAY(),"")</f>
        <v/>
      </c>
      <c r="N337" s="48" t="n"/>
      <c r="O337" s="47">
        <f>IF($L337="Active",$A337,"")</f>
        <v/>
      </c>
    </row>
    <row r="338">
      <c r="A338" s="48" t="n"/>
      <c r="B338" s="45">
        <f>IF($A338="","",IFERROR(INDEX('Chain Program'!$B$6:$B$120,MATCH($A338,'Chain Program'!$A$6:$A$120,0)),"Unknown ID"))</f>
        <v/>
      </c>
      <c r="C338" s="45">
        <f>IF($A338="","",IFERROR(INDEX('Chain Program'!$D$6:$D$120,MATCH($A338,'Chain Program'!$A$6:$A$120,0)),"Unknown ID"))</f>
        <v/>
      </c>
      <c r="D338" s="48" t="n"/>
      <c r="E338" s="48" t="n"/>
      <c r="F338" s="48" t="n"/>
      <c r="G338" s="49" t="n"/>
      <c r="H338" s="49" t="n"/>
      <c r="I338" s="41" t="n"/>
      <c r="J338" s="41" t="n"/>
      <c r="K338" s="48" t="n"/>
      <c r="L338" s="45">
        <f>IF(OR($A338="",$I338="",$J338=""),"",IF(TODAY()&lt;$I338,"Upcoming",IF(TODAY()&gt;$J338,"Expired","Active")))</f>
        <v/>
      </c>
      <c r="M338" s="45">
        <f>IF($L338="Active",$J338-TODAY(),"")</f>
        <v/>
      </c>
      <c r="N338" s="48" t="n"/>
      <c r="O338" s="47">
        <f>IF($L338="Active",$A338,"")</f>
        <v/>
      </c>
    </row>
    <row r="339">
      <c r="A339" s="48" t="n"/>
      <c r="B339" s="45">
        <f>IF($A339="","",IFERROR(INDEX('Chain Program'!$B$6:$B$120,MATCH($A339,'Chain Program'!$A$6:$A$120,0)),"Unknown ID"))</f>
        <v/>
      </c>
      <c r="C339" s="45">
        <f>IF($A339="","",IFERROR(INDEX('Chain Program'!$D$6:$D$120,MATCH($A339,'Chain Program'!$A$6:$A$120,0)),"Unknown ID"))</f>
        <v/>
      </c>
      <c r="D339" s="48" t="n"/>
      <c r="E339" s="48" t="n"/>
      <c r="F339" s="48" t="n"/>
      <c r="G339" s="49" t="n"/>
      <c r="H339" s="49" t="n"/>
      <c r="I339" s="41" t="n"/>
      <c r="J339" s="41" t="n"/>
      <c r="K339" s="48" t="n"/>
      <c r="L339" s="45">
        <f>IF(OR($A339="",$I339="",$J339=""),"",IF(TODAY()&lt;$I339,"Upcoming",IF(TODAY()&gt;$J339,"Expired","Active")))</f>
        <v/>
      </c>
      <c r="M339" s="45">
        <f>IF($L339="Active",$J339-TODAY(),"")</f>
        <v/>
      </c>
      <c r="N339" s="48" t="n"/>
      <c r="O339" s="47">
        <f>IF($L339="Active",$A339,"")</f>
        <v/>
      </c>
    </row>
    <row r="340">
      <c r="A340" s="48" t="n"/>
      <c r="B340" s="45">
        <f>IF($A340="","",IFERROR(INDEX('Chain Program'!$B$6:$B$120,MATCH($A340,'Chain Program'!$A$6:$A$120,0)),"Unknown ID"))</f>
        <v/>
      </c>
      <c r="C340" s="45">
        <f>IF($A340="","",IFERROR(INDEX('Chain Program'!$D$6:$D$120,MATCH($A340,'Chain Program'!$A$6:$A$120,0)),"Unknown ID"))</f>
        <v/>
      </c>
      <c r="D340" s="48" t="n"/>
      <c r="E340" s="48" t="n"/>
      <c r="F340" s="48" t="n"/>
      <c r="G340" s="49" t="n"/>
      <c r="H340" s="49" t="n"/>
      <c r="I340" s="41" t="n"/>
      <c r="J340" s="41" t="n"/>
      <c r="K340" s="48" t="n"/>
      <c r="L340" s="45">
        <f>IF(OR($A340="",$I340="",$J340=""),"",IF(TODAY()&lt;$I340,"Upcoming",IF(TODAY()&gt;$J340,"Expired","Active")))</f>
        <v/>
      </c>
      <c r="M340" s="45">
        <f>IF($L340="Active",$J340-TODAY(),"")</f>
        <v/>
      </c>
      <c r="N340" s="48" t="n"/>
      <c r="O340" s="47">
        <f>IF($L340="Active",$A340,"")</f>
        <v/>
      </c>
    </row>
    <row r="341">
      <c r="A341" s="48" t="n"/>
      <c r="B341" s="45">
        <f>IF($A341="","",IFERROR(INDEX('Chain Program'!$B$6:$B$120,MATCH($A341,'Chain Program'!$A$6:$A$120,0)),"Unknown ID"))</f>
        <v/>
      </c>
      <c r="C341" s="45">
        <f>IF($A341="","",IFERROR(INDEX('Chain Program'!$D$6:$D$120,MATCH($A341,'Chain Program'!$A$6:$A$120,0)),"Unknown ID"))</f>
        <v/>
      </c>
      <c r="D341" s="48" t="n"/>
      <c r="E341" s="48" t="n"/>
      <c r="F341" s="48" t="n"/>
      <c r="G341" s="49" t="n"/>
      <c r="H341" s="49" t="n"/>
      <c r="I341" s="41" t="n"/>
      <c r="J341" s="41" t="n"/>
      <c r="K341" s="48" t="n"/>
      <c r="L341" s="45">
        <f>IF(OR($A341="",$I341="",$J341=""),"",IF(TODAY()&lt;$I341,"Upcoming",IF(TODAY()&gt;$J341,"Expired","Active")))</f>
        <v/>
      </c>
      <c r="M341" s="45">
        <f>IF($L341="Active",$J341-TODAY(),"")</f>
        <v/>
      </c>
      <c r="N341" s="48" t="n"/>
      <c r="O341" s="47">
        <f>IF($L341="Active",$A341,"")</f>
        <v/>
      </c>
    </row>
    <row r="342">
      <c r="A342" s="48" t="n"/>
      <c r="B342" s="45">
        <f>IF($A342="","",IFERROR(INDEX('Chain Program'!$B$6:$B$120,MATCH($A342,'Chain Program'!$A$6:$A$120,0)),"Unknown ID"))</f>
        <v/>
      </c>
      <c r="C342" s="45">
        <f>IF($A342="","",IFERROR(INDEX('Chain Program'!$D$6:$D$120,MATCH($A342,'Chain Program'!$A$6:$A$120,0)),"Unknown ID"))</f>
        <v/>
      </c>
      <c r="D342" s="48" t="n"/>
      <c r="E342" s="48" t="n"/>
      <c r="F342" s="48" t="n"/>
      <c r="G342" s="49" t="n"/>
      <c r="H342" s="49" t="n"/>
      <c r="I342" s="41" t="n"/>
      <c r="J342" s="41" t="n"/>
      <c r="K342" s="48" t="n"/>
      <c r="L342" s="45">
        <f>IF(OR($A342="",$I342="",$J342=""),"",IF(TODAY()&lt;$I342,"Upcoming",IF(TODAY()&gt;$J342,"Expired","Active")))</f>
        <v/>
      </c>
      <c r="M342" s="45">
        <f>IF($L342="Active",$J342-TODAY(),"")</f>
        <v/>
      </c>
      <c r="N342" s="48" t="n"/>
      <c r="O342" s="47">
        <f>IF($L342="Active",$A342,"")</f>
        <v/>
      </c>
    </row>
    <row r="343">
      <c r="A343" s="48" t="n"/>
      <c r="B343" s="45">
        <f>IF($A343="","",IFERROR(INDEX('Chain Program'!$B$6:$B$120,MATCH($A343,'Chain Program'!$A$6:$A$120,0)),"Unknown ID"))</f>
        <v/>
      </c>
      <c r="C343" s="45">
        <f>IF($A343="","",IFERROR(INDEX('Chain Program'!$D$6:$D$120,MATCH($A343,'Chain Program'!$A$6:$A$120,0)),"Unknown ID"))</f>
        <v/>
      </c>
      <c r="D343" s="48" t="n"/>
      <c r="E343" s="48" t="n"/>
      <c r="F343" s="48" t="n"/>
      <c r="G343" s="49" t="n"/>
      <c r="H343" s="49" t="n"/>
      <c r="I343" s="41" t="n"/>
      <c r="J343" s="41" t="n"/>
      <c r="K343" s="48" t="n"/>
      <c r="L343" s="45">
        <f>IF(OR($A343="",$I343="",$J343=""),"",IF(TODAY()&lt;$I343,"Upcoming",IF(TODAY()&gt;$J343,"Expired","Active")))</f>
        <v/>
      </c>
      <c r="M343" s="45">
        <f>IF($L343="Active",$J343-TODAY(),"")</f>
        <v/>
      </c>
      <c r="N343" s="48" t="n"/>
      <c r="O343" s="47">
        <f>IF($L343="Active",$A343,"")</f>
        <v/>
      </c>
    </row>
    <row r="344">
      <c r="A344" s="48" t="n"/>
      <c r="B344" s="45">
        <f>IF($A344="","",IFERROR(INDEX('Chain Program'!$B$6:$B$120,MATCH($A344,'Chain Program'!$A$6:$A$120,0)),"Unknown ID"))</f>
        <v/>
      </c>
      <c r="C344" s="45">
        <f>IF($A344="","",IFERROR(INDEX('Chain Program'!$D$6:$D$120,MATCH($A344,'Chain Program'!$A$6:$A$120,0)),"Unknown ID"))</f>
        <v/>
      </c>
      <c r="D344" s="48" t="n"/>
      <c r="E344" s="48" t="n"/>
      <c r="F344" s="48" t="n"/>
      <c r="G344" s="49" t="n"/>
      <c r="H344" s="49" t="n"/>
      <c r="I344" s="41" t="n"/>
      <c r="J344" s="41" t="n"/>
      <c r="K344" s="48" t="n"/>
      <c r="L344" s="45">
        <f>IF(OR($A344="",$I344="",$J344=""),"",IF(TODAY()&lt;$I344,"Upcoming",IF(TODAY()&gt;$J344,"Expired","Active")))</f>
        <v/>
      </c>
      <c r="M344" s="45">
        <f>IF($L344="Active",$J344-TODAY(),"")</f>
        <v/>
      </c>
      <c r="N344" s="48" t="n"/>
      <c r="O344" s="47">
        <f>IF($L344="Active",$A344,"")</f>
        <v/>
      </c>
    </row>
    <row r="345">
      <c r="A345" s="48" t="n"/>
      <c r="B345" s="45">
        <f>IF($A345="","",IFERROR(INDEX('Chain Program'!$B$6:$B$120,MATCH($A345,'Chain Program'!$A$6:$A$120,0)),"Unknown ID"))</f>
        <v/>
      </c>
      <c r="C345" s="45">
        <f>IF($A345="","",IFERROR(INDEX('Chain Program'!$D$6:$D$120,MATCH($A345,'Chain Program'!$A$6:$A$120,0)),"Unknown ID"))</f>
        <v/>
      </c>
      <c r="D345" s="48" t="n"/>
      <c r="E345" s="48" t="n"/>
      <c r="F345" s="48" t="n"/>
      <c r="G345" s="49" t="n"/>
      <c r="H345" s="49" t="n"/>
      <c r="I345" s="41" t="n"/>
      <c r="J345" s="41" t="n"/>
      <c r="K345" s="48" t="n"/>
      <c r="L345" s="45">
        <f>IF(OR($A345="",$I345="",$J345=""),"",IF(TODAY()&lt;$I345,"Upcoming",IF(TODAY()&gt;$J345,"Expired","Active")))</f>
        <v/>
      </c>
      <c r="M345" s="45">
        <f>IF($L345="Active",$J345-TODAY(),"")</f>
        <v/>
      </c>
      <c r="N345" s="48" t="n"/>
      <c r="O345" s="47">
        <f>IF($L345="Active",$A345,"")</f>
        <v/>
      </c>
    </row>
    <row r="346">
      <c r="A346" s="48" t="n"/>
      <c r="B346" s="45">
        <f>IF($A346="","",IFERROR(INDEX('Chain Program'!$B$6:$B$120,MATCH($A346,'Chain Program'!$A$6:$A$120,0)),"Unknown ID"))</f>
        <v/>
      </c>
      <c r="C346" s="45">
        <f>IF($A346="","",IFERROR(INDEX('Chain Program'!$D$6:$D$120,MATCH($A346,'Chain Program'!$A$6:$A$120,0)),"Unknown ID"))</f>
        <v/>
      </c>
      <c r="D346" s="48" t="n"/>
      <c r="E346" s="48" t="n"/>
      <c r="F346" s="48" t="n"/>
      <c r="G346" s="49" t="n"/>
      <c r="H346" s="49" t="n"/>
      <c r="I346" s="41" t="n"/>
      <c r="J346" s="41" t="n"/>
      <c r="K346" s="48" t="n"/>
      <c r="L346" s="45">
        <f>IF(OR($A346="",$I346="",$J346=""),"",IF(TODAY()&lt;$I346,"Upcoming",IF(TODAY()&gt;$J346,"Expired","Active")))</f>
        <v/>
      </c>
      <c r="M346" s="45">
        <f>IF($L346="Active",$J346-TODAY(),"")</f>
        <v/>
      </c>
      <c r="N346" s="48" t="n"/>
      <c r="O346" s="47">
        <f>IF($L346="Active",$A346,"")</f>
        <v/>
      </c>
    </row>
    <row r="347">
      <c r="A347" s="48" t="n"/>
      <c r="B347" s="45">
        <f>IF($A347="","",IFERROR(INDEX('Chain Program'!$B$6:$B$120,MATCH($A347,'Chain Program'!$A$6:$A$120,0)),"Unknown ID"))</f>
        <v/>
      </c>
      <c r="C347" s="45">
        <f>IF($A347="","",IFERROR(INDEX('Chain Program'!$D$6:$D$120,MATCH($A347,'Chain Program'!$A$6:$A$120,0)),"Unknown ID"))</f>
        <v/>
      </c>
      <c r="D347" s="48" t="n"/>
      <c r="E347" s="48" t="n"/>
      <c r="F347" s="48" t="n"/>
      <c r="G347" s="49" t="n"/>
      <c r="H347" s="49" t="n"/>
      <c r="I347" s="41" t="n"/>
      <c r="J347" s="41" t="n"/>
      <c r="K347" s="48" t="n"/>
      <c r="L347" s="45">
        <f>IF(OR($A347="",$I347="",$J347=""),"",IF(TODAY()&lt;$I347,"Upcoming",IF(TODAY()&gt;$J347,"Expired","Active")))</f>
        <v/>
      </c>
      <c r="M347" s="45">
        <f>IF($L347="Active",$J347-TODAY(),"")</f>
        <v/>
      </c>
      <c r="N347" s="48" t="n"/>
      <c r="O347" s="47">
        <f>IF($L347="Active",$A347,"")</f>
        <v/>
      </c>
    </row>
    <row r="348">
      <c r="A348" s="48" t="n"/>
      <c r="B348" s="45">
        <f>IF($A348="","",IFERROR(INDEX('Chain Program'!$B$6:$B$120,MATCH($A348,'Chain Program'!$A$6:$A$120,0)),"Unknown ID"))</f>
        <v/>
      </c>
      <c r="C348" s="45">
        <f>IF($A348="","",IFERROR(INDEX('Chain Program'!$D$6:$D$120,MATCH($A348,'Chain Program'!$A$6:$A$120,0)),"Unknown ID"))</f>
        <v/>
      </c>
      <c r="D348" s="48" t="n"/>
      <c r="E348" s="48" t="n"/>
      <c r="F348" s="48" t="n"/>
      <c r="G348" s="49" t="n"/>
      <c r="H348" s="49" t="n"/>
      <c r="I348" s="41" t="n"/>
      <c r="J348" s="41" t="n"/>
      <c r="K348" s="48" t="n"/>
      <c r="L348" s="45">
        <f>IF(OR($A348="",$I348="",$J348=""),"",IF(TODAY()&lt;$I348,"Upcoming",IF(TODAY()&gt;$J348,"Expired","Active")))</f>
        <v/>
      </c>
      <c r="M348" s="45">
        <f>IF($L348="Active",$J348-TODAY(),"")</f>
        <v/>
      </c>
      <c r="N348" s="48" t="n"/>
      <c r="O348" s="47">
        <f>IF($L348="Active",$A348,"")</f>
        <v/>
      </c>
    </row>
    <row r="349">
      <c r="A349" s="48" t="n"/>
      <c r="B349" s="45">
        <f>IF($A349="","",IFERROR(INDEX('Chain Program'!$B$6:$B$120,MATCH($A349,'Chain Program'!$A$6:$A$120,0)),"Unknown ID"))</f>
        <v/>
      </c>
      <c r="C349" s="45">
        <f>IF($A349="","",IFERROR(INDEX('Chain Program'!$D$6:$D$120,MATCH($A349,'Chain Program'!$A$6:$A$120,0)),"Unknown ID"))</f>
        <v/>
      </c>
      <c r="D349" s="48" t="n"/>
      <c r="E349" s="48" t="n"/>
      <c r="F349" s="48" t="n"/>
      <c r="G349" s="49" t="n"/>
      <c r="H349" s="49" t="n"/>
      <c r="I349" s="41" t="n"/>
      <c r="J349" s="41" t="n"/>
      <c r="K349" s="48" t="n"/>
      <c r="L349" s="45">
        <f>IF(OR($A349="",$I349="",$J349=""),"",IF(TODAY()&lt;$I349,"Upcoming",IF(TODAY()&gt;$J349,"Expired","Active")))</f>
        <v/>
      </c>
      <c r="M349" s="45">
        <f>IF($L349="Active",$J349-TODAY(),"")</f>
        <v/>
      </c>
      <c r="N349" s="48" t="n"/>
      <c r="O349" s="47">
        <f>IF($L349="Active",$A349,"")</f>
        <v/>
      </c>
    </row>
    <row r="350">
      <c r="A350" s="48" t="n"/>
      <c r="B350" s="45">
        <f>IF($A350="","",IFERROR(INDEX('Chain Program'!$B$6:$B$120,MATCH($A350,'Chain Program'!$A$6:$A$120,0)),"Unknown ID"))</f>
        <v/>
      </c>
      <c r="C350" s="45">
        <f>IF($A350="","",IFERROR(INDEX('Chain Program'!$D$6:$D$120,MATCH($A350,'Chain Program'!$A$6:$A$120,0)),"Unknown ID"))</f>
        <v/>
      </c>
      <c r="D350" s="48" t="n"/>
      <c r="E350" s="48" t="n"/>
      <c r="F350" s="48" t="n"/>
      <c r="G350" s="49" t="n"/>
      <c r="H350" s="49" t="n"/>
      <c r="I350" s="41" t="n"/>
      <c r="J350" s="41" t="n"/>
      <c r="K350" s="48" t="n"/>
      <c r="L350" s="45">
        <f>IF(OR($A350="",$I350="",$J350=""),"",IF(TODAY()&lt;$I350,"Upcoming",IF(TODAY()&gt;$J350,"Expired","Active")))</f>
        <v/>
      </c>
      <c r="M350" s="45">
        <f>IF($L350="Active",$J350-TODAY(),"")</f>
        <v/>
      </c>
      <c r="N350" s="48" t="n"/>
      <c r="O350" s="47">
        <f>IF($L350="Active",$A350,"")</f>
        <v/>
      </c>
    </row>
    <row r="351">
      <c r="A351" s="48" t="n"/>
      <c r="B351" s="45">
        <f>IF($A351="","",IFERROR(INDEX('Chain Program'!$B$6:$B$120,MATCH($A351,'Chain Program'!$A$6:$A$120,0)),"Unknown ID"))</f>
        <v/>
      </c>
      <c r="C351" s="45">
        <f>IF($A351="","",IFERROR(INDEX('Chain Program'!$D$6:$D$120,MATCH($A351,'Chain Program'!$A$6:$A$120,0)),"Unknown ID"))</f>
        <v/>
      </c>
      <c r="D351" s="48" t="n"/>
      <c r="E351" s="48" t="n"/>
      <c r="F351" s="48" t="n"/>
      <c r="G351" s="49" t="n"/>
      <c r="H351" s="49" t="n"/>
      <c r="I351" s="41" t="n"/>
      <c r="J351" s="41" t="n"/>
      <c r="K351" s="48" t="n"/>
      <c r="L351" s="45">
        <f>IF(OR($A351="",$I351="",$J351=""),"",IF(TODAY()&lt;$I351,"Upcoming",IF(TODAY()&gt;$J351,"Expired","Active")))</f>
        <v/>
      </c>
      <c r="M351" s="45">
        <f>IF($L351="Active",$J351-TODAY(),"")</f>
        <v/>
      </c>
      <c r="N351" s="48" t="n"/>
      <c r="O351" s="47">
        <f>IF($L351="Active",$A351,"")</f>
        <v/>
      </c>
    </row>
    <row r="352">
      <c r="A352" s="48" t="n"/>
      <c r="B352" s="45">
        <f>IF($A352="","",IFERROR(INDEX('Chain Program'!$B$6:$B$120,MATCH($A352,'Chain Program'!$A$6:$A$120,0)),"Unknown ID"))</f>
        <v/>
      </c>
      <c r="C352" s="45">
        <f>IF($A352="","",IFERROR(INDEX('Chain Program'!$D$6:$D$120,MATCH($A352,'Chain Program'!$A$6:$A$120,0)),"Unknown ID"))</f>
        <v/>
      </c>
      <c r="D352" s="48" t="n"/>
      <c r="E352" s="48" t="n"/>
      <c r="F352" s="48" t="n"/>
      <c r="G352" s="49" t="n"/>
      <c r="H352" s="49" t="n"/>
      <c r="I352" s="41" t="n"/>
      <c r="J352" s="41" t="n"/>
      <c r="K352" s="48" t="n"/>
      <c r="L352" s="45">
        <f>IF(OR($A352="",$I352="",$J352=""),"",IF(TODAY()&lt;$I352,"Upcoming",IF(TODAY()&gt;$J352,"Expired","Active")))</f>
        <v/>
      </c>
      <c r="M352" s="45">
        <f>IF($L352="Active",$J352-TODAY(),"")</f>
        <v/>
      </c>
      <c r="N352" s="48" t="n"/>
      <c r="O352" s="47">
        <f>IF($L352="Active",$A352,"")</f>
        <v/>
      </c>
    </row>
    <row r="353">
      <c r="A353" s="48" t="n"/>
      <c r="B353" s="45">
        <f>IF($A353="","",IFERROR(INDEX('Chain Program'!$B$6:$B$120,MATCH($A353,'Chain Program'!$A$6:$A$120,0)),"Unknown ID"))</f>
        <v/>
      </c>
      <c r="C353" s="45">
        <f>IF($A353="","",IFERROR(INDEX('Chain Program'!$D$6:$D$120,MATCH($A353,'Chain Program'!$A$6:$A$120,0)),"Unknown ID"))</f>
        <v/>
      </c>
      <c r="D353" s="48" t="n"/>
      <c r="E353" s="48" t="n"/>
      <c r="F353" s="48" t="n"/>
      <c r="G353" s="49" t="n"/>
      <c r="H353" s="49" t="n"/>
      <c r="I353" s="41" t="n"/>
      <c r="J353" s="41" t="n"/>
      <c r="K353" s="48" t="n"/>
      <c r="L353" s="45">
        <f>IF(OR($A353="",$I353="",$J353=""),"",IF(TODAY()&lt;$I353,"Upcoming",IF(TODAY()&gt;$J353,"Expired","Active")))</f>
        <v/>
      </c>
      <c r="M353" s="45">
        <f>IF($L353="Active",$J353-TODAY(),"")</f>
        <v/>
      </c>
      <c r="N353" s="48" t="n"/>
      <c r="O353" s="47">
        <f>IF($L353="Active",$A353,"")</f>
        <v/>
      </c>
    </row>
    <row r="354">
      <c r="A354" s="48" t="n"/>
      <c r="B354" s="45">
        <f>IF($A354="","",IFERROR(INDEX('Chain Program'!$B$6:$B$120,MATCH($A354,'Chain Program'!$A$6:$A$120,0)),"Unknown ID"))</f>
        <v/>
      </c>
      <c r="C354" s="45">
        <f>IF($A354="","",IFERROR(INDEX('Chain Program'!$D$6:$D$120,MATCH($A354,'Chain Program'!$A$6:$A$120,0)),"Unknown ID"))</f>
        <v/>
      </c>
      <c r="D354" s="48" t="n"/>
      <c r="E354" s="48" t="n"/>
      <c r="F354" s="48" t="n"/>
      <c r="G354" s="49" t="n"/>
      <c r="H354" s="49" t="n"/>
      <c r="I354" s="41" t="n"/>
      <c r="J354" s="41" t="n"/>
      <c r="K354" s="48" t="n"/>
      <c r="L354" s="45">
        <f>IF(OR($A354="",$I354="",$J354=""),"",IF(TODAY()&lt;$I354,"Upcoming",IF(TODAY()&gt;$J354,"Expired","Active")))</f>
        <v/>
      </c>
      <c r="M354" s="45">
        <f>IF($L354="Active",$J354-TODAY(),"")</f>
        <v/>
      </c>
      <c r="N354" s="48" t="n"/>
      <c r="O354" s="47">
        <f>IF($L354="Active",$A354,"")</f>
        <v/>
      </c>
    </row>
    <row r="355">
      <c r="A355" s="48" t="n"/>
      <c r="B355" s="45">
        <f>IF($A355="","",IFERROR(INDEX('Chain Program'!$B$6:$B$120,MATCH($A355,'Chain Program'!$A$6:$A$120,0)),"Unknown ID"))</f>
        <v/>
      </c>
      <c r="C355" s="45">
        <f>IF($A355="","",IFERROR(INDEX('Chain Program'!$D$6:$D$120,MATCH($A355,'Chain Program'!$A$6:$A$120,0)),"Unknown ID"))</f>
        <v/>
      </c>
      <c r="D355" s="48" t="n"/>
      <c r="E355" s="48" t="n"/>
      <c r="F355" s="48" t="n"/>
      <c r="G355" s="49" t="n"/>
      <c r="H355" s="49" t="n"/>
      <c r="I355" s="41" t="n"/>
      <c r="J355" s="41" t="n"/>
      <c r="K355" s="48" t="n"/>
      <c r="L355" s="45">
        <f>IF(OR($A355="",$I355="",$J355=""),"",IF(TODAY()&lt;$I355,"Upcoming",IF(TODAY()&gt;$J355,"Expired","Active")))</f>
        <v/>
      </c>
      <c r="M355" s="45">
        <f>IF($L355="Active",$J355-TODAY(),"")</f>
        <v/>
      </c>
      <c r="N355" s="48" t="n"/>
      <c r="O355" s="47">
        <f>IF($L355="Active",$A355,"")</f>
        <v/>
      </c>
    </row>
    <row r="356">
      <c r="A356" s="48" t="n"/>
      <c r="B356" s="45">
        <f>IF($A356="","",IFERROR(INDEX('Chain Program'!$B$6:$B$120,MATCH($A356,'Chain Program'!$A$6:$A$120,0)),"Unknown ID"))</f>
        <v/>
      </c>
      <c r="C356" s="45">
        <f>IF($A356="","",IFERROR(INDEX('Chain Program'!$D$6:$D$120,MATCH($A356,'Chain Program'!$A$6:$A$120,0)),"Unknown ID"))</f>
        <v/>
      </c>
      <c r="D356" s="48" t="n"/>
      <c r="E356" s="48" t="n"/>
      <c r="F356" s="48" t="n"/>
      <c r="G356" s="49" t="n"/>
      <c r="H356" s="49" t="n"/>
      <c r="I356" s="41" t="n"/>
      <c r="J356" s="41" t="n"/>
      <c r="K356" s="48" t="n"/>
      <c r="L356" s="45">
        <f>IF(OR($A356="",$I356="",$J356=""),"",IF(TODAY()&lt;$I356,"Upcoming",IF(TODAY()&gt;$J356,"Expired","Active")))</f>
        <v/>
      </c>
      <c r="M356" s="45">
        <f>IF($L356="Active",$J356-TODAY(),"")</f>
        <v/>
      </c>
      <c r="N356" s="48" t="n"/>
      <c r="O356" s="47">
        <f>IF($L356="Active",$A356,"")</f>
        <v/>
      </c>
    </row>
    <row r="357">
      <c r="A357" s="48" t="n"/>
      <c r="B357" s="45">
        <f>IF($A357="","",IFERROR(INDEX('Chain Program'!$B$6:$B$120,MATCH($A357,'Chain Program'!$A$6:$A$120,0)),"Unknown ID"))</f>
        <v/>
      </c>
      <c r="C357" s="45">
        <f>IF($A357="","",IFERROR(INDEX('Chain Program'!$D$6:$D$120,MATCH($A357,'Chain Program'!$A$6:$A$120,0)),"Unknown ID"))</f>
        <v/>
      </c>
      <c r="D357" s="48" t="n"/>
      <c r="E357" s="48" t="n"/>
      <c r="F357" s="48" t="n"/>
      <c r="G357" s="49" t="n"/>
      <c r="H357" s="49" t="n"/>
      <c r="I357" s="41" t="n"/>
      <c r="J357" s="41" t="n"/>
      <c r="K357" s="48" t="n"/>
      <c r="L357" s="45">
        <f>IF(OR($A357="",$I357="",$J357=""),"",IF(TODAY()&lt;$I357,"Upcoming",IF(TODAY()&gt;$J357,"Expired","Active")))</f>
        <v/>
      </c>
      <c r="M357" s="45">
        <f>IF($L357="Active",$J357-TODAY(),"")</f>
        <v/>
      </c>
      <c r="N357" s="48" t="n"/>
      <c r="O357" s="47">
        <f>IF($L357="Active",$A357,"")</f>
        <v/>
      </c>
    </row>
    <row r="358">
      <c r="A358" s="48" t="n"/>
      <c r="B358" s="45">
        <f>IF($A358="","",IFERROR(INDEX('Chain Program'!$B$6:$B$120,MATCH($A358,'Chain Program'!$A$6:$A$120,0)),"Unknown ID"))</f>
        <v/>
      </c>
      <c r="C358" s="45">
        <f>IF($A358="","",IFERROR(INDEX('Chain Program'!$D$6:$D$120,MATCH($A358,'Chain Program'!$A$6:$A$120,0)),"Unknown ID"))</f>
        <v/>
      </c>
      <c r="D358" s="48" t="n"/>
      <c r="E358" s="48" t="n"/>
      <c r="F358" s="48" t="n"/>
      <c r="G358" s="49" t="n"/>
      <c r="H358" s="49" t="n"/>
      <c r="I358" s="41" t="n"/>
      <c r="J358" s="41" t="n"/>
      <c r="K358" s="48" t="n"/>
      <c r="L358" s="45">
        <f>IF(OR($A358="",$I358="",$J358=""),"",IF(TODAY()&lt;$I358,"Upcoming",IF(TODAY()&gt;$J358,"Expired","Active")))</f>
        <v/>
      </c>
      <c r="M358" s="45">
        <f>IF($L358="Active",$J358-TODAY(),"")</f>
        <v/>
      </c>
      <c r="N358" s="48" t="n"/>
      <c r="O358" s="47">
        <f>IF($L358="Active",$A358,"")</f>
        <v/>
      </c>
    </row>
    <row r="359">
      <c r="A359" s="48" t="n"/>
      <c r="B359" s="45">
        <f>IF($A359="","",IFERROR(INDEX('Chain Program'!$B$6:$B$120,MATCH($A359,'Chain Program'!$A$6:$A$120,0)),"Unknown ID"))</f>
        <v/>
      </c>
      <c r="C359" s="45">
        <f>IF($A359="","",IFERROR(INDEX('Chain Program'!$D$6:$D$120,MATCH($A359,'Chain Program'!$A$6:$A$120,0)),"Unknown ID"))</f>
        <v/>
      </c>
      <c r="D359" s="48" t="n"/>
      <c r="E359" s="48" t="n"/>
      <c r="F359" s="48" t="n"/>
      <c r="G359" s="49" t="n"/>
      <c r="H359" s="49" t="n"/>
      <c r="I359" s="41" t="n"/>
      <c r="J359" s="41" t="n"/>
      <c r="K359" s="48" t="n"/>
      <c r="L359" s="45">
        <f>IF(OR($A359="",$I359="",$J359=""),"",IF(TODAY()&lt;$I359,"Upcoming",IF(TODAY()&gt;$J359,"Expired","Active")))</f>
        <v/>
      </c>
      <c r="M359" s="45">
        <f>IF($L359="Active",$J359-TODAY(),"")</f>
        <v/>
      </c>
      <c r="N359" s="48" t="n"/>
      <c r="O359" s="47">
        <f>IF($L359="Active",$A359,"")</f>
        <v/>
      </c>
    </row>
    <row r="360">
      <c r="A360" s="48" t="n"/>
      <c r="B360" s="45">
        <f>IF($A360="","",IFERROR(INDEX('Chain Program'!$B$6:$B$120,MATCH($A360,'Chain Program'!$A$6:$A$120,0)),"Unknown ID"))</f>
        <v/>
      </c>
      <c r="C360" s="45">
        <f>IF($A360="","",IFERROR(INDEX('Chain Program'!$D$6:$D$120,MATCH($A360,'Chain Program'!$A$6:$A$120,0)),"Unknown ID"))</f>
        <v/>
      </c>
      <c r="D360" s="48" t="n"/>
      <c r="E360" s="48" t="n"/>
      <c r="F360" s="48" t="n"/>
      <c r="G360" s="49" t="n"/>
      <c r="H360" s="49" t="n"/>
      <c r="I360" s="41" t="n"/>
      <c r="J360" s="41" t="n"/>
      <c r="K360" s="48" t="n"/>
      <c r="L360" s="45">
        <f>IF(OR($A360="",$I360="",$J360=""),"",IF(TODAY()&lt;$I360,"Upcoming",IF(TODAY()&gt;$J360,"Expired","Active")))</f>
        <v/>
      </c>
      <c r="M360" s="45">
        <f>IF($L360="Active",$J360-TODAY(),"")</f>
        <v/>
      </c>
      <c r="N360" s="48" t="n"/>
      <c r="O360" s="47">
        <f>IF($L360="Active",$A360,"")</f>
        <v/>
      </c>
    </row>
    <row r="361">
      <c r="A361" s="48" t="n"/>
      <c r="B361" s="45">
        <f>IF($A361="","",IFERROR(INDEX('Chain Program'!$B$6:$B$120,MATCH($A361,'Chain Program'!$A$6:$A$120,0)),"Unknown ID"))</f>
        <v/>
      </c>
      <c r="C361" s="45">
        <f>IF($A361="","",IFERROR(INDEX('Chain Program'!$D$6:$D$120,MATCH($A361,'Chain Program'!$A$6:$A$120,0)),"Unknown ID"))</f>
        <v/>
      </c>
      <c r="D361" s="48" t="n"/>
      <c r="E361" s="48" t="n"/>
      <c r="F361" s="48" t="n"/>
      <c r="G361" s="49" t="n"/>
      <c r="H361" s="49" t="n"/>
      <c r="I361" s="41" t="n"/>
      <c r="J361" s="41" t="n"/>
      <c r="K361" s="48" t="n"/>
      <c r="L361" s="45">
        <f>IF(OR($A361="",$I361="",$J361=""),"",IF(TODAY()&lt;$I361,"Upcoming",IF(TODAY()&gt;$J361,"Expired","Active")))</f>
        <v/>
      </c>
      <c r="M361" s="45">
        <f>IF($L361="Active",$J361-TODAY(),"")</f>
        <v/>
      </c>
      <c r="N361" s="48" t="n"/>
      <c r="O361" s="47">
        <f>IF($L361="Active",$A361,"")</f>
        <v/>
      </c>
    </row>
    <row r="362">
      <c r="A362" s="48" t="n"/>
      <c r="B362" s="45">
        <f>IF($A362="","",IFERROR(INDEX('Chain Program'!$B$6:$B$120,MATCH($A362,'Chain Program'!$A$6:$A$120,0)),"Unknown ID"))</f>
        <v/>
      </c>
      <c r="C362" s="45">
        <f>IF($A362="","",IFERROR(INDEX('Chain Program'!$D$6:$D$120,MATCH($A362,'Chain Program'!$A$6:$A$120,0)),"Unknown ID"))</f>
        <v/>
      </c>
      <c r="D362" s="48" t="n"/>
      <c r="E362" s="48" t="n"/>
      <c r="F362" s="48" t="n"/>
      <c r="G362" s="49" t="n"/>
      <c r="H362" s="49" t="n"/>
      <c r="I362" s="41" t="n"/>
      <c r="J362" s="41" t="n"/>
      <c r="K362" s="48" t="n"/>
      <c r="L362" s="45">
        <f>IF(OR($A362="",$I362="",$J362=""),"",IF(TODAY()&lt;$I362,"Upcoming",IF(TODAY()&gt;$J362,"Expired","Active")))</f>
        <v/>
      </c>
      <c r="M362" s="45">
        <f>IF($L362="Active",$J362-TODAY(),"")</f>
        <v/>
      </c>
      <c r="N362" s="48" t="n"/>
      <c r="O362" s="47">
        <f>IF($L362="Active",$A362,"")</f>
        <v/>
      </c>
    </row>
    <row r="363">
      <c r="A363" s="48" t="n"/>
      <c r="B363" s="45">
        <f>IF($A363="","",IFERROR(INDEX('Chain Program'!$B$6:$B$120,MATCH($A363,'Chain Program'!$A$6:$A$120,0)),"Unknown ID"))</f>
        <v/>
      </c>
      <c r="C363" s="45">
        <f>IF($A363="","",IFERROR(INDEX('Chain Program'!$D$6:$D$120,MATCH($A363,'Chain Program'!$A$6:$A$120,0)),"Unknown ID"))</f>
        <v/>
      </c>
      <c r="D363" s="48" t="n"/>
      <c r="E363" s="48" t="n"/>
      <c r="F363" s="48" t="n"/>
      <c r="G363" s="49" t="n"/>
      <c r="H363" s="49" t="n"/>
      <c r="I363" s="41" t="n"/>
      <c r="J363" s="41" t="n"/>
      <c r="K363" s="48" t="n"/>
      <c r="L363" s="45">
        <f>IF(OR($A363="",$I363="",$J363=""),"",IF(TODAY()&lt;$I363,"Upcoming",IF(TODAY()&gt;$J363,"Expired","Active")))</f>
        <v/>
      </c>
      <c r="M363" s="45">
        <f>IF($L363="Active",$J363-TODAY(),"")</f>
        <v/>
      </c>
      <c r="N363" s="48" t="n"/>
      <c r="O363" s="47">
        <f>IF($L363="Active",$A363,"")</f>
        <v/>
      </c>
    </row>
    <row r="364">
      <c r="A364" s="48" t="n"/>
      <c r="B364" s="45">
        <f>IF($A364="","",IFERROR(INDEX('Chain Program'!$B$6:$B$120,MATCH($A364,'Chain Program'!$A$6:$A$120,0)),"Unknown ID"))</f>
        <v/>
      </c>
      <c r="C364" s="45">
        <f>IF($A364="","",IFERROR(INDEX('Chain Program'!$D$6:$D$120,MATCH($A364,'Chain Program'!$A$6:$A$120,0)),"Unknown ID"))</f>
        <v/>
      </c>
      <c r="D364" s="48" t="n"/>
      <c r="E364" s="48" t="n"/>
      <c r="F364" s="48" t="n"/>
      <c r="G364" s="49" t="n"/>
      <c r="H364" s="49" t="n"/>
      <c r="I364" s="41" t="n"/>
      <c r="J364" s="41" t="n"/>
      <c r="K364" s="48" t="n"/>
      <c r="L364" s="45">
        <f>IF(OR($A364="",$I364="",$J364=""),"",IF(TODAY()&lt;$I364,"Upcoming",IF(TODAY()&gt;$J364,"Expired","Active")))</f>
        <v/>
      </c>
      <c r="M364" s="45">
        <f>IF($L364="Active",$J364-TODAY(),"")</f>
        <v/>
      </c>
      <c r="N364" s="48" t="n"/>
      <c r="O364" s="47">
        <f>IF($L364="Active",$A364,"")</f>
        <v/>
      </c>
    </row>
    <row r="365">
      <c r="A365" s="48" t="n"/>
      <c r="B365" s="45">
        <f>IF($A365="","",IFERROR(INDEX('Chain Program'!$B$6:$B$120,MATCH($A365,'Chain Program'!$A$6:$A$120,0)),"Unknown ID"))</f>
        <v/>
      </c>
      <c r="C365" s="45">
        <f>IF($A365="","",IFERROR(INDEX('Chain Program'!$D$6:$D$120,MATCH($A365,'Chain Program'!$A$6:$A$120,0)),"Unknown ID"))</f>
        <v/>
      </c>
      <c r="D365" s="48" t="n"/>
      <c r="E365" s="48" t="n"/>
      <c r="F365" s="48" t="n"/>
      <c r="G365" s="49" t="n"/>
      <c r="H365" s="49" t="n"/>
      <c r="I365" s="41" t="n"/>
      <c r="J365" s="41" t="n"/>
      <c r="K365" s="48" t="n"/>
      <c r="L365" s="45">
        <f>IF(OR($A365="",$I365="",$J365=""),"",IF(TODAY()&lt;$I365,"Upcoming",IF(TODAY()&gt;$J365,"Expired","Active")))</f>
        <v/>
      </c>
      <c r="M365" s="45">
        <f>IF($L365="Active",$J365-TODAY(),"")</f>
        <v/>
      </c>
      <c r="N365" s="48" t="n"/>
      <c r="O365" s="47">
        <f>IF($L365="Active",$A365,"")</f>
        <v/>
      </c>
    </row>
    <row r="366">
      <c r="A366" s="48" t="n"/>
      <c r="B366" s="45">
        <f>IF($A366="","",IFERROR(INDEX('Chain Program'!$B$6:$B$120,MATCH($A366,'Chain Program'!$A$6:$A$120,0)),"Unknown ID"))</f>
        <v/>
      </c>
      <c r="C366" s="45">
        <f>IF($A366="","",IFERROR(INDEX('Chain Program'!$D$6:$D$120,MATCH($A366,'Chain Program'!$A$6:$A$120,0)),"Unknown ID"))</f>
        <v/>
      </c>
      <c r="D366" s="48" t="n"/>
      <c r="E366" s="48" t="n"/>
      <c r="F366" s="48" t="n"/>
      <c r="G366" s="49" t="n"/>
      <c r="H366" s="49" t="n"/>
      <c r="I366" s="41" t="n"/>
      <c r="J366" s="41" t="n"/>
      <c r="K366" s="48" t="n"/>
      <c r="L366" s="45">
        <f>IF(OR($A366="",$I366="",$J366=""),"",IF(TODAY()&lt;$I366,"Upcoming",IF(TODAY()&gt;$J366,"Expired","Active")))</f>
        <v/>
      </c>
      <c r="M366" s="45">
        <f>IF($L366="Active",$J366-TODAY(),"")</f>
        <v/>
      </c>
      <c r="N366" s="48" t="n"/>
      <c r="O366" s="47">
        <f>IF($L366="Active",$A366,"")</f>
        <v/>
      </c>
    </row>
    <row r="367">
      <c r="A367" s="48" t="n"/>
      <c r="B367" s="45">
        <f>IF($A367="","",IFERROR(INDEX('Chain Program'!$B$6:$B$120,MATCH($A367,'Chain Program'!$A$6:$A$120,0)),"Unknown ID"))</f>
        <v/>
      </c>
      <c r="C367" s="45">
        <f>IF($A367="","",IFERROR(INDEX('Chain Program'!$D$6:$D$120,MATCH($A367,'Chain Program'!$A$6:$A$120,0)),"Unknown ID"))</f>
        <v/>
      </c>
      <c r="D367" s="48" t="n"/>
      <c r="E367" s="48" t="n"/>
      <c r="F367" s="48" t="n"/>
      <c r="G367" s="49" t="n"/>
      <c r="H367" s="49" t="n"/>
      <c r="I367" s="41" t="n"/>
      <c r="J367" s="41" t="n"/>
      <c r="K367" s="48" t="n"/>
      <c r="L367" s="45">
        <f>IF(OR($A367="",$I367="",$J367=""),"",IF(TODAY()&lt;$I367,"Upcoming",IF(TODAY()&gt;$J367,"Expired","Active")))</f>
        <v/>
      </c>
      <c r="M367" s="45">
        <f>IF($L367="Active",$J367-TODAY(),"")</f>
        <v/>
      </c>
      <c r="N367" s="48" t="n"/>
      <c r="O367" s="47">
        <f>IF($L367="Active",$A367,"")</f>
        <v/>
      </c>
    </row>
    <row r="368">
      <c r="A368" s="48" t="n"/>
      <c r="B368" s="45">
        <f>IF($A368="","",IFERROR(INDEX('Chain Program'!$B$6:$B$120,MATCH($A368,'Chain Program'!$A$6:$A$120,0)),"Unknown ID"))</f>
        <v/>
      </c>
      <c r="C368" s="45">
        <f>IF($A368="","",IFERROR(INDEX('Chain Program'!$D$6:$D$120,MATCH($A368,'Chain Program'!$A$6:$A$120,0)),"Unknown ID"))</f>
        <v/>
      </c>
      <c r="D368" s="48" t="n"/>
      <c r="E368" s="48" t="n"/>
      <c r="F368" s="48" t="n"/>
      <c r="G368" s="49" t="n"/>
      <c r="H368" s="49" t="n"/>
      <c r="I368" s="41" t="n"/>
      <c r="J368" s="41" t="n"/>
      <c r="K368" s="48" t="n"/>
      <c r="L368" s="45">
        <f>IF(OR($A368="",$I368="",$J368=""),"",IF(TODAY()&lt;$I368,"Upcoming",IF(TODAY()&gt;$J368,"Expired","Active")))</f>
        <v/>
      </c>
      <c r="M368" s="45">
        <f>IF($L368="Active",$J368-TODAY(),"")</f>
        <v/>
      </c>
      <c r="N368" s="48" t="n"/>
      <c r="O368" s="47">
        <f>IF($L368="Active",$A368,"")</f>
        <v/>
      </c>
    </row>
    <row r="369">
      <c r="A369" s="48" t="n"/>
      <c r="B369" s="45">
        <f>IF($A369="","",IFERROR(INDEX('Chain Program'!$B$6:$B$120,MATCH($A369,'Chain Program'!$A$6:$A$120,0)),"Unknown ID"))</f>
        <v/>
      </c>
      <c r="C369" s="45">
        <f>IF($A369="","",IFERROR(INDEX('Chain Program'!$D$6:$D$120,MATCH($A369,'Chain Program'!$A$6:$A$120,0)),"Unknown ID"))</f>
        <v/>
      </c>
      <c r="D369" s="48" t="n"/>
      <c r="E369" s="48" t="n"/>
      <c r="F369" s="48" t="n"/>
      <c r="G369" s="49" t="n"/>
      <c r="H369" s="49" t="n"/>
      <c r="I369" s="41" t="n"/>
      <c r="J369" s="41" t="n"/>
      <c r="K369" s="48" t="n"/>
      <c r="L369" s="45">
        <f>IF(OR($A369="",$I369="",$J369=""),"",IF(TODAY()&lt;$I369,"Upcoming",IF(TODAY()&gt;$J369,"Expired","Active")))</f>
        <v/>
      </c>
      <c r="M369" s="45">
        <f>IF($L369="Active",$J369-TODAY(),"")</f>
        <v/>
      </c>
      <c r="N369" s="48" t="n"/>
      <c r="O369" s="47">
        <f>IF($L369="Active",$A369,"")</f>
        <v/>
      </c>
    </row>
    <row r="370">
      <c r="A370" s="48" t="n"/>
      <c r="B370" s="45">
        <f>IF($A370="","",IFERROR(INDEX('Chain Program'!$B$6:$B$120,MATCH($A370,'Chain Program'!$A$6:$A$120,0)),"Unknown ID"))</f>
        <v/>
      </c>
      <c r="C370" s="45">
        <f>IF($A370="","",IFERROR(INDEX('Chain Program'!$D$6:$D$120,MATCH($A370,'Chain Program'!$A$6:$A$120,0)),"Unknown ID"))</f>
        <v/>
      </c>
      <c r="D370" s="48" t="n"/>
      <c r="E370" s="48" t="n"/>
      <c r="F370" s="48" t="n"/>
      <c r="G370" s="49" t="n"/>
      <c r="H370" s="49" t="n"/>
      <c r="I370" s="41" t="n"/>
      <c r="J370" s="41" t="n"/>
      <c r="K370" s="48" t="n"/>
      <c r="L370" s="45">
        <f>IF(OR($A370="",$I370="",$J370=""),"",IF(TODAY()&lt;$I370,"Upcoming",IF(TODAY()&gt;$J370,"Expired","Active")))</f>
        <v/>
      </c>
      <c r="M370" s="45">
        <f>IF($L370="Active",$J370-TODAY(),"")</f>
        <v/>
      </c>
      <c r="N370" s="48" t="n"/>
      <c r="O370" s="47">
        <f>IF($L370="Active",$A370,"")</f>
        <v/>
      </c>
    </row>
    <row r="371">
      <c r="A371" s="48" t="n"/>
      <c r="B371" s="45">
        <f>IF($A371="","",IFERROR(INDEX('Chain Program'!$B$6:$B$120,MATCH($A371,'Chain Program'!$A$6:$A$120,0)),"Unknown ID"))</f>
        <v/>
      </c>
      <c r="C371" s="45">
        <f>IF($A371="","",IFERROR(INDEX('Chain Program'!$D$6:$D$120,MATCH($A371,'Chain Program'!$A$6:$A$120,0)),"Unknown ID"))</f>
        <v/>
      </c>
      <c r="D371" s="48" t="n"/>
      <c r="E371" s="48" t="n"/>
      <c r="F371" s="48" t="n"/>
      <c r="G371" s="49" t="n"/>
      <c r="H371" s="49" t="n"/>
      <c r="I371" s="41" t="n"/>
      <c r="J371" s="41" t="n"/>
      <c r="K371" s="48" t="n"/>
      <c r="L371" s="45">
        <f>IF(OR($A371="",$I371="",$J371=""),"",IF(TODAY()&lt;$I371,"Upcoming",IF(TODAY()&gt;$J371,"Expired","Active")))</f>
        <v/>
      </c>
      <c r="M371" s="45">
        <f>IF($L371="Active",$J371-TODAY(),"")</f>
        <v/>
      </c>
      <c r="N371" s="48" t="n"/>
      <c r="O371" s="47">
        <f>IF($L371="Active",$A371,"")</f>
        <v/>
      </c>
    </row>
    <row r="372">
      <c r="A372" s="48" t="n"/>
      <c r="B372" s="45">
        <f>IF($A372="","",IFERROR(INDEX('Chain Program'!$B$6:$B$120,MATCH($A372,'Chain Program'!$A$6:$A$120,0)),"Unknown ID"))</f>
        <v/>
      </c>
      <c r="C372" s="45">
        <f>IF($A372="","",IFERROR(INDEX('Chain Program'!$D$6:$D$120,MATCH($A372,'Chain Program'!$A$6:$A$120,0)),"Unknown ID"))</f>
        <v/>
      </c>
      <c r="D372" s="48" t="n"/>
      <c r="E372" s="48" t="n"/>
      <c r="F372" s="48" t="n"/>
      <c r="G372" s="49" t="n"/>
      <c r="H372" s="49" t="n"/>
      <c r="I372" s="41" t="n"/>
      <c r="J372" s="41" t="n"/>
      <c r="K372" s="48" t="n"/>
      <c r="L372" s="45">
        <f>IF(OR($A372="",$I372="",$J372=""),"",IF(TODAY()&lt;$I372,"Upcoming",IF(TODAY()&gt;$J372,"Expired","Active")))</f>
        <v/>
      </c>
      <c r="M372" s="45">
        <f>IF($L372="Active",$J372-TODAY(),"")</f>
        <v/>
      </c>
      <c r="N372" s="48" t="n"/>
      <c r="O372" s="47">
        <f>IF($L372="Active",$A372,"")</f>
        <v/>
      </c>
    </row>
    <row r="373">
      <c r="A373" s="48" t="n"/>
      <c r="B373" s="45">
        <f>IF($A373="","",IFERROR(INDEX('Chain Program'!$B$6:$B$120,MATCH($A373,'Chain Program'!$A$6:$A$120,0)),"Unknown ID"))</f>
        <v/>
      </c>
      <c r="C373" s="45">
        <f>IF($A373="","",IFERROR(INDEX('Chain Program'!$D$6:$D$120,MATCH($A373,'Chain Program'!$A$6:$A$120,0)),"Unknown ID"))</f>
        <v/>
      </c>
      <c r="D373" s="48" t="n"/>
      <c r="E373" s="48" t="n"/>
      <c r="F373" s="48" t="n"/>
      <c r="G373" s="49" t="n"/>
      <c r="H373" s="49" t="n"/>
      <c r="I373" s="41" t="n"/>
      <c r="J373" s="41" t="n"/>
      <c r="K373" s="48" t="n"/>
      <c r="L373" s="45">
        <f>IF(OR($A373="",$I373="",$J373=""),"",IF(TODAY()&lt;$I373,"Upcoming",IF(TODAY()&gt;$J373,"Expired","Active")))</f>
        <v/>
      </c>
      <c r="M373" s="45">
        <f>IF($L373="Active",$J373-TODAY(),"")</f>
        <v/>
      </c>
      <c r="N373" s="48" t="n"/>
      <c r="O373" s="47">
        <f>IF($L373="Active",$A373,"")</f>
        <v/>
      </c>
    </row>
    <row r="374">
      <c r="A374" s="48" t="n"/>
      <c r="B374" s="45">
        <f>IF($A374="","",IFERROR(INDEX('Chain Program'!$B$6:$B$120,MATCH($A374,'Chain Program'!$A$6:$A$120,0)),"Unknown ID"))</f>
        <v/>
      </c>
      <c r="C374" s="45">
        <f>IF($A374="","",IFERROR(INDEX('Chain Program'!$D$6:$D$120,MATCH($A374,'Chain Program'!$A$6:$A$120,0)),"Unknown ID"))</f>
        <v/>
      </c>
      <c r="D374" s="48" t="n"/>
      <c r="E374" s="48" t="n"/>
      <c r="F374" s="48" t="n"/>
      <c r="G374" s="49" t="n"/>
      <c r="H374" s="49" t="n"/>
      <c r="I374" s="41" t="n"/>
      <c r="J374" s="41" t="n"/>
      <c r="K374" s="48" t="n"/>
      <c r="L374" s="45">
        <f>IF(OR($A374="",$I374="",$J374=""),"",IF(TODAY()&lt;$I374,"Upcoming",IF(TODAY()&gt;$J374,"Expired","Active")))</f>
        <v/>
      </c>
      <c r="M374" s="45">
        <f>IF($L374="Active",$J374-TODAY(),"")</f>
        <v/>
      </c>
      <c r="N374" s="48" t="n"/>
      <c r="O374" s="47">
        <f>IF($L374="Active",$A374,"")</f>
        <v/>
      </c>
    </row>
    <row r="375">
      <c r="A375" s="48" t="n"/>
      <c r="B375" s="45">
        <f>IF($A375="","",IFERROR(INDEX('Chain Program'!$B$6:$B$120,MATCH($A375,'Chain Program'!$A$6:$A$120,0)),"Unknown ID"))</f>
        <v/>
      </c>
      <c r="C375" s="45">
        <f>IF($A375="","",IFERROR(INDEX('Chain Program'!$D$6:$D$120,MATCH($A375,'Chain Program'!$A$6:$A$120,0)),"Unknown ID"))</f>
        <v/>
      </c>
      <c r="D375" s="48" t="n"/>
      <c r="E375" s="48" t="n"/>
      <c r="F375" s="48" t="n"/>
      <c r="G375" s="49" t="n"/>
      <c r="H375" s="49" t="n"/>
      <c r="I375" s="41" t="n"/>
      <c r="J375" s="41" t="n"/>
      <c r="K375" s="48" t="n"/>
      <c r="L375" s="45">
        <f>IF(OR($A375="",$I375="",$J375=""),"",IF(TODAY()&lt;$I375,"Upcoming",IF(TODAY()&gt;$J375,"Expired","Active")))</f>
        <v/>
      </c>
      <c r="M375" s="45">
        <f>IF($L375="Active",$J375-TODAY(),"")</f>
        <v/>
      </c>
      <c r="N375" s="48" t="n"/>
      <c r="O375" s="47">
        <f>IF($L375="Active",$A375,"")</f>
        <v/>
      </c>
    </row>
    <row r="376">
      <c r="A376" s="48" t="n"/>
      <c r="B376" s="45">
        <f>IF($A376="","",IFERROR(INDEX('Chain Program'!$B$6:$B$120,MATCH($A376,'Chain Program'!$A$6:$A$120,0)),"Unknown ID"))</f>
        <v/>
      </c>
      <c r="C376" s="45">
        <f>IF($A376="","",IFERROR(INDEX('Chain Program'!$D$6:$D$120,MATCH($A376,'Chain Program'!$A$6:$A$120,0)),"Unknown ID"))</f>
        <v/>
      </c>
      <c r="D376" s="48" t="n"/>
      <c r="E376" s="48" t="n"/>
      <c r="F376" s="48" t="n"/>
      <c r="G376" s="49" t="n"/>
      <c r="H376" s="49" t="n"/>
      <c r="I376" s="41" t="n"/>
      <c r="J376" s="41" t="n"/>
      <c r="K376" s="48" t="n"/>
      <c r="L376" s="45">
        <f>IF(OR($A376="",$I376="",$J376=""),"",IF(TODAY()&lt;$I376,"Upcoming",IF(TODAY()&gt;$J376,"Expired","Active")))</f>
        <v/>
      </c>
      <c r="M376" s="45">
        <f>IF($L376="Active",$J376-TODAY(),"")</f>
        <v/>
      </c>
      <c r="N376" s="48" t="n"/>
      <c r="O376" s="47">
        <f>IF($L376="Active",$A376,"")</f>
        <v/>
      </c>
    </row>
    <row r="377">
      <c r="A377" s="48" t="n"/>
      <c r="B377" s="45">
        <f>IF($A377="","",IFERROR(INDEX('Chain Program'!$B$6:$B$120,MATCH($A377,'Chain Program'!$A$6:$A$120,0)),"Unknown ID"))</f>
        <v/>
      </c>
      <c r="C377" s="45">
        <f>IF($A377="","",IFERROR(INDEX('Chain Program'!$D$6:$D$120,MATCH($A377,'Chain Program'!$A$6:$A$120,0)),"Unknown ID"))</f>
        <v/>
      </c>
      <c r="D377" s="48" t="n"/>
      <c r="E377" s="48" t="n"/>
      <c r="F377" s="48" t="n"/>
      <c r="G377" s="49" t="n"/>
      <c r="H377" s="49" t="n"/>
      <c r="I377" s="41" t="n"/>
      <c r="J377" s="41" t="n"/>
      <c r="K377" s="48" t="n"/>
      <c r="L377" s="45">
        <f>IF(OR($A377="",$I377="",$J377=""),"",IF(TODAY()&lt;$I377,"Upcoming",IF(TODAY()&gt;$J377,"Expired","Active")))</f>
        <v/>
      </c>
      <c r="M377" s="45">
        <f>IF($L377="Active",$J377-TODAY(),"")</f>
        <v/>
      </c>
      <c r="N377" s="48" t="n"/>
      <c r="O377" s="47">
        <f>IF($L377="Active",$A377,"")</f>
        <v/>
      </c>
    </row>
    <row r="378">
      <c r="A378" s="48" t="n"/>
      <c r="B378" s="45">
        <f>IF($A378="","",IFERROR(INDEX('Chain Program'!$B$6:$B$120,MATCH($A378,'Chain Program'!$A$6:$A$120,0)),"Unknown ID"))</f>
        <v/>
      </c>
      <c r="C378" s="45">
        <f>IF($A378="","",IFERROR(INDEX('Chain Program'!$D$6:$D$120,MATCH($A378,'Chain Program'!$A$6:$A$120,0)),"Unknown ID"))</f>
        <v/>
      </c>
      <c r="D378" s="48" t="n"/>
      <c r="E378" s="48" t="n"/>
      <c r="F378" s="48" t="n"/>
      <c r="G378" s="49" t="n"/>
      <c r="H378" s="49" t="n"/>
      <c r="I378" s="41" t="n"/>
      <c r="J378" s="41" t="n"/>
      <c r="K378" s="48" t="n"/>
      <c r="L378" s="45">
        <f>IF(OR($A378="",$I378="",$J378=""),"",IF(TODAY()&lt;$I378,"Upcoming",IF(TODAY()&gt;$J378,"Expired","Active")))</f>
        <v/>
      </c>
      <c r="M378" s="45">
        <f>IF($L378="Active",$J378-TODAY(),"")</f>
        <v/>
      </c>
      <c r="N378" s="48" t="n"/>
      <c r="O378" s="47">
        <f>IF($L378="Active",$A378,"")</f>
        <v/>
      </c>
    </row>
    <row r="379">
      <c r="A379" s="48" t="n"/>
      <c r="B379" s="45">
        <f>IF($A379="","",IFERROR(INDEX('Chain Program'!$B$6:$B$120,MATCH($A379,'Chain Program'!$A$6:$A$120,0)),"Unknown ID"))</f>
        <v/>
      </c>
      <c r="C379" s="45">
        <f>IF($A379="","",IFERROR(INDEX('Chain Program'!$D$6:$D$120,MATCH($A379,'Chain Program'!$A$6:$A$120,0)),"Unknown ID"))</f>
        <v/>
      </c>
      <c r="D379" s="48" t="n"/>
      <c r="E379" s="48" t="n"/>
      <c r="F379" s="48" t="n"/>
      <c r="G379" s="49" t="n"/>
      <c r="H379" s="49" t="n"/>
      <c r="I379" s="41" t="n"/>
      <c r="J379" s="41" t="n"/>
      <c r="K379" s="48" t="n"/>
      <c r="L379" s="45">
        <f>IF(OR($A379="",$I379="",$J379=""),"",IF(TODAY()&lt;$I379,"Upcoming",IF(TODAY()&gt;$J379,"Expired","Active")))</f>
        <v/>
      </c>
      <c r="M379" s="45">
        <f>IF($L379="Active",$J379-TODAY(),"")</f>
        <v/>
      </c>
      <c r="N379" s="48" t="n"/>
      <c r="O379" s="47">
        <f>IF($L379="Active",$A379,"")</f>
        <v/>
      </c>
    </row>
    <row r="380">
      <c r="A380" s="48" t="n"/>
      <c r="B380" s="45">
        <f>IF($A380="","",IFERROR(INDEX('Chain Program'!$B$6:$B$120,MATCH($A380,'Chain Program'!$A$6:$A$120,0)),"Unknown ID"))</f>
        <v/>
      </c>
      <c r="C380" s="45">
        <f>IF($A380="","",IFERROR(INDEX('Chain Program'!$D$6:$D$120,MATCH($A380,'Chain Program'!$A$6:$A$120,0)),"Unknown ID"))</f>
        <v/>
      </c>
      <c r="D380" s="48" t="n"/>
      <c r="E380" s="48" t="n"/>
      <c r="F380" s="48" t="n"/>
      <c r="G380" s="49" t="n"/>
      <c r="H380" s="49" t="n"/>
      <c r="I380" s="41" t="n"/>
      <c r="J380" s="41" t="n"/>
      <c r="K380" s="48" t="n"/>
      <c r="L380" s="45">
        <f>IF(OR($A380="",$I380="",$J380=""),"",IF(TODAY()&lt;$I380,"Upcoming",IF(TODAY()&gt;$J380,"Expired","Active")))</f>
        <v/>
      </c>
      <c r="M380" s="45">
        <f>IF($L380="Active",$J380-TODAY(),"")</f>
        <v/>
      </c>
      <c r="N380" s="48" t="n"/>
      <c r="O380" s="47">
        <f>IF($L380="Active",$A380,"")</f>
        <v/>
      </c>
    </row>
    <row r="381">
      <c r="A381" s="48" t="n"/>
      <c r="B381" s="45">
        <f>IF($A381="","",IFERROR(INDEX('Chain Program'!$B$6:$B$120,MATCH($A381,'Chain Program'!$A$6:$A$120,0)),"Unknown ID"))</f>
        <v/>
      </c>
      <c r="C381" s="45">
        <f>IF($A381="","",IFERROR(INDEX('Chain Program'!$D$6:$D$120,MATCH($A381,'Chain Program'!$A$6:$A$120,0)),"Unknown ID"))</f>
        <v/>
      </c>
      <c r="D381" s="48" t="n"/>
      <c r="E381" s="48" t="n"/>
      <c r="F381" s="48" t="n"/>
      <c r="G381" s="49" t="n"/>
      <c r="H381" s="49" t="n"/>
      <c r="I381" s="41" t="n"/>
      <c r="J381" s="41" t="n"/>
      <c r="K381" s="48" t="n"/>
      <c r="L381" s="45">
        <f>IF(OR($A381="",$I381="",$J381=""),"",IF(TODAY()&lt;$I381,"Upcoming",IF(TODAY()&gt;$J381,"Expired","Active")))</f>
        <v/>
      </c>
      <c r="M381" s="45">
        <f>IF($L381="Active",$J381-TODAY(),"")</f>
        <v/>
      </c>
      <c r="N381" s="48" t="n"/>
      <c r="O381" s="47">
        <f>IF($L381="Active",$A381,"")</f>
        <v/>
      </c>
    </row>
    <row r="382">
      <c r="A382" s="48" t="n"/>
      <c r="B382" s="45">
        <f>IF($A382="","",IFERROR(INDEX('Chain Program'!$B$6:$B$120,MATCH($A382,'Chain Program'!$A$6:$A$120,0)),"Unknown ID"))</f>
        <v/>
      </c>
      <c r="C382" s="45">
        <f>IF($A382="","",IFERROR(INDEX('Chain Program'!$D$6:$D$120,MATCH($A382,'Chain Program'!$A$6:$A$120,0)),"Unknown ID"))</f>
        <v/>
      </c>
      <c r="D382" s="48" t="n"/>
      <c r="E382" s="48" t="n"/>
      <c r="F382" s="48" t="n"/>
      <c r="G382" s="49" t="n"/>
      <c r="H382" s="49" t="n"/>
      <c r="I382" s="41" t="n"/>
      <c r="J382" s="41" t="n"/>
      <c r="K382" s="48" t="n"/>
      <c r="L382" s="45">
        <f>IF(OR($A382="",$I382="",$J382=""),"",IF(TODAY()&lt;$I382,"Upcoming",IF(TODAY()&gt;$J382,"Expired","Active")))</f>
        <v/>
      </c>
      <c r="M382" s="45">
        <f>IF($L382="Active",$J382-TODAY(),"")</f>
        <v/>
      </c>
      <c r="N382" s="48" t="n"/>
      <c r="O382" s="47">
        <f>IF($L382="Active",$A382,"")</f>
        <v/>
      </c>
    </row>
    <row r="383">
      <c r="A383" s="48" t="n"/>
      <c r="B383" s="45">
        <f>IF($A383="","",IFERROR(INDEX('Chain Program'!$B$6:$B$120,MATCH($A383,'Chain Program'!$A$6:$A$120,0)),"Unknown ID"))</f>
        <v/>
      </c>
      <c r="C383" s="45">
        <f>IF($A383="","",IFERROR(INDEX('Chain Program'!$D$6:$D$120,MATCH($A383,'Chain Program'!$A$6:$A$120,0)),"Unknown ID"))</f>
        <v/>
      </c>
      <c r="D383" s="48" t="n"/>
      <c r="E383" s="48" t="n"/>
      <c r="F383" s="48" t="n"/>
      <c r="G383" s="49" t="n"/>
      <c r="H383" s="49" t="n"/>
      <c r="I383" s="41" t="n"/>
      <c r="J383" s="41" t="n"/>
      <c r="K383" s="48" t="n"/>
      <c r="L383" s="45">
        <f>IF(OR($A383="",$I383="",$J383=""),"",IF(TODAY()&lt;$I383,"Upcoming",IF(TODAY()&gt;$J383,"Expired","Active")))</f>
        <v/>
      </c>
      <c r="M383" s="45">
        <f>IF($L383="Active",$J383-TODAY(),"")</f>
        <v/>
      </c>
      <c r="N383" s="48" t="n"/>
      <c r="O383" s="47">
        <f>IF($L383="Active",$A383,"")</f>
        <v/>
      </c>
    </row>
    <row r="384">
      <c r="A384" s="48" t="n"/>
      <c r="B384" s="45">
        <f>IF($A384="","",IFERROR(INDEX('Chain Program'!$B$6:$B$120,MATCH($A384,'Chain Program'!$A$6:$A$120,0)),"Unknown ID"))</f>
        <v/>
      </c>
      <c r="C384" s="45">
        <f>IF($A384="","",IFERROR(INDEX('Chain Program'!$D$6:$D$120,MATCH($A384,'Chain Program'!$A$6:$A$120,0)),"Unknown ID"))</f>
        <v/>
      </c>
      <c r="D384" s="48" t="n"/>
      <c r="E384" s="48" t="n"/>
      <c r="F384" s="48" t="n"/>
      <c r="G384" s="49" t="n"/>
      <c r="H384" s="49" t="n"/>
      <c r="I384" s="41" t="n"/>
      <c r="J384" s="41" t="n"/>
      <c r="K384" s="48" t="n"/>
      <c r="L384" s="45">
        <f>IF(OR($A384="",$I384="",$J384=""),"",IF(TODAY()&lt;$I384,"Upcoming",IF(TODAY()&gt;$J384,"Expired","Active")))</f>
        <v/>
      </c>
      <c r="M384" s="45">
        <f>IF($L384="Active",$J384-TODAY(),"")</f>
        <v/>
      </c>
      <c r="N384" s="48" t="n"/>
      <c r="O384" s="47">
        <f>IF($L384="Active",$A384,"")</f>
        <v/>
      </c>
    </row>
    <row r="385">
      <c r="A385" s="48" t="n"/>
      <c r="B385" s="45">
        <f>IF($A385="","",IFERROR(INDEX('Chain Program'!$B$6:$B$120,MATCH($A385,'Chain Program'!$A$6:$A$120,0)),"Unknown ID"))</f>
        <v/>
      </c>
      <c r="C385" s="45">
        <f>IF($A385="","",IFERROR(INDEX('Chain Program'!$D$6:$D$120,MATCH($A385,'Chain Program'!$A$6:$A$120,0)),"Unknown ID"))</f>
        <v/>
      </c>
      <c r="D385" s="48" t="n"/>
      <c r="E385" s="48" t="n"/>
      <c r="F385" s="48" t="n"/>
      <c r="G385" s="49" t="n"/>
      <c r="H385" s="49" t="n"/>
      <c r="I385" s="41" t="n"/>
      <c r="J385" s="41" t="n"/>
      <c r="K385" s="48" t="n"/>
      <c r="L385" s="45">
        <f>IF(OR($A385="",$I385="",$J385=""),"",IF(TODAY()&lt;$I385,"Upcoming",IF(TODAY()&gt;$J385,"Expired","Active")))</f>
        <v/>
      </c>
      <c r="M385" s="45">
        <f>IF($L385="Active",$J385-TODAY(),"")</f>
        <v/>
      </c>
      <c r="N385" s="48" t="n"/>
      <c r="O385" s="47">
        <f>IF($L385="Active",$A385,"")</f>
        <v/>
      </c>
    </row>
    <row r="386">
      <c r="A386" s="48" t="n"/>
      <c r="B386" s="45">
        <f>IF($A386="","",IFERROR(INDEX('Chain Program'!$B$6:$B$120,MATCH($A386,'Chain Program'!$A$6:$A$120,0)),"Unknown ID"))</f>
        <v/>
      </c>
      <c r="C386" s="45">
        <f>IF($A386="","",IFERROR(INDEX('Chain Program'!$D$6:$D$120,MATCH($A386,'Chain Program'!$A$6:$A$120,0)),"Unknown ID"))</f>
        <v/>
      </c>
      <c r="D386" s="48" t="n"/>
      <c r="E386" s="48" t="n"/>
      <c r="F386" s="48" t="n"/>
      <c r="G386" s="49" t="n"/>
      <c r="H386" s="49" t="n"/>
      <c r="I386" s="41" t="n"/>
      <c r="J386" s="41" t="n"/>
      <c r="K386" s="48" t="n"/>
      <c r="L386" s="45">
        <f>IF(OR($A386="",$I386="",$J386=""),"",IF(TODAY()&lt;$I386,"Upcoming",IF(TODAY()&gt;$J386,"Expired","Active")))</f>
        <v/>
      </c>
      <c r="M386" s="45">
        <f>IF($L386="Active",$J386-TODAY(),"")</f>
        <v/>
      </c>
      <c r="N386" s="48" t="n"/>
      <c r="O386" s="47">
        <f>IF($L386="Active",$A386,"")</f>
        <v/>
      </c>
    </row>
    <row r="387">
      <c r="A387" s="48" t="n"/>
      <c r="B387" s="45">
        <f>IF($A387="","",IFERROR(INDEX('Chain Program'!$B$6:$B$120,MATCH($A387,'Chain Program'!$A$6:$A$120,0)),"Unknown ID"))</f>
        <v/>
      </c>
      <c r="C387" s="45">
        <f>IF($A387="","",IFERROR(INDEX('Chain Program'!$D$6:$D$120,MATCH($A387,'Chain Program'!$A$6:$A$120,0)),"Unknown ID"))</f>
        <v/>
      </c>
      <c r="D387" s="48" t="n"/>
      <c r="E387" s="48" t="n"/>
      <c r="F387" s="48" t="n"/>
      <c r="G387" s="49" t="n"/>
      <c r="H387" s="49" t="n"/>
      <c r="I387" s="41" t="n"/>
      <c r="J387" s="41" t="n"/>
      <c r="K387" s="48" t="n"/>
      <c r="L387" s="45">
        <f>IF(OR($A387="",$I387="",$J387=""),"",IF(TODAY()&lt;$I387,"Upcoming",IF(TODAY()&gt;$J387,"Expired","Active")))</f>
        <v/>
      </c>
      <c r="M387" s="45">
        <f>IF($L387="Active",$J387-TODAY(),"")</f>
        <v/>
      </c>
      <c r="N387" s="48" t="n"/>
      <c r="O387" s="47">
        <f>IF($L387="Active",$A387,"")</f>
        <v/>
      </c>
    </row>
    <row r="388">
      <c r="A388" s="48" t="n"/>
      <c r="B388" s="45">
        <f>IF($A388="","",IFERROR(INDEX('Chain Program'!$B$6:$B$120,MATCH($A388,'Chain Program'!$A$6:$A$120,0)),"Unknown ID"))</f>
        <v/>
      </c>
      <c r="C388" s="45">
        <f>IF($A388="","",IFERROR(INDEX('Chain Program'!$D$6:$D$120,MATCH($A388,'Chain Program'!$A$6:$A$120,0)),"Unknown ID"))</f>
        <v/>
      </c>
      <c r="D388" s="48" t="n"/>
      <c r="E388" s="48" t="n"/>
      <c r="F388" s="48" t="n"/>
      <c r="G388" s="49" t="n"/>
      <c r="H388" s="49" t="n"/>
      <c r="I388" s="41" t="n"/>
      <c r="J388" s="41" t="n"/>
      <c r="K388" s="48" t="n"/>
      <c r="L388" s="45">
        <f>IF(OR($A388="",$I388="",$J388=""),"",IF(TODAY()&lt;$I388,"Upcoming",IF(TODAY()&gt;$J388,"Expired","Active")))</f>
        <v/>
      </c>
      <c r="M388" s="45">
        <f>IF($L388="Active",$J388-TODAY(),"")</f>
        <v/>
      </c>
      <c r="N388" s="48" t="n"/>
      <c r="O388" s="47">
        <f>IF($L388="Active",$A388,"")</f>
        <v/>
      </c>
    </row>
    <row r="389">
      <c r="A389" s="48" t="n"/>
      <c r="B389" s="45">
        <f>IF($A389="","",IFERROR(INDEX('Chain Program'!$B$6:$B$120,MATCH($A389,'Chain Program'!$A$6:$A$120,0)),"Unknown ID"))</f>
        <v/>
      </c>
      <c r="C389" s="45">
        <f>IF($A389="","",IFERROR(INDEX('Chain Program'!$D$6:$D$120,MATCH($A389,'Chain Program'!$A$6:$A$120,0)),"Unknown ID"))</f>
        <v/>
      </c>
      <c r="D389" s="48" t="n"/>
      <c r="E389" s="48" t="n"/>
      <c r="F389" s="48" t="n"/>
      <c r="G389" s="49" t="n"/>
      <c r="H389" s="49" t="n"/>
      <c r="I389" s="41" t="n"/>
      <c r="J389" s="41" t="n"/>
      <c r="K389" s="48" t="n"/>
      <c r="L389" s="45">
        <f>IF(OR($A389="",$I389="",$J389=""),"",IF(TODAY()&lt;$I389,"Upcoming",IF(TODAY()&gt;$J389,"Expired","Active")))</f>
        <v/>
      </c>
      <c r="M389" s="45">
        <f>IF($L389="Active",$J389-TODAY(),"")</f>
        <v/>
      </c>
      <c r="N389" s="48" t="n"/>
      <c r="O389" s="47">
        <f>IF($L389="Active",$A389,"")</f>
        <v/>
      </c>
    </row>
    <row r="390">
      <c r="A390" s="48" t="n"/>
      <c r="B390" s="45">
        <f>IF($A390="","",IFERROR(INDEX('Chain Program'!$B$6:$B$120,MATCH($A390,'Chain Program'!$A$6:$A$120,0)),"Unknown ID"))</f>
        <v/>
      </c>
      <c r="C390" s="45">
        <f>IF($A390="","",IFERROR(INDEX('Chain Program'!$D$6:$D$120,MATCH($A390,'Chain Program'!$A$6:$A$120,0)),"Unknown ID"))</f>
        <v/>
      </c>
      <c r="D390" s="48" t="n"/>
      <c r="E390" s="48" t="n"/>
      <c r="F390" s="48" t="n"/>
      <c r="G390" s="49" t="n"/>
      <c r="H390" s="49" t="n"/>
      <c r="I390" s="41" t="n"/>
      <c r="J390" s="41" t="n"/>
      <c r="K390" s="48" t="n"/>
      <c r="L390" s="45">
        <f>IF(OR($A390="",$I390="",$J390=""),"",IF(TODAY()&lt;$I390,"Upcoming",IF(TODAY()&gt;$J390,"Expired","Active")))</f>
        <v/>
      </c>
      <c r="M390" s="45">
        <f>IF($L390="Active",$J390-TODAY(),"")</f>
        <v/>
      </c>
      <c r="N390" s="48" t="n"/>
      <c r="O390" s="47">
        <f>IF($L390="Active",$A390,"")</f>
        <v/>
      </c>
    </row>
    <row r="391">
      <c r="A391" s="48" t="n"/>
      <c r="B391" s="45">
        <f>IF($A391="","",IFERROR(INDEX('Chain Program'!$B$6:$B$120,MATCH($A391,'Chain Program'!$A$6:$A$120,0)),"Unknown ID"))</f>
        <v/>
      </c>
      <c r="C391" s="45">
        <f>IF($A391="","",IFERROR(INDEX('Chain Program'!$D$6:$D$120,MATCH($A391,'Chain Program'!$A$6:$A$120,0)),"Unknown ID"))</f>
        <v/>
      </c>
      <c r="D391" s="48" t="n"/>
      <c r="E391" s="48" t="n"/>
      <c r="F391" s="48" t="n"/>
      <c r="G391" s="49" t="n"/>
      <c r="H391" s="49" t="n"/>
      <c r="I391" s="41" t="n"/>
      <c r="J391" s="41" t="n"/>
      <c r="K391" s="48" t="n"/>
      <c r="L391" s="45">
        <f>IF(OR($A391="",$I391="",$J391=""),"",IF(TODAY()&lt;$I391,"Upcoming",IF(TODAY()&gt;$J391,"Expired","Active")))</f>
        <v/>
      </c>
      <c r="M391" s="45">
        <f>IF($L391="Active",$J391-TODAY(),"")</f>
        <v/>
      </c>
      <c r="N391" s="48" t="n"/>
      <c r="O391" s="47">
        <f>IF($L391="Active",$A391,"")</f>
        <v/>
      </c>
    </row>
    <row r="392">
      <c r="A392" s="48" t="n"/>
      <c r="B392" s="45">
        <f>IF($A392="","",IFERROR(INDEX('Chain Program'!$B$6:$B$120,MATCH($A392,'Chain Program'!$A$6:$A$120,0)),"Unknown ID"))</f>
        <v/>
      </c>
      <c r="C392" s="45">
        <f>IF($A392="","",IFERROR(INDEX('Chain Program'!$D$6:$D$120,MATCH($A392,'Chain Program'!$A$6:$A$120,0)),"Unknown ID"))</f>
        <v/>
      </c>
      <c r="D392" s="48" t="n"/>
      <c r="E392" s="48" t="n"/>
      <c r="F392" s="48" t="n"/>
      <c r="G392" s="49" t="n"/>
      <c r="H392" s="49" t="n"/>
      <c r="I392" s="41" t="n"/>
      <c r="J392" s="41" t="n"/>
      <c r="K392" s="48" t="n"/>
      <c r="L392" s="45">
        <f>IF(OR($A392="",$I392="",$J392=""),"",IF(TODAY()&lt;$I392,"Upcoming",IF(TODAY()&gt;$J392,"Expired","Active")))</f>
        <v/>
      </c>
      <c r="M392" s="45">
        <f>IF($L392="Active",$J392-TODAY(),"")</f>
        <v/>
      </c>
      <c r="N392" s="48" t="n"/>
      <c r="O392" s="47">
        <f>IF($L392="Active",$A392,"")</f>
        <v/>
      </c>
    </row>
    <row r="393">
      <c r="A393" s="48" t="n"/>
      <c r="B393" s="45">
        <f>IF($A393="","",IFERROR(INDEX('Chain Program'!$B$6:$B$120,MATCH($A393,'Chain Program'!$A$6:$A$120,0)),"Unknown ID"))</f>
        <v/>
      </c>
      <c r="C393" s="45">
        <f>IF($A393="","",IFERROR(INDEX('Chain Program'!$D$6:$D$120,MATCH($A393,'Chain Program'!$A$6:$A$120,0)),"Unknown ID"))</f>
        <v/>
      </c>
      <c r="D393" s="48" t="n"/>
      <c r="E393" s="48" t="n"/>
      <c r="F393" s="48" t="n"/>
      <c r="G393" s="49" t="n"/>
      <c r="H393" s="49" t="n"/>
      <c r="I393" s="41" t="n"/>
      <c r="J393" s="41" t="n"/>
      <c r="K393" s="48" t="n"/>
      <c r="L393" s="45">
        <f>IF(OR($A393="",$I393="",$J393=""),"",IF(TODAY()&lt;$I393,"Upcoming",IF(TODAY()&gt;$J393,"Expired","Active")))</f>
        <v/>
      </c>
      <c r="M393" s="45">
        <f>IF($L393="Active",$J393-TODAY(),"")</f>
        <v/>
      </c>
      <c r="N393" s="48" t="n"/>
      <c r="O393" s="47">
        <f>IF($L393="Active",$A393,"")</f>
        <v/>
      </c>
    </row>
    <row r="394">
      <c r="A394" s="48" t="n"/>
      <c r="B394" s="45">
        <f>IF($A394="","",IFERROR(INDEX('Chain Program'!$B$6:$B$120,MATCH($A394,'Chain Program'!$A$6:$A$120,0)),"Unknown ID"))</f>
        <v/>
      </c>
      <c r="C394" s="45">
        <f>IF($A394="","",IFERROR(INDEX('Chain Program'!$D$6:$D$120,MATCH($A394,'Chain Program'!$A$6:$A$120,0)),"Unknown ID"))</f>
        <v/>
      </c>
      <c r="D394" s="48" t="n"/>
      <c r="E394" s="48" t="n"/>
      <c r="F394" s="48" t="n"/>
      <c r="G394" s="49" t="n"/>
      <c r="H394" s="49" t="n"/>
      <c r="I394" s="41" t="n"/>
      <c r="J394" s="41" t="n"/>
      <c r="K394" s="48" t="n"/>
      <c r="L394" s="45">
        <f>IF(OR($A394="",$I394="",$J394=""),"",IF(TODAY()&lt;$I394,"Upcoming",IF(TODAY()&gt;$J394,"Expired","Active")))</f>
        <v/>
      </c>
      <c r="M394" s="45">
        <f>IF($L394="Active",$J394-TODAY(),"")</f>
        <v/>
      </c>
      <c r="N394" s="48" t="n"/>
      <c r="O394" s="47">
        <f>IF($L394="Active",$A394,"")</f>
        <v/>
      </c>
    </row>
    <row r="395">
      <c r="A395" s="48" t="n"/>
      <c r="B395" s="45">
        <f>IF($A395="","",IFERROR(INDEX('Chain Program'!$B$6:$B$120,MATCH($A395,'Chain Program'!$A$6:$A$120,0)),"Unknown ID"))</f>
        <v/>
      </c>
      <c r="C395" s="45">
        <f>IF($A395="","",IFERROR(INDEX('Chain Program'!$D$6:$D$120,MATCH($A395,'Chain Program'!$A$6:$A$120,0)),"Unknown ID"))</f>
        <v/>
      </c>
      <c r="D395" s="48" t="n"/>
      <c r="E395" s="48" t="n"/>
      <c r="F395" s="48" t="n"/>
      <c r="G395" s="49" t="n"/>
      <c r="H395" s="49" t="n"/>
      <c r="I395" s="41" t="n"/>
      <c r="J395" s="41" t="n"/>
      <c r="K395" s="48" t="n"/>
      <c r="L395" s="45">
        <f>IF(OR($A395="",$I395="",$J395=""),"",IF(TODAY()&lt;$I395,"Upcoming",IF(TODAY()&gt;$J395,"Expired","Active")))</f>
        <v/>
      </c>
      <c r="M395" s="45">
        <f>IF($L395="Active",$J395-TODAY(),"")</f>
        <v/>
      </c>
      <c r="N395" s="48" t="n"/>
      <c r="O395" s="47">
        <f>IF($L395="Active",$A395,"")</f>
        <v/>
      </c>
    </row>
    <row r="396">
      <c r="A396" s="48" t="n"/>
      <c r="B396" s="45">
        <f>IF($A396="","",IFERROR(INDEX('Chain Program'!$B$6:$B$120,MATCH($A396,'Chain Program'!$A$6:$A$120,0)),"Unknown ID"))</f>
        <v/>
      </c>
      <c r="C396" s="45">
        <f>IF($A396="","",IFERROR(INDEX('Chain Program'!$D$6:$D$120,MATCH($A396,'Chain Program'!$A$6:$A$120,0)),"Unknown ID"))</f>
        <v/>
      </c>
      <c r="D396" s="48" t="n"/>
      <c r="E396" s="48" t="n"/>
      <c r="F396" s="48" t="n"/>
      <c r="G396" s="49" t="n"/>
      <c r="H396" s="49" t="n"/>
      <c r="I396" s="41" t="n"/>
      <c r="J396" s="41" t="n"/>
      <c r="K396" s="48" t="n"/>
      <c r="L396" s="45">
        <f>IF(OR($A396="",$I396="",$J396=""),"",IF(TODAY()&lt;$I396,"Upcoming",IF(TODAY()&gt;$J396,"Expired","Active")))</f>
        <v/>
      </c>
      <c r="M396" s="45">
        <f>IF($L396="Active",$J396-TODAY(),"")</f>
        <v/>
      </c>
      <c r="N396" s="48" t="n"/>
      <c r="O396" s="47">
        <f>IF($L396="Active",$A396,"")</f>
        <v/>
      </c>
    </row>
    <row r="397">
      <c r="A397" s="48" t="n"/>
      <c r="B397" s="45">
        <f>IF($A397="","",IFERROR(INDEX('Chain Program'!$B$6:$B$120,MATCH($A397,'Chain Program'!$A$6:$A$120,0)),"Unknown ID"))</f>
        <v/>
      </c>
      <c r="C397" s="45">
        <f>IF($A397="","",IFERROR(INDEX('Chain Program'!$D$6:$D$120,MATCH($A397,'Chain Program'!$A$6:$A$120,0)),"Unknown ID"))</f>
        <v/>
      </c>
      <c r="D397" s="48" t="n"/>
      <c r="E397" s="48" t="n"/>
      <c r="F397" s="48" t="n"/>
      <c r="G397" s="49" t="n"/>
      <c r="H397" s="49" t="n"/>
      <c r="I397" s="41" t="n"/>
      <c r="J397" s="41" t="n"/>
      <c r="K397" s="48" t="n"/>
      <c r="L397" s="45">
        <f>IF(OR($A397="",$I397="",$J397=""),"",IF(TODAY()&lt;$I397,"Upcoming",IF(TODAY()&gt;$J397,"Expired","Active")))</f>
        <v/>
      </c>
      <c r="M397" s="45">
        <f>IF($L397="Active",$J397-TODAY(),"")</f>
        <v/>
      </c>
      <c r="N397" s="48" t="n"/>
      <c r="O397" s="47">
        <f>IF($L397="Active",$A397,"")</f>
        <v/>
      </c>
    </row>
    <row r="398">
      <c r="A398" s="48" t="n"/>
      <c r="B398" s="45">
        <f>IF($A398="","",IFERROR(INDEX('Chain Program'!$B$6:$B$120,MATCH($A398,'Chain Program'!$A$6:$A$120,0)),"Unknown ID"))</f>
        <v/>
      </c>
      <c r="C398" s="45">
        <f>IF($A398="","",IFERROR(INDEX('Chain Program'!$D$6:$D$120,MATCH($A398,'Chain Program'!$A$6:$A$120,0)),"Unknown ID"))</f>
        <v/>
      </c>
      <c r="D398" s="48" t="n"/>
      <c r="E398" s="48" t="n"/>
      <c r="F398" s="48" t="n"/>
      <c r="G398" s="49" t="n"/>
      <c r="H398" s="49" t="n"/>
      <c r="I398" s="41" t="n"/>
      <c r="J398" s="41" t="n"/>
      <c r="K398" s="48" t="n"/>
      <c r="L398" s="45">
        <f>IF(OR($A398="",$I398="",$J398=""),"",IF(TODAY()&lt;$I398,"Upcoming",IF(TODAY()&gt;$J398,"Expired","Active")))</f>
        <v/>
      </c>
      <c r="M398" s="45">
        <f>IF($L398="Active",$J398-TODAY(),"")</f>
        <v/>
      </c>
      <c r="N398" s="48" t="n"/>
      <c r="O398" s="47">
        <f>IF($L398="Active",$A398,"")</f>
        <v/>
      </c>
    </row>
    <row r="399">
      <c r="A399" s="48" t="n"/>
      <c r="B399" s="45">
        <f>IF($A399="","",IFERROR(INDEX('Chain Program'!$B$6:$B$120,MATCH($A399,'Chain Program'!$A$6:$A$120,0)),"Unknown ID"))</f>
        <v/>
      </c>
      <c r="C399" s="45">
        <f>IF($A399="","",IFERROR(INDEX('Chain Program'!$D$6:$D$120,MATCH($A399,'Chain Program'!$A$6:$A$120,0)),"Unknown ID"))</f>
        <v/>
      </c>
      <c r="D399" s="48" t="n"/>
      <c r="E399" s="48" t="n"/>
      <c r="F399" s="48" t="n"/>
      <c r="G399" s="49" t="n"/>
      <c r="H399" s="49" t="n"/>
      <c r="I399" s="41" t="n"/>
      <c r="J399" s="41" t="n"/>
      <c r="K399" s="48" t="n"/>
      <c r="L399" s="45">
        <f>IF(OR($A399="",$I399="",$J399=""),"",IF(TODAY()&lt;$I399,"Upcoming",IF(TODAY()&gt;$J399,"Expired","Active")))</f>
        <v/>
      </c>
      <c r="M399" s="45">
        <f>IF($L399="Active",$J399-TODAY(),"")</f>
        <v/>
      </c>
      <c r="N399" s="48" t="n"/>
      <c r="O399" s="47">
        <f>IF($L399="Active",$A399,"")</f>
        <v/>
      </c>
    </row>
    <row r="400">
      <c r="A400" s="48" t="n"/>
      <c r="B400" s="45">
        <f>IF($A400="","",IFERROR(INDEX('Chain Program'!$B$6:$B$120,MATCH($A400,'Chain Program'!$A$6:$A$120,0)),"Unknown ID"))</f>
        <v/>
      </c>
      <c r="C400" s="45">
        <f>IF($A400="","",IFERROR(INDEX('Chain Program'!$D$6:$D$120,MATCH($A400,'Chain Program'!$A$6:$A$120,0)),"Unknown ID"))</f>
        <v/>
      </c>
      <c r="D400" s="48" t="n"/>
      <c r="E400" s="48" t="n"/>
      <c r="F400" s="48" t="n"/>
      <c r="G400" s="49" t="n"/>
      <c r="H400" s="49" t="n"/>
      <c r="I400" s="41" t="n"/>
      <c r="J400" s="41" t="n"/>
      <c r="K400" s="48" t="n"/>
      <c r="L400" s="45">
        <f>IF(OR($A400="",$I400="",$J400=""),"",IF(TODAY()&lt;$I400,"Upcoming",IF(TODAY()&gt;$J400,"Expired","Active")))</f>
        <v/>
      </c>
      <c r="M400" s="45">
        <f>IF($L400="Active",$J400-TODAY(),"")</f>
        <v/>
      </c>
      <c r="N400" s="48" t="n"/>
      <c r="O400" s="47">
        <f>IF($L400="Active",$A400,"")</f>
        <v/>
      </c>
    </row>
  </sheetData>
  <autoFilter ref="A5:O86"/>
  <mergeCells count="4">
    <mergeCell ref="I4:M4"/>
    <mergeCell ref="A4:D4"/>
    <mergeCell ref="E4:H4"/>
    <mergeCell ref="N4:O4"/>
  </mergeCells>
  <conditionalFormatting sqref="L6:L400">
    <cfRule type="cellIs" priority="1" operator="equal" dxfId="2">
      <formula>"Active"</formula>
    </cfRule>
    <cfRule type="cellIs" priority="2" operator="equal" dxfId="3">
      <formula>"Upcoming"</formula>
    </cfRule>
    <cfRule type="cellIs" priority="3" operator="equal" dxfId="4">
      <formula>"Expired"</formula>
    </cfRule>
  </conditionalFormatting>
  <dataValidations count="3">
    <dataValidation sqref="A6:A400" showDropDown="0" showInputMessage="0" showErrorMessage="0" allowBlank="1" errorTitle="Not on the list" error="Pick a value from the list." type="list">
      <formula1>='Chain Program'!$A$6:$A$120</formula1>
    </dataValidation>
    <dataValidation sqref="D6:D400" showDropDown="0" showInputMessage="0" showErrorMessage="0" allowBlank="1" errorTitle="Not on the list" error="Pick a value from the list." type="list">
      <formula1>=Lists!$C$4:$C$15</formula1>
    </dataValidation>
    <dataValidation sqref="K6:K400" showDropDown="0" showInputMessage="0" showErrorMessage="0" allowBlank="1" errorTitle="Not on the list" error="Pick a value from the list." type="list">
      <formula1>=Lists!$F$4:$F$5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D4A017"/>
    <outlinePr summaryBelow="1" summaryRight="1"/>
    <pageSetUpPr fitToPage="1"/>
  </sheetPr>
  <dimension ref="A1:X100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34" customWidth="1" min="3" max="3"/>
    <col width="11" customWidth="1" min="4" max="4"/>
    <col width="22" customWidth="1" min="5" max="5"/>
    <col width="18" customWidth="1" min="6" max="6"/>
    <col width="18" customWidth="1" min="7" max="7"/>
    <col width="10" customWidth="1" min="8" max="8"/>
    <col width="10" customWidth="1" min="9" max="9"/>
    <col width="11" customWidth="1" min="10" max="10"/>
    <col width="8" customWidth="1" min="11" max="11"/>
    <col width="10" customWidth="1" min="12" max="12"/>
    <col width="10" customWidth="1" min="13" max="13"/>
    <col width="9" customWidth="1" min="14" max="14"/>
    <col width="22" customWidth="1" min="15" max="15"/>
    <col width="40" customWidth="1" min="16" max="16"/>
    <col width="28" customWidth="1" min="17" max="17"/>
    <col width="16" customWidth="1" min="18" max="18"/>
    <col width="11" customWidth="1" min="19" max="19"/>
    <col width="11" customWidth="1" min="20" max="20"/>
    <col width="11" customWidth="1" min="21" max="21"/>
    <col width="8" customWidth="1" min="22" max="22"/>
    <col width="9" customWidth="1" min="23" max="23"/>
    <col width="9" customWidth="1" min="24" max="24"/>
  </cols>
  <sheetData>
    <row r="1" ht="24" customHeight="1">
      <c r="A1" s="11" t="inlineStr">
        <is>
          <t>VISIT LOG - STORE AUDITS &amp; NOTES</t>
        </is>
      </c>
    </row>
    <row r="2">
      <c r="A2" s="2" t="inlineStr">
        <is>
          <t>Reps fill the yellow cells only, one row per store / SKU check, newest at the bottom. Grey cells calculate. Row 6 is an EXAMPLE - delete it before go-live.</t>
        </is>
      </c>
    </row>
    <row r="4" ht="18" customHeight="1">
      <c r="A4" s="24" t="inlineStr">
        <is>
          <t>VISIT</t>
        </is>
      </c>
      <c r="B4" s="4" t="n"/>
      <c r="C4" s="4" t="n"/>
      <c r="D4" s="4" t="n"/>
      <c r="E4" s="4" t="n"/>
      <c r="F4" s="4" t="n"/>
      <c r="G4" s="4" t="n"/>
      <c r="H4" s="27" t="inlineStr">
        <is>
          <t>PRICING</t>
        </is>
      </c>
      <c r="I4" s="13" t="n"/>
      <c r="J4" s="13" t="n"/>
      <c r="K4" s="26" t="inlineStr">
        <is>
          <t>SHELF &amp; DISPLAY</t>
        </is>
      </c>
      <c r="L4" s="50" t="n"/>
      <c r="M4" s="50" t="n"/>
      <c r="N4" s="50" t="n"/>
      <c r="O4" s="25" t="inlineStr">
        <is>
          <t>DISCREPANCY &amp; NOTES</t>
        </is>
      </c>
      <c r="P4" s="22" t="n"/>
      <c r="Q4" s="22" t="n"/>
      <c r="R4" s="28" t="inlineStr">
        <is>
          <t>ACCOUNTABILITY</t>
        </is>
      </c>
      <c r="S4" s="19" t="n"/>
      <c r="T4" s="19" t="n"/>
      <c r="U4" s="19" t="n"/>
      <c r="V4" s="19" t="n"/>
      <c r="W4" s="51" t="inlineStr"/>
      <c r="X4" s="52" t="n"/>
    </row>
    <row r="5" ht="42" customHeight="1">
      <c r="A5" s="29" t="inlineStr">
        <is>
          <t>Visit Date</t>
        </is>
      </c>
      <c r="B5" s="29" t="inlineStr">
        <is>
          <t>Rep</t>
        </is>
      </c>
      <c r="C5" s="29" t="inlineStr">
        <is>
          <t>Program ID</t>
        </is>
      </c>
      <c r="D5" s="29" t="inlineStr">
        <is>
          <t>Brand</t>
        </is>
      </c>
      <c r="E5" s="29" t="inlineStr">
        <is>
          <t>Account / Division</t>
        </is>
      </c>
      <c r="F5" s="29" t="inlineStr">
        <is>
          <t>Store # / Location</t>
        </is>
      </c>
      <c r="G5" s="29" t="inlineStr">
        <is>
          <t>SKU / Pack Checked</t>
        </is>
      </c>
      <c r="H5" s="32" t="inlineStr">
        <is>
          <t>Expected Price ($)</t>
        </is>
      </c>
      <c r="I5" s="32" t="inlineStr">
        <is>
          <t>Observed Shelf Price ($)</t>
        </is>
      </c>
      <c r="J5" s="32" t="inlineStr">
        <is>
          <t>Price Check</t>
        </is>
      </c>
      <c r="K5" s="31" t="inlineStr">
        <is>
          <t>Shelf Tag Correct?</t>
        </is>
      </c>
      <c r="L5" s="31" t="inlineStr">
        <is>
          <t>Shelf Location per Planogram?</t>
        </is>
      </c>
      <c r="M5" s="31" t="inlineStr">
        <is>
          <t>All Authorized SKUs In Stock?</t>
        </is>
      </c>
      <c r="N5" s="31" t="inlineStr">
        <is>
          <t>Display per Callout?</t>
        </is>
      </c>
      <c r="O5" s="30" t="inlineStr">
        <is>
          <t>Discrepancy Type</t>
        </is>
      </c>
      <c r="P5" s="30" t="inlineStr">
        <is>
          <t>Visit Notes</t>
        </is>
      </c>
      <c r="Q5" s="30" t="inlineStr">
        <is>
          <t>Follow-up Action</t>
        </is>
      </c>
      <c r="R5" s="33" t="inlineStr">
        <is>
          <t>Follow-up Owner</t>
        </is>
      </c>
      <c r="S5" s="33" t="inlineStr">
        <is>
          <t>Due Date</t>
        </is>
      </c>
      <c r="T5" s="33" t="inlineStr">
        <is>
          <t>Status</t>
        </is>
      </c>
      <c r="U5" s="33" t="inlineStr">
        <is>
          <t>Resolved Date</t>
        </is>
      </c>
      <c r="V5" s="33" t="inlineStr">
        <is>
          <t>Days Open</t>
        </is>
      </c>
      <c r="W5" s="53" t="inlineStr">
        <is>
          <t>History Match (helper)</t>
        </is>
      </c>
      <c r="X5" s="53" t="inlineStr">
        <is>
          <t>History Rank (helper)</t>
        </is>
      </c>
    </row>
    <row r="6">
      <c r="A6" s="54" t="n">
        <v>46289</v>
      </c>
      <c r="B6" s="55" t="inlineStr">
        <is>
          <t>EXAMPLE - delete me</t>
        </is>
      </c>
      <c r="C6" s="55" t="inlineStr">
        <is>
          <t>ZOA | Smart &amp; Final</t>
        </is>
      </c>
      <c r="D6" s="45">
        <f>IF($C6="","",IFERROR(INDEX('Chain Program'!$B$6:$B$120,MATCH($C6,'Chain Program'!$A$6:$A$120,0)),"Unknown ID"))</f>
        <v/>
      </c>
      <c r="E6" s="45">
        <f>IF($C6="","",IFERROR(INDEX('Chain Program'!$D$6:$D$120,MATCH($C6,'Chain Program'!$A$6:$A$120,0)),"Unknown ID"))</f>
        <v/>
      </c>
      <c r="F6" s="55" t="inlineStr">
        <is>
          <t>Example store #000 - Anytown</t>
        </is>
      </c>
      <c r="G6" s="55" t="inlineStr">
        <is>
          <t>Singles (Frosted Grape/Tropical Punch)</t>
        </is>
      </c>
      <c r="H6" s="56">
        <f>IF(OR($C6="",$A6=""),"",IF(COUNTIFS('Promo Calendar'!$A$6:$A$400,$C6,'Promo Calendar'!$D$6:$D$400,IF($G6="","All",$G6),'Promo Calendar'!$I$6:$I$400,"&lt;="&amp;$A6,'Promo Calendar'!$J$6:$J$400,"&gt;="&amp;$A6,'Promo Calendar'!$G$6:$G$400,"&gt;0")&gt;0,_xlfn.MINIFS('Promo Calendar'!$G$6:$G$400,'Promo Calendar'!$A$6:$A$400,$C6,'Promo Calendar'!$D$6:$D$400,IF($G6="","All",$G6),'Promo Calendar'!$I$6:$I$400,"&lt;="&amp;$A6,'Promo Calendar'!$J$6:$J$400,"&gt;="&amp;$A6,'Promo Calendar'!$G$6:$G$400,"&gt;0"),IF(COUNTIFS('Promo Calendar'!$A$6:$A$400,$C6,'Promo Calendar'!$D$6:$D$400,"All",'Promo Calendar'!$I$6:$I$400,"&lt;="&amp;$A6,'Promo Calendar'!$J$6:$J$400,"&gt;="&amp;$A6,'Promo Calendar'!$G$6:$G$400,"&gt;0")&gt;0,_xlfn.MINIFS('Promo Calendar'!$G$6:$G$400,'Promo Calendar'!$A$6:$A$400,$C6,'Promo Calendar'!$D$6:$D$400,"All",'Promo Calendar'!$I$6:$I$400,"&lt;="&amp;$A6,'Promo Calendar'!$J$6:$J$400,"&gt;="&amp;$A6,'Promo Calendar'!$G$6:$G$400,"&gt;0"),IFERROR(IF(INDEX('Chain Program'!$M$6:$M$120,MATCH($C6,'Chain Program'!$A$6:$A$120,0))="","Not set",INDEX('Chain Program'!$M$6:$M$120,MATCH($C6,'Chain Program'!$A$6:$A$120,0))),"Not set"))))</f>
        <v/>
      </c>
      <c r="I6" s="57" t="n">
        <v>1.79</v>
      </c>
      <c r="J6" s="45">
        <f>IF($I6="","",IF(NOT(ISNUMBER($H6)),"No plan price",IF(ABS($I6-$H6)&lt;0.005,"Match",IF($I6&gt;$H6,"Over plan","Under plan"))))</f>
        <v/>
      </c>
      <c r="K6" s="55" t="inlineStr">
        <is>
          <t>N</t>
        </is>
      </c>
      <c r="L6" s="55" t="inlineStr">
        <is>
          <t>Y</t>
        </is>
      </c>
      <c r="M6" s="55" t="inlineStr">
        <is>
          <t>Y</t>
        </is>
      </c>
      <c r="N6" s="55" t="inlineStr">
        <is>
          <t>No</t>
        </is>
      </c>
      <c r="O6" s="55" t="inlineStr">
        <is>
          <t>Price - over plan</t>
        </is>
      </c>
      <c r="P6" s="58" t="inlineStr">
        <is>
          <t>Singles ringing $1.79 each; 2 for $3 tag not up. No display built yet.</t>
        </is>
      </c>
      <c r="Q6" s="58" t="inlineStr">
        <is>
          <t>Ask store manager to run the 2/$3 tag; resubmit display authorization.</t>
        </is>
      </c>
      <c r="R6" s="55" t="inlineStr">
        <is>
          <t>EXAMPLE - delete me</t>
        </is>
      </c>
      <c r="S6" s="54" t="n">
        <v>46296</v>
      </c>
      <c r="T6" s="55" t="inlineStr">
        <is>
          <t>Open</t>
        </is>
      </c>
      <c r="U6" s="59" t="n"/>
      <c r="V6" s="45">
        <f>IF(OR($A6="",$T6="",$T6="No Issue"),"",IF($T6="Resolved",IF($U6="","",$U6-$A6),TODAY()-$A6))</f>
        <v/>
      </c>
      <c r="W6" s="47">
        <f>IF(AND($C6&lt;&gt;"",$C6='Store History'!$C$4,OR('Store History'!$C$5="",$F6='Store History'!$C$5)),1,0)</f>
        <v/>
      </c>
      <c r="X6" s="47">
        <f>IF($W6=1,SUM($W6:$W$1005),"")</f>
        <v/>
      </c>
    </row>
    <row r="7">
      <c r="A7" s="59" t="n"/>
      <c r="B7" s="60" t="n"/>
      <c r="C7" s="60" t="n"/>
      <c r="D7" s="45">
        <f>IF($C7="","",IFERROR(INDEX('Chain Program'!$B$6:$B$120,MATCH($C7,'Chain Program'!$A$6:$A$120,0)),"Unknown ID"))</f>
        <v/>
      </c>
      <c r="E7" s="45">
        <f>IF($C7="","",IFERROR(INDEX('Chain Program'!$D$6:$D$120,MATCH($C7,'Chain Program'!$A$6:$A$120,0)),"Unknown ID"))</f>
        <v/>
      </c>
      <c r="F7" s="60" t="n"/>
      <c r="G7" s="60" t="n"/>
      <c r="H7" s="56">
        <f>IF(OR($C7="",$A7=""),"",IF(COUNTIFS('Promo Calendar'!$A$6:$A$400,$C7,'Promo Calendar'!$D$6:$D$400,IF($G7="","All",$G7),'Promo Calendar'!$I$6:$I$400,"&lt;="&amp;$A7,'Promo Calendar'!$J$6:$J$400,"&gt;="&amp;$A7,'Promo Calendar'!$G$6:$G$400,"&gt;0")&gt;0,_xlfn.MINIFS('Promo Calendar'!$G$6:$G$400,'Promo Calendar'!$A$6:$A$400,$C7,'Promo Calendar'!$D$6:$D$400,IF($G7="","All",$G7),'Promo Calendar'!$I$6:$I$400,"&lt;="&amp;$A7,'Promo Calendar'!$J$6:$J$400,"&gt;="&amp;$A7,'Promo Calendar'!$G$6:$G$400,"&gt;0"),IF(COUNTIFS('Promo Calendar'!$A$6:$A$400,$C7,'Promo Calendar'!$D$6:$D$400,"All",'Promo Calendar'!$I$6:$I$400,"&lt;="&amp;$A7,'Promo Calendar'!$J$6:$J$400,"&gt;="&amp;$A7,'Promo Calendar'!$G$6:$G$400,"&gt;0")&gt;0,_xlfn.MINIFS('Promo Calendar'!$G$6:$G$400,'Promo Calendar'!$A$6:$A$400,$C7,'Promo Calendar'!$D$6:$D$400,"All",'Promo Calendar'!$I$6:$I$400,"&lt;="&amp;$A7,'Promo Calendar'!$J$6:$J$400,"&gt;="&amp;$A7,'Promo Calendar'!$G$6:$G$400,"&gt;0"),IFERROR(IF(INDEX('Chain Program'!$M$6:$M$120,MATCH($C7,'Chain Program'!$A$6:$A$120,0))="","Not set",INDEX('Chain Program'!$M$6:$M$120,MATCH($C7,'Chain Program'!$A$6:$A$120,0))),"Not set"))))</f>
        <v/>
      </c>
      <c r="I7" s="61" t="n"/>
      <c r="J7" s="45">
        <f>IF($I7="","",IF(NOT(ISNUMBER($H7)),"No plan price",IF(ABS($I7-$H7)&lt;0.005,"Match",IF($I7&gt;$H7,"Over plan","Under plan"))))</f>
        <v/>
      </c>
      <c r="K7" s="60" t="n"/>
      <c r="L7" s="60" t="n"/>
      <c r="M7" s="60" t="n"/>
      <c r="N7" s="60" t="n"/>
      <c r="O7" s="60" t="n"/>
      <c r="P7" s="62" t="n"/>
      <c r="Q7" s="62" t="n"/>
      <c r="R7" s="60" t="n"/>
      <c r="S7" s="59" t="n"/>
      <c r="T7" s="60" t="n"/>
      <c r="U7" s="59" t="n"/>
      <c r="V7" s="45">
        <f>IF(OR($A7="",$T7="",$T7="No Issue"),"",IF($T7="Resolved",IF($U7="","",$U7-$A7),TODAY()-$A7))</f>
        <v/>
      </c>
      <c r="W7" s="47">
        <f>IF(AND($C7&lt;&gt;"",$C7='Store History'!$C$4,OR('Store History'!$C$5="",$F7='Store History'!$C$5)),1,0)</f>
        <v/>
      </c>
      <c r="X7" s="47">
        <f>IF($W7=1,SUM($W7:$W$1005),"")</f>
        <v/>
      </c>
    </row>
    <row r="8">
      <c r="A8" s="59" t="n"/>
      <c r="B8" s="60" t="n"/>
      <c r="C8" s="60" t="n"/>
      <c r="D8" s="45">
        <f>IF($C8="","",IFERROR(INDEX('Chain Program'!$B$6:$B$120,MATCH($C8,'Chain Program'!$A$6:$A$120,0)),"Unknown ID"))</f>
        <v/>
      </c>
      <c r="E8" s="45">
        <f>IF($C8="","",IFERROR(INDEX('Chain Program'!$D$6:$D$120,MATCH($C8,'Chain Program'!$A$6:$A$120,0)),"Unknown ID"))</f>
        <v/>
      </c>
      <c r="F8" s="60" t="n"/>
      <c r="G8" s="60" t="n"/>
      <c r="H8" s="56">
        <f>IF(OR($C8="",$A8=""),"",IF(COUNTIFS('Promo Calendar'!$A$6:$A$400,$C8,'Promo Calendar'!$D$6:$D$400,IF($G8="","All",$G8),'Promo Calendar'!$I$6:$I$400,"&lt;="&amp;$A8,'Promo Calendar'!$J$6:$J$400,"&gt;="&amp;$A8,'Promo Calendar'!$G$6:$G$400,"&gt;0")&gt;0,_xlfn.MINIFS('Promo Calendar'!$G$6:$G$400,'Promo Calendar'!$A$6:$A$400,$C8,'Promo Calendar'!$D$6:$D$400,IF($G8="","All",$G8),'Promo Calendar'!$I$6:$I$400,"&lt;="&amp;$A8,'Promo Calendar'!$J$6:$J$400,"&gt;="&amp;$A8,'Promo Calendar'!$G$6:$G$400,"&gt;0"),IF(COUNTIFS('Promo Calendar'!$A$6:$A$400,$C8,'Promo Calendar'!$D$6:$D$400,"All",'Promo Calendar'!$I$6:$I$400,"&lt;="&amp;$A8,'Promo Calendar'!$J$6:$J$400,"&gt;="&amp;$A8,'Promo Calendar'!$G$6:$G$400,"&gt;0")&gt;0,_xlfn.MINIFS('Promo Calendar'!$G$6:$G$400,'Promo Calendar'!$A$6:$A$400,$C8,'Promo Calendar'!$D$6:$D$400,"All",'Promo Calendar'!$I$6:$I$400,"&lt;="&amp;$A8,'Promo Calendar'!$J$6:$J$400,"&gt;="&amp;$A8,'Promo Calendar'!$G$6:$G$400,"&gt;0"),IFERROR(IF(INDEX('Chain Program'!$M$6:$M$120,MATCH($C8,'Chain Program'!$A$6:$A$120,0))="","Not set",INDEX('Chain Program'!$M$6:$M$120,MATCH($C8,'Chain Program'!$A$6:$A$120,0))),"Not set"))))</f>
        <v/>
      </c>
      <c r="I8" s="61" t="n"/>
      <c r="J8" s="45">
        <f>IF($I8="","",IF(NOT(ISNUMBER($H8)),"No plan price",IF(ABS($I8-$H8)&lt;0.005,"Match",IF($I8&gt;$H8,"Over plan","Under plan"))))</f>
        <v/>
      </c>
      <c r="K8" s="60" t="n"/>
      <c r="L8" s="60" t="n"/>
      <c r="M8" s="60" t="n"/>
      <c r="N8" s="60" t="n"/>
      <c r="O8" s="60" t="n"/>
      <c r="P8" s="62" t="n"/>
      <c r="Q8" s="62" t="n"/>
      <c r="R8" s="60" t="n"/>
      <c r="S8" s="59" t="n"/>
      <c r="T8" s="60" t="n"/>
      <c r="U8" s="59" t="n"/>
      <c r="V8" s="45">
        <f>IF(OR($A8="",$T8="",$T8="No Issue"),"",IF($T8="Resolved",IF($U8="","",$U8-$A8),TODAY()-$A8))</f>
        <v/>
      </c>
      <c r="W8" s="47">
        <f>IF(AND($C8&lt;&gt;"",$C8='Store History'!$C$4,OR('Store History'!$C$5="",$F8='Store History'!$C$5)),1,0)</f>
        <v/>
      </c>
      <c r="X8" s="47">
        <f>IF($W8=1,SUM($W8:$W$1005),"")</f>
        <v/>
      </c>
    </row>
    <row r="9">
      <c r="A9" s="59" t="n"/>
      <c r="B9" s="60" t="n"/>
      <c r="C9" s="60" t="n"/>
      <c r="D9" s="45">
        <f>IF($C9="","",IFERROR(INDEX('Chain Program'!$B$6:$B$120,MATCH($C9,'Chain Program'!$A$6:$A$120,0)),"Unknown ID"))</f>
        <v/>
      </c>
      <c r="E9" s="45">
        <f>IF($C9="","",IFERROR(INDEX('Chain Program'!$D$6:$D$120,MATCH($C9,'Chain Program'!$A$6:$A$120,0)),"Unknown ID"))</f>
        <v/>
      </c>
      <c r="F9" s="60" t="n"/>
      <c r="G9" s="60" t="n"/>
      <c r="H9" s="56">
        <f>IF(OR($C9="",$A9=""),"",IF(COUNTIFS('Promo Calendar'!$A$6:$A$400,$C9,'Promo Calendar'!$D$6:$D$400,IF($G9="","All",$G9),'Promo Calendar'!$I$6:$I$400,"&lt;="&amp;$A9,'Promo Calendar'!$J$6:$J$400,"&gt;="&amp;$A9,'Promo Calendar'!$G$6:$G$400,"&gt;0")&gt;0,_xlfn.MINIFS('Promo Calendar'!$G$6:$G$400,'Promo Calendar'!$A$6:$A$400,$C9,'Promo Calendar'!$D$6:$D$400,IF($G9="","All",$G9),'Promo Calendar'!$I$6:$I$400,"&lt;="&amp;$A9,'Promo Calendar'!$J$6:$J$400,"&gt;="&amp;$A9,'Promo Calendar'!$G$6:$G$400,"&gt;0"),IF(COUNTIFS('Promo Calendar'!$A$6:$A$400,$C9,'Promo Calendar'!$D$6:$D$400,"All",'Promo Calendar'!$I$6:$I$400,"&lt;="&amp;$A9,'Promo Calendar'!$J$6:$J$400,"&gt;="&amp;$A9,'Promo Calendar'!$G$6:$G$400,"&gt;0")&gt;0,_xlfn.MINIFS('Promo Calendar'!$G$6:$G$400,'Promo Calendar'!$A$6:$A$400,$C9,'Promo Calendar'!$D$6:$D$400,"All",'Promo Calendar'!$I$6:$I$400,"&lt;="&amp;$A9,'Promo Calendar'!$J$6:$J$400,"&gt;="&amp;$A9,'Promo Calendar'!$G$6:$G$400,"&gt;0"),IFERROR(IF(INDEX('Chain Program'!$M$6:$M$120,MATCH($C9,'Chain Program'!$A$6:$A$120,0))="","Not set",INDEX('Chain Program'!$M$6:$M$120,MATCH($C9,'Chain Program'!$A$6:$A$120,0))),"Not set"))))</f>
        <v/>
      </c>
      <c r="I9" s="61" t="n"/>
      <c r="J9" s="45">
        <f>IF($I9="","",IF(NOT(ISNUMBER($H9)),"No plan price",IF(ABS($I9-$H9)&lt;0.005,"Match",IF($I9&gt;$H9,"Over plan","Under plan"))))</f>
        <v/>
      </c>
      <c r="K9" s="60" t="n"/>
      <c r="L9" s="60" t="n"/>
      <c r="M9" s="60" t="n"/>
      <c r="N9" s="60" t="n"/>
      <c r="O9" s="60" t="n"/>
      <c r="P9" s="62" t="n"/>
      <c r="Q9" s="62" t="n"/>
      <c r="R9" s="60" t="n"/>
      <c r="S9" s="59" t="n"/>
      <c r="T9" s="60" t="n"/>
      <c r="U9" s="59" t="n"/>
      <c r="V9" s="45">
        <f>IF(OR($A9="",$T9="",$T9="No Issue"),"",IF($T9="Resolved",IF($U9="","",$U9-$A9),TODAY()-$A9))</f>
        <v/>
      </c>
      <c r="W9" s="47">
        <f>IF(AND($C9&lt;&gt;"",$C9='Store History'!$C$4,OR('Store History'!$C$5="",$F9='Store History'!$C$5)),1,0)</f>
        <v/>
      </c>
      <c r="X9" s="47">
        <f>IF($W9=1,SUM($W9:$W$1005),"")</f>
        <v/>
      </c>
    </row>
    <row r="10">
      <c r="A10" s="59" t="n"/>
      <c r="B10" s="60" t="n"/>
      <c r="C10" s="60" t="n"/>
      <c r="D10" s="45">
        <f>IF($C10="","",IFERROR(INDEX('Chain Program'!$B$6:$B$120,MATCH($C10,'Chain Program'!$A$6:$A$120,0)),"Unknown ID"))</f>
        <v/>
      </c>
      <c r="E10" s="45">
        <f>IF($C10="","",IFERROR(INDEX('Chain Program'!$D$6:$D$120,MATCH($C10,'Chain Program'!$A$6:$A$120,0)),"Unknown ID"))</f>
        <v/>
      </c>
      <c r="F10" s="60" t="n"/>
      <c r="G10" s="60" t="n"/>
      <c r="H10" s="56">
        <f>IF(OR($C10="",$A10=""),"",IF(COUNTIFS('Promo Calendar'!$A$6:$A$400,$C10,'Promo Calendar'!$D$6:$D$400,IF($G10="","All",$G10),'Promo Calendar'!$I$6:$I$400,"&lt;="&amp;$A10,'Promo Calendar'!$J$6:$J$400,"&gt;="&amp;$A10,'Promo Calendar'!$G$6:$G$400,"&gt;0")&gt;0,_xlfn.MINIFS('Promo Calendar'!$G$6:$G$400,'Promo Calendar'!$A$6:$A$400,$C10,'Promo Calendar'!$D$6:$D$400,IF($G10="","All",$G10),'Promo Calendar'!$I$6:$I$400,"&lt;="&amp;$A10,'Promo Calendar'!$J$6:$J$400,"&gt;="&amp;$A10,'Promo Calendar'!$G$6:$G$400,"&gt;0"),IF(COUNTIFS('Promo Calendar'!$A$6:$A$400,$C10,'Promo Calendar'!$D$6:$D$400,"All",'Promo Calendar'!$I$6:$I$400,"&lt;="&amp;$A10,'Promo Calendar'!$J$6:$J$400,"&gt;="&amp;$A10,'Promo Calendar'!$G$6:$G$400,"&gt;0")&gt;0,_xlfn.MINIFS('Promo Calendar'!$G$6:$G$400,'Promo Calendar'!$A$6:$A$400,$C10,'Promo Calendar'!$D$6:$D$400,"All",'Promo Calendar'!$I$6:$I$400,"&lt;="&amp;$A10,'Promo Calendar'!$J$6:$J$400,"&gt;="&amp;$A10,'Promo Calendar'!$G$6:$G$400,"&gt;0"),IFERROR(IF(INDEX('Chain Program'!$M$6:$M$120,MATCH($C10,'Chain Program'!$A$6:$A$120,0))="","Not set",INDEX('Chain Program'!$M$6:$M$120,MATCH($C10,'Chain Program'!$A$6:$A$120,0))),"Not set"))))</f>
        <v/>
      </c>
      <c r="I10" s="61" t="n"/>
      <c r="J10" s="45">
        <f>IF($I10="","",IF(NOT(ISNUMBER($H10)),"No plan price",IF(ABS($I10-$H10)&lt;0.005,"Match",IF($I10&gt;$H10,"Over plan","Under plan"))))</f>
        <v/>
      </c>
      <c r="K10" s="60" t="n"/>
      <c r="L10" s="60" t="n"/>
      <c r="M10" s="60" t="n"/>
      <c r="N10" s="60" t="n"/>
      <c r="O10" s="60" t="n"/>
      <c r="P10" s="62" t="n"/>
      <c r="Q10" s="62" t="n"/>
      <c r="R10" s="60" t="n"/>
      <c r="S10" s="59" t="n"/>
      <c r="T10" s="60" t="n"/>
      <c r="U10" s="59" t="n"/>
      <c r="V10" s="45">
        <f>IF(OR($A10="",$T10="",$T10="No Issue"),"",IF($T10="Resolved",IF($U10="","",$U10-$A10),TODAY()-$A10))</f>
        <v/>
      </c>
      <c r="W10" s="47">
        <f>IF(AND($C10&lt;&gt;"",$C10='Store History'!$C$4,OR('Store History'!$C$5="",$F10='Store History'!$C$5)),1,0)</f>
        <v/>
      </c>
      <c r="X10" s="47">
        <f>IF($W10=1,SUM($W10:$W$1005),"")</f>
        <v/>
      </c>
    </row>
    <row r="11">
      <c r="A11" s="59" t="n"/>
      <c r="B11" s="60" t="n"/>
      <c r="C11" s="60" t="n"/>
      <c r="D11" s="45">
        <f>IF($C11="","",IFERROR(INDEX('Chain Program'!$B$6:$B$120,MATCH($C11,'Chain Program'!$A$6:$A$120,0)),"Unknown ID"))</f>
        <v/>
      </c>
      <c r="E11" s="45">
        <f>IF($C11="","",IFERROR(INDEX('Chain Program'!$D$6:$D$120,MATCH($C11,'Chain Program'!$A$6:$A$120,0)),"Unknown ID"))</f>
        <v/>
      </c>
      <c r="F11" s="60" t="n"/>
      <c r="G11" s="60" t="n"/>
      <c r="H11" s="56">
        <f>IF(OR($C11="",$A11=""),"",IF(COUNTIFS('Promo Calendar'!$A$6:$A$400,$C11,'Promo Calendar'!$D$6:$D$400,IF($G11="","All",$G11),'Promo Calendar'!$I$6:$I$400,"&lt;="&amp;$A11,'Promo Calendar'!$J$6:$J$400,"&gt;="&amp;$A11,'Promo Calendar'!$G$6:$G$400,"&gt;0")&gt;0,_xlfn.MINIFS('Promo Calendar'!$G$6:$G$400,'Promo Calendar'!$A$6:$A$400,$C11,'Promo Calendar'!$D$6:$D$400,IF($G11="","All",$G11),'Promo Calendar'!$I$6:$I$400,"&lt;="&amp;$A11,'Promo Calendar'!$J$6:$J$400,"&gt;="&amp;$A11,'Promo Calendar'!$G$6:$G$400,"&gt;0"),IF(COUNTIFS('Promo Calendar'!$A$6:$A$400,$C11,'Promo Calendar'!$D$6:$D$400,"All",'Promo Calendar'!$I$6:$I$400,"&lt;="&amp;$A11,'Promo Calendar'!$J$6:$J$400,"&gt;="&amp;$A11,'Promo Calendar'!$G$6:$G$400,"&gt;0")&gt;0,_xlfn.MINIFS('Promo Calendar'!$G$6:$G$400,'Promo Calendar'!$A$6:$A$400,$C11,'Promo Calendar'!$D$6:$D$400,"All",'Promo Calendar'!$I$6:$I$400,"&lt;="&amp;$A11,'Promo Calendar'!$J$6:$J$400,"&gt;="&amp;$A11,'Promo Calendar'!$G$6:$G$400,"&gt;0"),IFERROR(IF(INDEX('Chain Program'!$M$6:$M$120,MATCH($C11,'Chain Program'!$A$6:$A$120,0))="","Not set",INDEX('Chain Program'!$M$6:$M$120,MATCH($C11,'Chain Program'!$A$6:$A$120,0))),"Not set"))))</f>
        <v/>
      </c>
      <c r="I11" s="61" t="n"/>
      <c r="J11" s="45">
        <f>IF($I11="","",IF(NOT(ISNUMBER($H11)),"No plan price",IF(ABS($I11-$H11)&lt;0.005,"Match",IF($I11&gt;$H11,"Over plan","Under plan"))))</f>
        <v/>
      </c>
      <c r="K11" s="60" t="n"/>
      <c r="L11" s="60" t="n"/>
      <c r="M11" s="60" t="n"/>
      <c r="N11" s="60" t="n"/>
      <c r="O11" s="60" t="n"/>
      <c r="P11" s="62" t="n"/>
      <c r="Q11" s="62" t="n"/>
      <c r="R11" s="60" t="n"/>
      <c r="S11" s="59" t="n"/>
      <c r="T11" s="60" t="n"/>
      <c r="U11" s="59" t="n"/>
      <c r="V11" s="45">
        <f>IF(OR($A11="",$T11="",$T11="No Issue"),"",IF($T11="Resolved",IF($U11="","",$U11-$A11),TODAY()-$A11))</f>
        <v/>
      </c>
      <c r="W11" s="47">
        <f>IF(AND($C11&lt;&gt;"",$C11='Store History'!$C$4,OR('Store History'!$C$5="",$F11='Store History'!$C$5)),1,0)</f>
        <v/>
      </c>
      <c r="X11" s="47">
        <f>IF($W11=1,SUM($W11:$W$1005),"")</f>
        <v/>
      </c>
    </row>
    <row r="12">
      <c r="A12" s="59" t="n"/>
      <c r="B12" s="60" t="n"/>
      <c r="C12" s="60" t="n"/>
      <c r="D12" s="45">
        <f>IF($C12="","",IFERROR(INDEX('Chain Program'!$B$6:$B$120,MATCH($C12,'Chain Program'!$A$6:$A$120,0)),"Unknown ID"))</f>
        <v/>
      </c>
      <c r="E12" s="45">
        <f>IF($C12="","",IFERROR(INDEX('Chain Program'!$D$6:$D$120,MATCH($C12,'Chain Program'!$A$6:$A$120,0)),"Unknown ID"))</f>
        <v/>
      </c>
      <c r="F12" s="60" t="n"/>
      <c r="G12" s="60" t="n"/>
      <c r="H12" s="56">
        <f>IF(OR($C12="",$A12=""),"",IF(COUNTIFS('Promo Calendar'!$A$6:$A$400,$C12,'Promo Calendar'!$D$6:$D$400,IF($G12="","All",$G12),'Promo Calendar'!$I$6:$I$400,"&lt;="&amp;$A12,'Promo Calendar'!$J$6:$J$400,"&gt;="&amp;$A12,'Promo Calendar'!$G$6:$G$400,"&gt;0")&gt;0,_xlfn.MINIFS('Promo Calendar'!$G$6:$G$400,'Promo Calendar'!$A$6:$A$400,$C12,'Promo Calendar'!$D$6:$D$400,IF($G12="","All",$G12),'Promo Calendar'!$I$6:$I$400,"&lt;="&amp;$A12,'Promo Calendar'!$J$6:$J$400,"&gt;="&amp;$A12,'Promo Calendar'!$G$6:$G$400,"&gt;0"),IF(COUNTIFS('Promo Calendar'!$A$6:$A$400,$C12,'Promo Calendar'!$D$6:$D$400,"All",'Promo Calendar'!$I$6:$I$400,"&lt;="&amp;$A12,'Promo Calendar'!$J$6:$J$400,"&gt;="&amp;$A12,'Promo Calendar'!$G$6:$G$400,"&gt;0")&gt;0,_xlfn.MINIFS('Promo Calendar'!$G$6:$G$400,'Promo Calendar'!$A$6:$A$400,$C12,'Promo Calendar'!$D$6:$D$400,"All",'Promo Calendar'!$I$6:$I$400,"&lt;="&amp;$A12,'Promo Calendar'!$J$6:$J$400,"&gt;="&amp;$A12,'Promo Calendar'!$G$6:$G$400,"&gt;0"),IFERROR(IF(INDEX('Chain Program'!$M$6:$M$120,MATCH($C12,'Chain Program'!$A$6:$A$120,0))="","Not set",INDEX('Chain Program'!$M$6:$M$120,MATCH($C12,'Chain Program'!$A$6:$A$120,0))),"Not set"))))</f>
        <v/>
      </c>
      <c r="I12" s="61" t="n"/>
      <c r="J12" s="45">
        <f>IF($I12="","",IF(NOT(ISNUMBER($H12)),"No plan price",IF(ABS($I12-$H12)&lt;0.005,"Match",IF($I12&gt;$H12,"Over plan","Under plan"))))</f>
        <v/>
      </c>
      <c r="K12" s="60" t="n"/>
      <c r="L12" s="60" t="n"/>
      <c r="M12" s="60" t="n"/>
      <c r="N12" s="60" t="n"/>
      <c r="O12" s="60" t="n"/>
      <c r="P12" s="62" t="n"/>
      <c r="Q12" s="62" t="n"/>
      <c r="R12" s="60" t="n"/>
      <c r="S12" s="59" t="n"/>
      <c r="T12" s="60" t="n"/>
      <c r="U12" s="59" t="n"/>
      <c r="V12" s="45">
        <f>IF(OR($A12="",$T12="",$T12="No Issue"),"",IF($T12="Resolved",IF($U12="","",$U12-$A12),TODAY()-$A12))</f>
        <v/>
      </c>
      <c r="W12" s="47">
        <f>IF(AND($C12&lt;&gt;"",$C12='Store History'!$C$4,OR('Store History'!$C$5="",$F12='Store History'!$C$5)),1,0)</f>
        <v/>
      </c>
      <c r="X12" s="47">
        <f>IF($W12=1,SUM($W12:$W$1005),"")</f>
        <v/>
      </c>
    </row>
    <row r="13">
      <c r="A13" s="59" t="n"/>
      <c r="B13" s="60" t="n"/>
      <c r="C13" s="60" t="n"/>
      <c r="D13" s="45">
        <f>IF($C13="","",IFERROR(INDEX('Chain Program'!$B$6:$B$120,MATCH($C13,'Chain Program'!$A$6:$A$120,0)),"Unknown ID"))</f>
        <v/>
      </c>
      <c r="E13" s="45">
        <f>IF($C13="","",IFERROR(INDEX('Chain Program'!$D$6:$D$120,MATCH($C13,'Chain Program'!$A$6:$A$120,0)),"Unknown ID"))</f>
        <v/>
      </c>
      <c r="F13" s="60" t="n"/>
      <c r="G13" s="60" t="n"/>
      <c r="H13" s="56">
        <f>IF(OR($C13="",$A13=""),"",IF(COUNTIFS('Promo Calendar'!$A$6:$A$400,$C13,'Promo Calendar'!$D$6:$D$400,IF($G13="","All",$G13),'Promo Calendar'!$I$6:$I$400,"&lt;="&amp;$A13,'Promo Calendar'!$J$6:$J$400,"&gt;="&amp;$A13,'Promo Calendar'!$G$6:$G$400,"&gt;0")&gt;0,_xlfn.MINIFS('Promo Calendar'!$G$6:$G$400,'Promo Calendar'!$A$6:$A$400,$C13,'Promo Calendar'!$D$6:$D$400,IF($G13="","All",$G13),'Promo Calendar'!$I$6:$I$400,"&lt;="&amp;$A13,'Promo Calendar'!$J$6:$J$400,"&gt;="&amp;$A13,'Promo Calendar'!$G$6:$G$400,"&gt;0"),IF(COUNTIFS('Promo Calendar'!$A$6:$A$400,$C13,'Promo Calendar'!$D$6:$D$400,"All",'Promo Calendar'!$I$6:$I$400,"&lt;="&amp;$A13,'Promo Calendar'!$J$6:$J$400,"&gt;="&amp;$A13,'Promo Calendar'!$G$6:$G$400,"&gt;0")&gt;0,_xlfn.MINIFS('Promo Calendar'!$G$6:$G$400,'Promo Calendar'!$A$6:$A$400,$C13,'Promo Calendar'!$D$6:$D$400,"All",'Promo Calendar'!$I$6:$I$400,"&lt;="&amp;$A13,'Promo Calendar'!$J$6:$J$400,"&gt;="&amp;$A13,'Promo Calendar'!$G$6:$G$400,"&gt;0"),IFERROR(IF(INDEX('Chain Program'!$M$6:$M$120,MATCH($C13,'Chain Program'!$A$6:$A$120,0))="","Not set",INDEX('Chain Program'!$M$6:$M$120,MATCH($C13,'Chain Program'!$A$6:$A$120,0))),"Not set"))))</f>
        <v/>
      </c>
      <c r="I13" s="61" t="n"/>
      <c r="J13" s="45">
        <f>IF($I13="","",IF(NOT(ISNUMBER($H13)),"No plan price",IF(ABS($I13-$H13)&lt;0.005,"Match",IF($I13&gt;$H13,"Over plan","Under plan"))))</f>
        <v/>
      </c>
      <c r="K13" s="60" t="n"/>
      <c r="L13" s="60" t="n"/>
      <c r="M13" s="60" t="n"/>
      <c r="N13" s="60" t="n"/>
      <c r="O13" s="60" t="n"/>
      <c r="P13" s="62" t="n"/>
      <c r="Q13" s="62" t="n"/>
      <c r="R13" s="60" t="n"/>
      <c r="S13" s="59" t="n"/>
      <c r="T13" s="60" t="n"/>
      <c r="U13" s="59" t="n"/>
      <c r="V13" s="45">
        <f>IF(OR($A13="",$T13="",$T13="No Issue"),"",IF($T13="Resolved",IF($U13="","",$U13-$A13),TODAY()-$A13))</f>
        <v/>
      </c>
      <c r="W13" s="47">
        <f>IF(AND($C13&lt;&gt;"",$C13='Store History'!$C$4,OR('Store History'!$C$5="",$F13='Store History'!$C$5)),1,0)</f>
        <v/>
      </c>
      <c r="X13" s="47">
        <f>IF($W13=1,SUM($W13:$W$1005),"")</f>
        <v/>
      </c>
    </row>
    <row r="14">
      <c r="A14" s="59" t="n"/>
      <c r="B14" s="60" t="n"/>
      <c r="C14" s="60" t="n"/>
      <c r="D14" s="45">
        <f>IF($C14="","",IFERROR(INDEX('Chain Program'!$B$6:$B$120,MATCH($C14,'Chain Program'!$A$6:$A$120,0)),"Unknown ID"))</f>
        <v/>
      </c>
      <c r="E14" s="45">
        <f>IF($C14="","",IFERROR(INDEX('Chain Program'!$D$6:$D$120,MATCH($C14,'Chain Program'!$A$6:$A$120,0)),"Unknown ID"))</f>
        <v/>
      </c>
      <c r="F14" s="60" t="n"/>
      <c r="G14" s="60" t="n"/>
      <c r="H14" s="56">
        <f>IF(OR($C14="",$A14=""),"",IF(COUNTIFS('Promo Calendar'!$A$6:$A$400,$C14,'Promo Calendar'!$D$6:$D$400,IF($G14="","All",$G14),'Promo Calendar'!$I$6:$I$400,"&lt;="&amp;$A14,'Promo Calendar'!$J$6:$J$400,"&gt;="&amp;$A14,'Promo Calendar'!$G$6:$G$400,"&gt;0")&gt;0,_xlfn.MINIFS('Promo Calendar'!$G$6:$G$400,'Promo Calendar'!$A$6:$A$400,$C14,'Promo Calendar'!$D$6:$D$400,IF($G14="","All",$G14),'Promo Calendar'!$I$6:$I$400,"&lt;="&amp;$A14,'Promo Calendar'!$J$6:$J$400,"&gt;="&amp;$A14,'Promo Calendar'!$G$6:$G$400,"&gt;0"),IF(COUNTIFS('Promo Calendar'!$A$6:$A$400,$C14,'Promo Calendar'!$D$6:$D$400,"All",'Promo Calendar'!$I$6:$I$400,"&lt;="&amp;$A14,'Promo Calendar'!$J$6:$J$400,"&gt;="&amp;$A14,'Promo Calendar'!$G$6:$G$400,"&gt;0")&gt;0,_xlfn.MINIFS('Promo Calendar'!$G$6:$G$400,'Promo Calendar'!$A$6:$A$400,$C14,'Promo Calendar'!$D$6:$D$400,"All",'Promo Calendar'!$I$6:$I$400,"&lt;="&amp;$A14,'Promo Calendar'!$J$6:$J$400,"&gt;="&amp;$A14,'Promo Calendar'!$G$6:$G$400,"&gt;0"),IFERROR(IF(INDEX('Chain Program'!$M$6:$M$120,MATCH($C14,'Chain Program'!$A$6:$A$120,0))="","Not set",INDEX('Chain Program'!$M$6:$M$120,MATCH($C14,'Chain Program'!$A$6:$A$120,0))),"Not set"))))</f>
        <v/>
      </c>
      <c r="I14" s="61" t="n"/>
      <c r="J14" s="45">
        <f>IF($I14="","",IF(NOT(ISNUMBER($H14)),"No plan price",IF(ABS($I14-$H14)&lt;0.005,"Match",IF($I14&gt;$H14,"Over plan","Under plan"))))</f>
        <v/>
      </c>
      <c r="K14" s="60" t="n"/>
      <c r="L14" s="60" t="n"/>
      <c r="M14" s="60" t="n"/>
      <c r="N14" s="60" t="n"/>
      <c r="O14" s="60" t="n"/>
      <c r="P14" s="62" t="n"/>
      <c r="Q14" s="62" t="n"/>
      <c r="R14" s="60" t="n"/>
      <c r="S14" s="59" t="n"/>
      <c r="T14" s="60" t="n"/>
      <c r="U14" s="59" t="n"/>
      <c r="V14" s="45">
        <f>IF(OR($A14="",$T14="",$T14="No Issue"),"",IF($T14="Resolved",IF($U14="","",$U14-$A14),TODAY()-$A14))</f>
        <v/>
      </c>
      <c r="W14" s="47">
        <f>IF(AND($C14&lt;&gt;"",$C14='Store History'!$C$4,OR('Store History'!$C$5="",$F14='Store History'!$C$5)),1,0)</f>
        <v/>
      </c>
      <c r="X14" s="47">
        <f>IF($W14=1,SUM($W14:$W$1005),"")</f>
        <v/>
      </c>
    </row>
    <row r="15">
      <c r="A15" s="59" t="n"/>
      <c r="B15" s="60" t="n"/>
      <c r="C15" s="60" t="n"/>
      <c r="D15" s="45">
        <f>IF($C15="","",IFERROR(INDEX('Chain Program'!$B$6:$B$120,MATCH($C15,'Chain Program'!$A$6:$A$120,0)),"Unknown ID"))</f>
        <v/>
      </c>
      <c r="E15" s="45">
        <f>IF($C15="","",IFERROR(INDEX('Chain Program'!$D$6:$D$120,MATCH($C15,'Chain Program'!$A$6:$A$120,0)),"Unknown ID"))</f>
        <v/>
      </c>
      <c r="F15" s="60" t="n"/>
      <c r="G15" s="60" t="n"/>
      <c r="H15" s="56">
        <f>IF(OR($C15="",$A15=""),"",IF(COUNTIFS('Promo Calendar'!$A$6:$A$400,$C15,'Promo Calendar'!$D$6:$D$400,IF($G15="","All",$G15),'Promo Calendar'!$I$6:$I$400,"&lt;="&amp;$A15,'Promo Calendar'!$J$6:$J$400,"&gt;="&amp;$A15,'Promo Calendar'!$G$6:$G$400,"&gt;0")&gt;0,_xlfn.MINIFS('Promo Calendar'!$G$6:$G$400,'Promo Calendar'!$A$6:$A$400,$C15,'Promo Calendar'!$D$6:$D$400,IF($G15="","All",$G15),'Promo Calendar'!$I$6:$I$400,"&lt;="&amp;$A15,'Promo Calendar'!$J$6:$J$400,"&gt;="&amp;$A15,'Promo Calendar'!$G$6:$G$400,"&gt;0"),IF(COUNTIFS('Promo Calendar'!$A$6:$A$400,$C15,'Promo Calendar'!$D$6:$D$400,"All",'Promo Calendar'!$I$6:$I$400,"&lt;="&amp;$A15,'Promo Calendar'!$J$6:$J$400,"&gt;="&amp;$A15,'Promo Calendar'!$G$6:$G$400,"&gt;0")&gt;0,_xlfn.MINIFS('Promo Calendar'!$G$6:$G$400,'Promo Calendar'!$A$6:$A$400,$C15,'Promo Calendar'!$D$6:$D$400,"All",'Promo Calendar'!$I$6:$I$400,"&lt;="&amp;$A15,'Promo Calendar'!$J$6:$J$400,"&gt;="&amp;$A15,'Promo Calendar'!$G$6:$G$400,"&gt;0"),IFERROR(IF(INDEX('Chain Program'!$M$6:$M$120,MATCH($C15,'Chain Program'!$A$6:$A$120,0))="","Not set",INDEX('Chain Program'!$M$6:$M$120,MATCH($C15,'Chain Program'!$A$6:$A$120,0))),"Not set"))))</f>
        <v/>
      </c>
      <c r="I15" s="61" t="n"/>
      <c r="J15" s="45">
        <f>IF($I15="","",IF(NOT(ISNUMBER($H15)),"No plan price",IF(ABS($I15-$H15)&lt;0.005,"Match",IF($I15&gt;$H15,"Over plan","Under plan"))))</f>
        <v/>
      </c>
      <c r="K15" s="60" t="n"/>
      <c r="L15" s="60" t="n"/>
      <c r="M15" s="60" t="n"/>
      <c r="N15" s="60" t="n"/>
      <c r="O15" s="60" t="n"/>
      <c r="P15" s="62" t="n"/>
      <c r="Q15" s="62" t="n"/>
      <c r="R15" s="60" t="n"/>
      <c r="S15" s="59" t="n"/>
      <c r="T15" s="60" t="n"/>
      <c r="U15" s="59" t="n"/>
      <c r="V15" s="45">
        <f>IF(OR($A15="",$T15="",$T15="No Issue"),"",IF($T15="Resolved",IF($U15="","",$U15-$A15),TODAY()-$A15))</f>
        <v/>
      </c>
      <c r="W15" s="47">
        <f>IF(AND($C15&lt;&gt;"",$C15='Store History'!$C$4,OR('Store History'!$C$5="",$F15='Store History'!$C$5)),1,0)</f>
        <v/>
      </c>
      <c r="X15" s="47">
        <f>IF($W15=1,SUM($W15:$W$1005),"")</f>
        <v/>
      </c>
    </row>
    <row r="16">
      <c r="A16" s="59" t="n"/>
      <c r="B16" s="60" t="n"/>
      <c r="C16" s="60" t="n"/>
      <c r="D16" s="45">
        <f>IF($C16="","",IFERROR(INDEX('Chain Program'!$B$6:$B$120,MATCH($C16,'Chain Program'!$A$6:$A$120,0)),"Unknown ID"))</f>
        <v/>
      </c>
      <c r="E16" s="45">
        <f>IF($C16="","",IFERROR(INDEX('Chain Program'!$D$6:$D$120,MATCH($C16,'Chain Program'!$A$6:$A$120,0)),"Unknown ID"))</f>
        <v/>
      </c>
      <c r="F16" s="60" t="n"/>
      <c r="G16" s="60" t="n"/>
      <c r="H16" s="56">
        <f>IF(OR($C16="",$A16=""),"",IF(COUNTIFS('Promo Calendar'!$A$6:$A$400,$C16,'Promo Calendar'!$D$6:$D$400,IF($G16="","All",$G16),'Promo Calendar'!$I$6:$I$400,"&lt;="&amp;$A16,'Promo Calendar'!$J$6:$J$400,"&gt;="&amp;$A16,'Promo Calendar'!$G$6:$G$400,"&gt;0")&gt;0,_xlfn.MINIFS('Promo Calendar'!$G$6:$G$400,'Promo Calendar'!$A$6:$A$400,$C16,'Promo Calendar'!$D$6:$D$400,IF($G16="","All",$G16),'Promo Calendar'!$I$6:$I$400,"&lt;="&amp;$A16,'Promo Calendar'!$J$6:$J$400,"&gt;="&amp;$A16,'Promo Calendar'!$G$6:$G$400,"&gt;0"),IF(COUNTIFS('Promo Calendar'!$A$6:$A$400,$C16,'Promo Calendar'!$D$6:$D$400,"All",'Promo Calendar'!$I$6:$I$400,"&lt;="&amp;$A16,'Promo Calendar'!$J$6:$J$400,"&gt;="&amp;$A16,'Promo Calendar'!$G$6:$G$400,"&gt;0")&gt;0,_xlfn.MINIFS('Promo Calendar'!$G$6:$G$400,'Promo Calendar'!$A$6:$A$400,$C16,'Promo Calendar'!$D$6:$D$400,"All",'Promo Calendar'!$I$6:$I$400,"&lt;="&amp;$A16,'Promo Calendar'!$J$6:$J$400,"&gt;="&amp;$A16,'Promo Calendar'!$G$6:$G$400,"&gt;0"),IFERROR(IF(INDEX('Chain Program'!$M$6:$M$120,MATCH($C16,'Chain Program'!$A$6:$A$120,0))="","Not set",INDEX('Chain Program'!$M$6:$M$120,MATCH($C16,'Chain Program'!$A$6:$A$120,0))),"Not set"))))</f>
        <v/>
      </c>
      <c r="I16" s="61" t="n"/>
      <c r="J16" s="45">
        <f>IF($I16="","",IF(NOT(ISNUMBER($H16)),"No plan price",IF(ABS($I16-$H16)&lt;0.005,"Match",IF($I16&gt;$H16,"Over plan","Under plan"))))</f>
        <v/>
      </c>
      <c r="K16" s="60" t="n"/>
      <c r="L16" s="60" t="n"/>
      <c r="M16" s="60" t="n"/>
      <c r="N16" s="60" t="n"/>
      <c r="O16" s="60" t="n"/>
      <c r="P16" s="62" t="n"/>
      <c r="Q16" s="62" t="n"/>
      <c r="R16" s="60" t="n"/>
      <c r="S16" s="59" t="n"/>
      <c r="T16" s="60" t="n"/>
      <c r="U16" s="59" t="n"/>
      <c r="V16" s="45">
        <f>IF(OR($A16="",$T16="",$T16="No Issue"),"",IF($T16="Resolved",IF($U16="","",$U16-$A16),TODAY()-$A16))</f>
        <v/>
      </c>
      <c r="W16" s="47">
        <f>IF(AND($C16&lt;&gt;"",$C16='Store History'!$C$4,OR('Store History'!$C$5="",$F16='Store History'!$C$5)),1,0)</f>
        <v/>
      </c>
      <c r="X16" s="47">
        <f>IF($W16=1,SUM($W16:$W$1005),"")</f>
        <v/>
      </c>
    </row>
    <row r="17">
      <c r="A17" s="59" t="n"/>
      <c r="B17" s="60" t="n"/>
      <c r="C17" s="60" t="n"/>
      <c r="D17" s="45">
        <f>IF($C17="","",IFERROR(INDEX('Chain Program'!$B$6:$B$120,MATCH($C17,'Chain Program'!$A$6:$A$120,0)),"Unknown ID"))</f>
        <v/>
      </c>
      <c r="E17" s="45">
        <f>IF($C17="","",IFERROR(INDEX('Chain Program'!$D$6:$D$120,MATCH($C17,'Chain Program'!$A$6:$A$120,0)),"Unknown ID"))</f>
        <v/>
      </c>
      <c r="F17" s="60" t="n"/>
      <c r="G17" s="60" t="n"/>
      <c r="H17" s="56">
        <f>IF(OR($C17="",$A17=""),"",IF(COUNTIFS('Promo Calendar'!$A$6:$A$400,$C17,'Promo Calendar'!$D$6:$D$400,IF($G17="","All",$G17),'Promo Calendar'!$I$6:$I$400,"&lt;="&amp;$A17,'Promo Calendar'!$J$6:$J$400,"&gt;="&amp;$A17,'Promo Calendar'!$G$6:$G$400,"&gt;0")&gt;0,_xlfn.MINIFS('Promo Calendar'!$G$6:$G$400,'Promo Calendar'!$A$6:$A$400,$C17,'Promo Calendar'!$D$6:$D$400,IF($G17="","All",$G17),'Promo Calendar'!$I$6:$I$400,"&lt;="&amp;$A17,'Promo Calendar'!$J$6:$J$400,"&gt;="&amp;$A17,'Promo Calendar'!$G$6:$G$400,"&gt;0"),IF(COUNTIFS('Promo Calendar'!$A$6:$A$400,$C17,'Promo Calendar'!$D$6:$D$400,"All",'Promo Calendar'!$I$6:$I$400,"&lt;="&amp;$A17,'Promo Calendar'!$J$6:$J$400,"&gt;="&amp;$A17,'Promo Calendar'!$G$6:$G$400,"&gt;0")&gt;0,_xlfn.MINIFS('Promo Calendar'!$G$6:$G$400,'Promo Calendar'!$A$6:$A$400,$C17,'Promo Calendar'!$D$6:$D$400,"All",'Promo Calendar'!$I$6:$I$400,"&lt;="&amp;$A17,'Promo Calendar'!$J$6:$J$400,"&gt;="&amp;$A17,'Promo Calendar'!$G$6:$G$400,"&gt;0"),IFERROR(IF(INDEX('Chain Program'!$M$6:$M$120,MATCH($C17,'Chain Program'!$A$6:$A$120,0))="","Not set",INDEX('Chain Program'!$M$6:$M$120,MATCH($C17,'Chain Program'!$A$6:$A$120,0))),"Not set"))))</f>
        <v/>
      </c>
      <c r="I17" s="61" t="n"/>
      <c r="J17" s="45">
        <f>IF($I17="","",IF(NOT(ISNUMBER($H17)),"No plan price",IF(ABS($I17-$H17)&lt;0.005,"Match",IF($I17&gt;$H17,"Over plan","Under plan"))))</f>
        <v/>
      </c>
      <c r="K17" s="60" t="n"/>
      <c r="L17" s="60" t="n"/>
      <c r="M17" s="60" t="n"/>
      <c r="N17" s="60" t="n"/>
      <c r="O17" s="60" t="n"/>
      <c r="P17" s="62" t="n"/>
      <c r="Q17" s="62" t="n"/>
      <c r="R17" s="60" t="n"/>
      <c r="S17" s="59" t="n"/>
      <c r="T17" s="60" t="n"/>
      <c r="U17" s="59" t="n"/>
      <c r="V17" s="45">
        <f>IF(OR($A17="",$T17="",$T17="No Issue"),"",IF($T17="Resolved",IF($U17="","",$U17-$A17),TODAY()-$A17))</f>
        <v/>
      </c>
      <c r="W17" s="47">
        <f>IF(AND($C17&lt;&gt;"",$C17='Store History'!$C$4,OR('Store History'!$C$5="",$F17='Store History'!$C$5)),1,0)</f>
        <v/>
      </c>
      <c r="X17" s="47">
        <f>IF($W17=1,SUM($W17:$W$1005),"")</f>
        <v/>
      </c>
    </row>
    <row r="18">
      <c r="A18" s="59" t="n"/>
      <c r="B18" s="60" t="n"/>
      <c r="C18" s="60" t="n"/>
      <c r="D18" s="45">
        <f>IF($C18="","",IFERROR(INDEX('Chain Program'!$B$6:$B$120,MATCH($C18,'Chain Program'!$A$6:$A$120,0)),"Unknown ID"))</f>
        <v/>
      </c>
      <c r="E18" s="45">
        <f>IF($C18="","",IFERROR(INDEX('Chain Program'!$D$6:$D$120,MATCH($C18,'Chain Program'!$A$6:$A$120,0)),"Unknown ID"))</f>
        <v/>
      </c>
      <c r="F18" s="60" t="n"/>
      <c r="G18" s="60" t="n"/>
      <c r="H18" s="56">
        <f>IF(OR($C18="",$A18=""),"",IF(COUNTIFS('Promo Calendar'!$A$6:$A$400,$C18,'Promo Calendar'!$D$6:$D$400,IF($G18="","All",$G18),'Promo Calendar'!$I$6:$I$400,"&lt;="&amp;$A18,'Promo Calendar'!$J$6:$J$400,"&gt;="&amp;$A18,'Promo Calendar'!$G$6:$G$400,"&gt;0")&gt;0,_xlfn.MINIFS('Promo Calendar'!$G$6:$G$400,'Promo Calendar'!$A$6:$A$400,$C18,'Promo Calendar'!$D$6:$D$400,IF($G18="","All",$G18),'Promo Calendar'!$I$6:$I$400,"&lt;="&amp;$A18,'Promo Calendar'!$J$6:$J$400,"&gt;="&amp;$A18,'Promo Calendar'!$G$6:$G$400,"&gt;0"),IF(COUNTIFS('Promo Calendar'!$A$6:$A$400,$C18,'Promo Calendar'!$D$6:$D$400,"All",'Promo Calendar'!$I$6:$I$400,"&lt;="&amp;$A18,'Promo Calendar'!$J$6:$J$400,"&gt;="&amp;$A18,'Promo Calendar'!$G$6:$G$400,"&gt;0")&gt;0,_xlfn.MINIFS('Promo Calendar'!$G$6:$G$400,'Promo Calendar'!$A$6:$A$400,$C18,'Promo Calendar'!$D$6:$D$400,"All",'Promo Calendar'!$I$6:$I$400,"&lt;="&amp;$A18,'Promo Calendar'!$J$6:$J$400,"&gt;="&amp;$A18,'Promo Calendar'!$G$6:$G$400,"&gt;0"),IFERROR(IF(INDEX('Chain Program'!$M$6:$M$120,MATCH($C18,'Chain Program'!$A$6:$A$120,0))="","Not set",INDEX('Chain Program'!$M$6:$M$120,MATCH($C18,'Chain Program'!$A$6:$A$120,0))),"Not set"))))</f>
        <v/>
      </c>
      <c r="I18" s="61" t="n"/>
      <c r="J18" s="45">
        <f>IF($I18="","",IF(NOT(ISNUMBER($H18)),"No plan price",IF(ABS($I18-$H18)&lt;0.005,"Match",IF($I18&gt;$H18,"Over plan","Under plan"))))</f>
        <v/>
      </c>
      <c r="K18" s="60" t="n"/>
      <c r="L18" s="60" t="n"/>
      <c r="M18" s="60" t="n"/>
      <c r="N18" s="60" t="n"/>
      <c r="O18" s="60" t="n"/>
      <c r="P18" s="62" t="n"/>
      <c r="Q18" s="62" t="n"/>
      <c r="R18" s="60" t="n"/>
      <c r="S18" s="59" t="n"/>
      <c r="T18" s="60" t="n"/>
      <c r="U18" s="59" t="n"/>
      <c r="V18" s="45">
        <f>IF(OR($A18="",$T18="",$T18="No Issue"),"",IF($T18="Resolved",IF($U18="","",$U18-$A18),TODAY()-$A18))</f>
        <v/>
      </c>
      <c r="W18" s="47">
        <f>IF(AND($C18&lt;&gt;"",$C18='Store History'!$C$4,OR('Store History'!$C$5="",$F18='Store History'!$C$5)),1,0)</f>
        <v/>
      </c>
      <c r="X18" s="47">
        <f>IF($W18=1,SUM($W18:$W$1005),"")</f>
        <v/>
      </c>
    </row>
    <row r="19">
      <c r="A19" s="59" t="n"/>
      <c r="B19" s="60" t="n"/>
      <c r="C19" s="60" t="n"/>
      <c r="D19" s="45">
        <f>IF($C19="","",IFERROR(INDEX('Chain Program'!$B$6:$B$120,MATCH($C19,'Chain Program'!$A$6:$A$120,0)),"Unknown ID"))</f>
        <v/>
      </c>
      <c r="E19" s="45">
        <f>IF($C19="","",IFERROR(INDEX('Chain Program'!$D$6:$D$120,MATCH($C19,'Chain Program'!$A$6:$A$120,0)),"Unknown ID"))</f>
        <v/>
      </c>
      <c r="F19" s="60" t="n"/>
      <c r="G19" s="60" t="n"/>
      <c r="H19" s="56">
        <f>IF(OR($C19="",$A19=""),"",IF(COUNTIFS('Promo Calendar'!$A$6:$A$400,$C19,'Promo Calendar'!$D$6:$D$400,IF($G19="","All",$G19),'Promo Calendar'!$I$6:$I$400,"&lt;="&amp;$A19,'Promo Calendar'!$J$6:$J$400,"&gt;="&amp;$A19,'Promo Calendar'!$G$6:$G$400,"&gt;0")&gt;0,_xlfn.MINIFS('Promo Calendar'!$G$6:$G$400,'Promo Calendar'!$A$6:$A$400,$C19,'Promo Calendar'!$D$6:$D$400,IF($G19="","All",$G19),'Promo Calendar'!$I$6:$I$400,"&lt;="&amp;$A19,'Promo Calendar'!$J$6:$J$400,"&gt;="&amp;$A19,'Promo Calendar'!$G$6:$G$400,"&gt;0"),IF(COUNTIFS('Promo Calendar'!$A$6:$A$400,$C19,'Promo Calendar'!$D$6:$D$400,"All",'Promo Calendar'!$I$6:$I$400,"&lt;="&amp;$A19,'Promo Calendar'!$J$6:$J$400,"&gt;="&amp;$A19,'Promo Calendar'!$G$6:$G$400,"&gt;0")&gt;0,_xlfn.MINIFS('Promo Calendar'!$G$6:$G$400,'Promo Calendar'!$A$6:$A$400,$C19,'Promo Calendar'!$D$6:$D$400,"All",'Promo Calendar'!$I$6:$I$400,"&lt;="&amp;$A19,'Promo Calendar'!$J$6:$J$400,"&gt;="&amp;$A19,'Promo Calendar'!$G$6:$G$400,"&gt;0"),IFERROR(IF(INDEX('Chain Program'!$M$6:$M$120,MATCH($C19,'Chain Program'!$A$6:$A$120,0))="","Not set",INDEX('Chain Program'!$M$6:$M$120,MATCH($C19,'Chain Program'!$A$6:$A$120,0))),"Not set"))))</f>
        <v/>
      </c>
      <c r="I19" s="61" t="n"/>
      <c r="J19" s="45">
        <f>IF($I19="","",IF(NOT(ISNUMBER($H19)),"No plan price",IF(ABS($I19-$H19)&lt;0.005,"Match",IF($I19&gt;$H19,"Over plan","Under plan"))))</f>
        <v/>
      </c>
      <c r="K19" s="60" t="n"/>
      <c r="L19" s="60" t="n"/>
      <c r="M19" s="60" t="n"/>
      <c r="N19" s="60" t="n"/>
      <c r="O19" s="60" t="n"/>
      <c r="P19" s="62" t="n"/>
      <c r="Q19" s="62" t="n"/>
      <c r="R19" s="60" t="n"/>
      <c r="S19" s="59" t="n"/>
      <c r="T19" s="60" t="n"/>
      <c r="U19" s="59" t="n"/>
      <c r="V19" s="45">
        <f>IF(OR($A19="",$T19="",$T19="No Issue"),"",IF($T19="Resolved",IF($U19="","",$U19-$A19),TODAY()-$A19))</f>
        <v/>
      </c>
      <c r="W19" s="47">
        <f>IF(AND($C19&lt;&gt;"",$C19='Store History'!$C$4,OR('Store History'!$C$5="",$F19='Store History'!$C$5)),1,0)</f>
        <v/>
      </c>
      <c r="X19" s="47">
        <f>IF($W19=1,SUM($W19:$W$1005),"")</f>
        <v/>
      </c>
    </row>
    <row r="20">
      <c r="A20" s="59" t="n"/>
      <c r="B20" s="60" t="n"/>
      <c r="C20" s="60" t="n"/>
      <c r="D20" s="45">
        <f>IF($C20="","",IFERROR(INDEX('Chain Program'!$B$6:$B$120,MATCH($C20,'Chain Program'!$A$6:$A$120,0)),"Unknown ID"))</f>
        <v/>
      </c>
      <c r="E20" s="45">
        <f>IF($C20="","",IFERROR(INDEX('Chain Program'!$D$6:$D$120,MATCH($C20,'Chain Program'!$A$6:$A$120,0)),"Unknown ID"))</f>
        <v/>
      </c>
      <c r="F20" s="60" t="n"/>
      <c r="G20" s="60" t="n"/>
      <c r="H20" s="56">
        <f>IF(OR($C20="",$A20=""),"",IF(COUNTIFS('Promo Calendar'!$A$6:$A$400,$C20,'Promo Calendar'!$D$6:$D$400,IF($G20="","All",$G20),'Promo Calendar'!$I$6:$I$400,"&lt;="&amp;$A20,'Promo Calendar'!$J$6:$J$400,"&gt;="&amp;$A20,'Promo Calendar'!$G$6:$G$400,"&gt;0")&gt;0,_xlfn.MINIFS('Promo Calendar'!$G$6:$G$400,'Promo Calendar'!$A$6:$A$400,$C20,'Promo Calendar'!$D$6:$D$400,IF($G20="","All",$G20),'Promo Calendar'!$I$6:$I$400,"&lt;="&amp;$A20,'Promo Calendar'!$J$6:$J$400,"&gt;="&amp;$A20,'Promo Calendar'!$G$6:$G$400,"&gt;0"),IF(COUNTIFS('Promo Calendar'!$A$6:$A$400,$C20,'Promo Calendar'!$D$6:$D$400,"All",'Promo Calendar'!$I$6:$I$400,"&lt;="&amp;$A20,'Promo Calendar'!$J$6:$J$400,"&gt;="&amp;$A20,'Promo Calendar'!$G$6:$G$400,"&gt;0")&gt;0,_xlfn.MINIFS('Promo Calendar'!$G$6:$G$400,'Promo Calendar'!$A$6:$A$400,$C20,'Promo Calendar'!$D$6:$D$400,"All",'Promo Calendar'!$I$6:$I$400,"&lt;="&amp;$A20,'Promo Calendar'!$J$6:$J$400,"&gt;="&amp;$A20,'Promo Calendar'!$G$6:$G$400,"&gt;0"),IFERROR(IF(INDEX('Chain Program'!$M$6:$M$120,MATCH($C20,'Chain Program'!$A$6:$A$120,0))="","Not set",INDEX('Chain Program'!$M$6:$M$120,MATCH($C20,'Chain Program'!$A$6:$A$120,0))),"Not set"))))</f>
        <v/>
      </c>
      <c r="I20" s="61" t="n"/>
      <c r="J20" s="45">
        <f>IF($I20="","",IF(NOT(ISNUMBER($H20)),"No plan price",IF(ABS($I20-$H20)&lt;0.005,"Match",IF($I20&gt;$H20,"Over plan","Under plan"))))</f>
        <v/>
      </c>
      <c r="K20" s="60" t="n"/>
      <c r="L20" s="60" t="n"/>
      <c r="M20" s="60" t="n"/>
      <c r="N20" s="60" t="n"/>
      <c r="O20" s="60" t="n"/>
      <c r="P20" s="62" t="n"/>
      <c r="Q20" s="62" t="n"/>
      <c r="R20" s="60" t="n"/>
      <c r="S20" s="59" t="n"/>
      <c r="T20" s="60" t="n"/>
      <c r="U20" s="59" t="n"/>
      <c r="V20" s="45">
        <f>IF(OR($A20="",$T20="",$T20="No Issue"),"",IF($T20="Resolved",IF($U20="","",$U20-$A20),TODAY()-$A20))</f>
        <v/>
      </c>
      <c r="W20" s="47">
        <f>IF(AND($C20&lt;&gt;"",$C20='Store History'!$C$4,OR('Store History'!$C$5="",$F20='Store History'!$C$5)),1,0)</f>
        <v/>
      </c>
      <c r="X20" s="47">
        <f>IF($W20=1,SUM($W20:$W$1005),"")</f>
        <v/>
      </c>
    </row>
    <row r="21">
      <c r="A21" s="59" t="n"/>
      <c r="B21" s="60" t="n"/>
      <c r="C21" s="60" t="n"/>
      <c r="D21" s="45">
        <f>IF($C21="","",IFERROR(INDEX('Chain Program'!$B$6:$B$120,MATCH($C21,'Chain Program'!$A$6:$A$120,0)),"Unknown ID"))</f>
        <v/>
      </c>
      <c r="E21" s="45">
        <f>IF($C21="","",IFERROR(INDEX('Chain Program'!$D$6:$D$120,MATCH($C21,'Chain Program'!$A$6:$A$120,0)),"Unknown ID"))</f>
        <v/>
      </c>
      <c r="F21" s="60" t="n"/>
      <c r="G21" s="60" t="n"/>
      <c r="H21" s="56">
        <f>IF(OR($C21="",$A21=""),"",IF(COUNTIFS('Promo Calendar'!$A$6:$A$400,$C21,'Promo Calendar'!$D$6:$D$400,IF($G21="","All",$G21),'Promo Calendar'!$I$6:$I$400,"&lt;="&amp;$A21,'Promo Calendar'!$J$6:$J$400,"&gt;="&amp;$A21,'Promo Calendar'!$G$6:$G$400,"&gt;0")&gt;0,_xlfn.MINIFS('Promo Calendar'!$G$6:$G$400,'Promo Calendar'!$A$6:$A$400,$C21,'Promo Calendar'!$D$6:$D$400,IF($G21="","All",$G21),'Promo Calendar'!$I$6:$I$400,"&lt;="&amp;$A21,'Promo Calendar'!$J$6:$J$400,"&gt;="&amp;$A21,'Promo Calendar'!$G$6:$G$400,"&gt;0"),IF(COUNTIFS('Promo Calendar'!$A$6:$A$400,$C21,'Promo Calendar'!$D$6:$D$400,"All",'Promo Calendar'!$I$6:$I$400,"&lt;="&amp;$A21,'Promo Calendar'!$J$6:$J$400,"&gt;="&amp;$A21,'Promo Calendar'!$G$6:$G$400,"&gt;0")&gt;0,_xlfn.MINIFS('Promo Calendar'!$G$6:$G$400,'Promo Calendar'!$A$6:$A$400,$C21,'Promo Calendar'!$D$6:$D$400,"All",'Promo Calendar'!$I$6:$I$400,"&lt;="&amp;$A21,'Promo Calendar'!$J$6:$J$400,"&gt;="&amp;$A21,'Promo Calendar'!$G$6:$G$400,"&gt;0"),IFERROR(IF(INDEX('Chain Program'!$M$6:$M$120,MATCH($C21,'Chain Program'!$A$6:$A$120,0))="","Not set",INDEX('Chain Program'!$M$6:$M$120,MATCH($C21,'Chain Program'!$A$6:$A$120,0))),"Not set"))))</f>
        <v/>
      </c>
      <c r="I21" s="61" t="n"/>
      <c r="J21" s="45">
        <f>IF($I21="","",IF(NOT(ISNUMBER($H21)),"No plan price",IF(ABS($I21-$H21)&lt;0.005,"Match",IF($I21&gt;$H21,"Over plan","Under plan"))))</f>
        <v/>
      </c>
      <c r="K21" s="60" t="n"/>
      <c r="L21" s="60" t="n"/>
      <c r="M21" s="60" t="n"/>
      <c r="N21" s="60" t="n"/>
      <c r="O21" s="60" t="n"/>
      <c r="P21" s="62" t="n"/>
      <c r="Q21" s="62" t="n"/>
      <c r="R21" s="60" t="n"/>
      <c r="S21" s="59" t="n"/>
      <c r="T21" s="60" t="n"/>
      <c r="U21" s="59" t="n"/>
      <c r="V21" s="45">
        <f>IF(OR($A21="",$T21="",$T21="No Issue"),"",IF($T21="Resolved",IF($U21="","",$U21-$A21),TODAY()-$A21))</f>
        <v/>
      </c>
      <c r="W21" s="47">
        <f>IF(AND($C21&lt;&gt;"",$C21='Store History'!$C$4,OR('Store History'!$C$5="",$F21='Store History'!$C$5)),1,0)</f>
        <v/>
      </c>
      <c r="X21" s="47">
        <f>IF($W21=1,SUM($W21:$W$1005),"")</f>
        <v/>
      </c>
    </row>
    <row r="22">
      <c r="A22" s="59" t="n"/>
      <c r="B22" s="60" t="n"/>
      <c r="C22" s="60" t="n"/>
      <c r="D22" s="45">
        <f>IF($C22="","",IFERROR(INDEX('Chain Program'!$B$6:$B$120,MATCH($C22,'Chain Program'!$A$6:$A$120,0)),"Unknown ID"))</f>
        <v/>
      </c>
      <c r="E22" s="45">
        <f>IF($C22="","",IFERROR(INDEX('Chain Program'!$D$6:$D$120,MATCH($C22,'Chain Program'!$A$6:$A$120,0)),"Unknown ID"))</f>
        <v/>
      </c>
      <c r="F22" s="60" t="n"/>
      <c r="G22" s="60" t="n"/>
      <c r="H22" s="56">
        <f>IF(OR($C22="",$A22=""),"",IF(COUNTIFS('Promo Calendar'!$A$6:$A$400,$C22,'Promo Calendar'!$D$6:$D$400,IF($G22="","All",$G22),'Promo Calendar'!$I$6:$I$400,"&lt;="&amp;$A22,'Promo Calendar'!$J$6:$J$400,"&gt;="&amp;$A22,'Promo Calendar'!$G$6:$G$400,"&gt;0")&gt;0,_xlfn.MINIFS('Promo Calendar'!$G$6:$G$400,'Promo Calendar'!$A$6:$A$400,$C22,'Promo Calendar'!$D$6:$D$400,IF($G22="","All",$G22),'Promo Calendar'!$I$6:$I$400,"&lt;="&amp;$A22,'Promo Calendar'!$J$6:$J$400,"&gt;="&amp;$A22,'Promo Calendar'!$G$6:$G$400,"&gt;0"),IF(COUNTIFS('Promo Calendar'!$A$6:$A$400,$C22,'Promo Calendar'!$D$6:$D$400,"All",'Promo Calendar'!$I$6:$I$400,"&lt;="&amp;$A22,'Promo Calendar'!$J$6:$J$400,"&gt;="&amp;$A22,'Promo Calendar'!$G$6:$G$400,"&gt;0")&gt;0,_xlfn.MINIFS('Promo Calendar'!$G$6:$G$400,'Promo Calendar'!$A$6:$A$400,$C22,'Promo Calendar'!$D$6:$D$400,"All",'Promo Calendar'!$I$6:$I$400,"&lt;="&amp;$A22,'Promo Calendar'!$J$6:$J$400,"&gt;="&amp;$A22,'Promo Calendar'!$G$6:$G$400,"&gt;0"),IFERROR(IF(INDEX('Chain Program'!$M$6:$M$120,MATCH($C22,'Chain Program'!$A$6:$A$120,0))="","Not set",INDEX('Chain Program'!$M$6:$M$120,MATCH($C22,'Chain Program'!$A$6:$A$120,0))),"Not set"))))</f>
        <v/>
      </c>
      <c r="I22" s="61" t="n"/>
      <c r="J22" s="45">
        <f>IF($I22="","",IF(NOT(ISNUMBER($H22)),"No plan price",IF(ABS($I22-$H22)&lt;0.005,"Match",IF($I22&gt;$H22,"Over plan","Under plan"))))</f>
        <v/>
      </c>
      <c r="K22" s="60" t="n"/>
      <c r="L22" s="60" t="n"/>
      <c r="M22" s="60" t="n"/>
      <c r="N22" s="60" t="n"/>
      <c r="O22" s="60" t="n"/>
      <c r="P22" s="62" t="n"/>
      <c r="Q22" s="62" t="n"/>
      <c r="R22" s="60" t="n"/>
      <c r="S22" s="59" t="n"/>
      <c r="T22" s="60" t="n"/>
      <c r="U22" s="59" t="n"/>
      <c r="V22" s="45">
        <f>IF(OR($A22="",$T22="",$T22="No Issue"),"",IF($T22="Resolved",IF($U22="","",$U22-$A22),TODAY()-$A22))</f>
        <v/>
      </c>
      <c r="W22" s="47">
        <f>IF(AND($C22&lt;&gt;"",$C22='Store History'!$C$4,OR('Store History'!$C$5="",$F22='Store History'!$C$5)),1,0)</f>
        <v/>
      </c>
      <c r="X22" s="47">
        <f>IF($W22=1,SUM($W22:$W$1005),"")</f>
        <v/>
      </c>
    </row>
    <row r="23">
      <c r="A23" s="59" t="n"/>
      <c r="B23" s="60" t="n"/>
      <c r="C23" s="60" t="n"/>
      <c r="D23" s="45">
        <f>IF($C23="","",IFERROR(INDEX('Chain Program'!$B$6:$B$120,MATCH($C23,'Chain Program'!$A$6:$A$120,0)),"Unknown ID"))</f>
        <v/>
      </c>
      <c r="E23" s="45">
        <f>IF($C23="","",IFERROR(INDEX('Chain Program'!$D$6:$D$120,MATCH($C23,'Chain Program'!$A$6:$A$120,0)),"Unknown ID"))</f>
        <v/>
      </c>
      <c r="F23" s="60" t="n"/>
      <c r="G23" s="60" t="n"/>
      <c r="H23" s="56">
        <f>IF(OR($C23="",$A23=""),"",IF(COUNTIFS('Promo Calendar'!$A$6:$A$400,$C23,'Promo Calendar'!$D$6:$D$400,IF($G23="","All",$G23),'Promo Calendar'!$I$6:$I$400,"&lt;="&amp;$A23,'Promo Calendar'!$J$6:$J$400,"&gt;="&amp;$A23,'Promo Calendar'!$G$6:$G$400,"&gt;0")&gt;0,_xlfn.MINIFS('Promo Calendar'!$G$6:$G$400,'Promo Calendar'!$A$6:$A$400,$C23,'Promo Calendar'!$D$6:$D$400,IF($G23="","All",$G23),'Promo Calendar'!$I$6:$I$400,"&lt;="&amp;$A23,'Promo Calendar'!$J$6:$J$400,"&gt;="&amp;$A23,'Promo Calendar'!$G$6:$G$400,"&gt;0"),IF(COUNTIFS('Promo Calendar'!$A$6:$A$400,$C23,'Promo Calendar'!$D$6:$D$400,"All",'Promo Calendar'!$I$6:$I$400,"&lt;="&amp;$A23,'Promo Calendar'!$J$6:$J$400,"&gt;="&amp;$A23,'Promo Calendar'!$G$6:$G$400,"&gt;0")&gt;0,_xlfn.MINIFS('Promo Calendar'!$G$6:$G$400,'Promo Calendar'!$A$6:$A$400,$C23,'Promo Calendar'!$D$6:$D$400,"All",'Promo Calendar'!$I$6:$I$400,"&lt;="&amp;$A23,'Promo Calendar'!$J$6:$J$400,"&gt;="&amp;$A23,'Promo Calendar'!$G$6:$G$400,"&gt;0"),IFERROR(IF(INDEX('Chain Program'!$M$6:$M$120,MATCH($C23,'Chain Program'!$A$6:$A$120,0))="","Not set",INDEX('Chain Program'!$M$6:$M$120,MATCH($C23,'Chain Program'!$A$6:$A$120,0))),"Not set"))))</f>
        <v/>
      </c>
      <c r="I23" s="61" t="n"/>
      <c r="J23" s="45">
        <f>IF($I23="","",IF(NOT(ISNUMBER($H23)),"No plan price",IF(ABS($I23-$H23)&lt;0.005,"Match",IF($I23&gt;$H23,"Over plan","Under plan"))))</f>
        <v/>
      </c>
      <c r="K23" s="60" t="n"/>
      <c r="L23" s="60" t="n"/>
      <c r="M23" s="60" t="n"/>
      <c r="N23" s="60" t="n"/>
      <c r="O23" s="60" t="n"/>
      <c r="P23" s="62" t="n"/>
      <c r="Q23" s="62" t="n"/>
      <c r="R23" s="60" t="n"/>
      <c r="S23" s="59" t="n"/>
      <c r="T23" s="60" t="n"/>
      <c r="U23" s="59" t="n"/>
      <c r="V23" s="45">
        <f>IF(OR($A23="",$T23="",$T23="No Issue"),"",IF($T23="Resolved",IF($U23="","",$U23-$A23),TODAY()-$A23))</f>
        <v/>
      </c>
      <c r="W23" s="47">
        <f>IF(AND($C23&lt;&gt;"",$C23='Store History'!$C$4,OR('Store History'!$C$5="",$F23='Store History'!$C$5)),1,0)</f>
        <v/>
      </c>
      <c r="X23" s="47">
        <f>IF($W23=1,SUM($W23:$W$1005),"")</f>
        <v/>
      </c>
    </row>
    <row r="24">
      <c r="A24" s="59" t="n"/>
      <c r="B24" s="60" t="n"/>
      <c r="C24" s="60" t="n"/>
      <c r="D24" s="45">
        <f>IF($C24="","",IFERROR(INDEX('Chain Program'!$B$6:$B$120,MATCH($C24,'Chain Program'!$A$6:$A$120,0)),"Unknown ID"))</f>
        <v/>
      </c>
      <c r="E24" s="45">
        <f>IF($C24="","",IFERROR(INDEX('Chain Program'!$D$6:$D$120,MATCH($C24,'Chain Program'!$A$6:$A$120,0)),"Unknown ID"))</f>
        <v/>
      </c>
      <c r="F24" s="60" t="n"/>
      <c r="G24" s="60" t="n"/>
      <c r="H24" s="56">
        <f>IF(OR($C24="",$A24=""),"",IF(COUNTIFS('Promo Calendar'!$A$6:$A$400,$C24,'Promo Calendar'!$D$6:$D$400,IF($G24="","All",$G24),'Promo Calendar'!$I$6:$I$400,"&lt;="&amp;$A24,'Promo Calendar'!$J$6:$J$400,"&gt;="&amp;$A24,'Promo Calendar'!$G$6:$G$400,"&gt;0")&gt;0,_xlfn.MINIFS('Promo Calendar'!$G$6:$G$400,'Promo Calendar'!$A$6:$A$400,$C24,'Promo Calendar'!$D$6:$D$400,IF($G24="","All",$G24),'Promo Calendar'!$I$6:$I$400,"&lt;="&amp;$A24,'Promo Calendar'!$J$6:$J$400,"&gt;="&amp;$A24,'Promo Calendar'!$G$6:$G$400,"&gt;0"),IF(COUNTIFS('Promo Calendar'!$A$6:$A$400,$C24,'Promo Calendar'!$D$6:$D$400,"All",'Promo Calendar'!$I$6:$I$400,"&lt;="&amp;$A24,'Promo Calendar'!$J$6:$J$400,"&gt;="&amp;$A24,'Promo Calendar'!$G$6:$G$400,"&gt;0")&gt;0,_xlfn.MINIFS('Promo Calendar'!$G$6:$G$400,'Promo Calendar'!$A$6:$A$400,$C24,'Promo Calendar'!$D$6:$D$400,"All",'Promo Calendar'!$I$6:$I$400,"&lt;="&amp;$A24,'Promo Calendar'!$J$6:$J$400,"&gt;="&amp;$A24,'Promo Calendar'!$G$6:$G$400,"&gt;0"),IFERROR(IF(INDEX('Chain Program'!$M$6:$M$120,MATCH($C24,'Chain Program'!$A$6:$A$120,0))="","Not set",INDEX('Chain Program'!$M$6:$M$120,MATCH($C24,'Chain Program'!$A$6:$A$120,0))),"Not set"))))</f>
        <v/>
      </c>
      <c r="I24" s="61" t="n"/>
      <c r="J24" s="45">
        <f>IF($I24="","",IF(NOT(ISNUMBER($H24)),"No plan price",IF(ABS($I24-$H24)&lt;0.005,"Match",IF($I24&gt;$H24,"Over plan","Under plan"))))</f>
        <v/>
      </c>
      <c r="K24" s="60" t="n"/>
      <c r="L24" s="60" t="n"/>
      <c r="M24" s="60" t="n"/>
      <c r="N24" s="60" t="n"/>
      <c r="O24" s="60" t="n"/>
      <c r="P24" s="62" t="n"/>
      <c r="Q24" s="62" t="n"/>
      <c r="R24" s="60" t="n"/>
      <c r="S24" s="59" t="n"/>
      <c r="T24" s="60" t="n"/>
      <c r="U24" s="59" t="n"/>
      <c r="V24" s="45">
        <f>IF(OR($A24="",$T24="",$T24="No Issue"),"",IF($T24="Resolved",IF($U24="","",$U24-$A24),TODAY()-$A24))</f>
        <v/>
      </c>
      <c r="W24" s="47">
        <f>IF(AND($C24&lt;&gt;"",$C24='Store History'!$C$4,OR('Store History'!$C$5="",$F24='Store History'!$C$5)),1,0)</f>
        <v/>
      </c>
      <c r="X24" s="47">
        <f>IF($W24=1,SUM($W24:$W$1005),"")</f>
        <v/>
      </c>
    </row>
    <row r="25">
      <c r="A25" s="59" t="n"/>
      <c r="B25" s="60" t="n"/>
      <c r="C25" s="60" t="n"/>
      <c r="D25" s="45">
        <f>IF($C25="","",IFERROR(INDEX('Chain Program'!$B$6:$B$120,MATCH($C25,'Chain Program'!$A$6:$A$120,0)),"Unknown ID"))</f>
        <v/>
      </c>
      <c r="E25" s="45">
        <f>IF($C25="","",IFERROR(INDEX('Chain Program'!$D$6:$D$120,MATCH($C25,'Chain Program'!$A$6:$A$120,0)),"Unknown ID"))</f>
        <v/>
      </c>
      <c r="F25" s="60" t="n"/>
      <c r="G25" s="60" t="n"/>
      <c r="H25" s="56">
        <f>IF(OR($C25="",$A25=""),"",IF(COUNTIFS('Promo Calendar'!$A$6:$A$400,$C25,'Promo Calendar'!$D$6:$D$400,IF($G25="","All",$G25),'Promo Calendar'!$I$6:$I$400,"&lt;="&amp;$A25,'Promo Calendar'!$J$6:$J$400,"&gt;="&amp;$A25,'Promo Calendar'!$G$6:$G$400,"&gt;0")&gt;0,_xlfn.MINIFS('Promo Calendar'!$G$6:$G$400,'Promo Calendar'!$A$6:$A$400,$C25,'Promo Calendar'!$D$6:$D$400,IF($G25="","All",$G25),'Promo Calendar'!$I$6:$I$400,"&lt;="&amp;$A25,'Promo Calendar'!$J$6:$J$400,"&gt;="&amp;$A25,'Promo Calendar'!$G$6:$G$400,"&gt;0"),IF(COUNTIFS('Promo Calendar'!$A$6:$A$400,$C25,'Promo Calendar'!$D$6:$D$400,"All",'Promo Calendar'!$I$6:$I$400,"&lt;="&amp;$A25,'Promo Calendar'!$J$6:$J$400,"&gt;="&amp;$A25,'Promo Calendar'!$G$6:$G$400,"&gt;0")&gt;0,_xlfn.MINIFS('Promo Calendar'!$G$6:$G$400,'Promo Calendar'!$A$6:$A$400,$C25,'Promo Calendar'!$D$6:$D$400,"All",'Promo Calendar'!$I$6:$I$400,"&lt;="&amp;$A25,'Promo Calendar'!$J$6:$J$400,"&gt;="&amp;$A25,'Promo Calendar'!$G$6:$G$400,"&gt;0"),IFERROR(IF(INDEX('Chain Program'!$M$6:$M$120,MATCH($C25,'Chain Program'!$A$6:$A$120,0))="","Not set",INDEX('Chain Program'!$M$6:$M$120,MATCH($C25,'Chain Program'!$A$6:$A$120,0))),"Not set"))))</f>
        <v/>
      </c>
      <c r="I25" s="61" t="n"/>
      <c r="J25" s="45">
        <f>IF($I25="","",IF(NOT(ISNUMBER($H25)),"No plan price",IF(ABS($I25-$H25)&lt;0.005,"Match",IF($I25&gt;$H25,"Over plan","Under plan"))))</f>
        <v/>
      </c>
      <c r="K25" s="60" t="n"/>
      <c r="L25" s="60" t="n"/>
      <c r="M25" s="60" t="n"/>
      <c r="N25" s="60" t="n"/>
      <c r="O25" s="60" t="n"/>
      <c r="P25" s="62" t="n"/>
      <c r="Q25" s="62" t="n"/>
      <c r="R25" s="60" t="n"/>
      <c r="S25" s="59" t="n"/>
      <c r="T25" s="60" t="n"/>
      <c r="U25" s="59" t="n"/>
      <c r="V25" s="45">
        <f>IF(OR($A25="",$T25="",$T25="No Issue"),"",IF($T25="Resolved",IF($U25="","",$U25-$A25),TODAY()-$A25))</f>
        <v/>
      </c>
      <c r="W25" s="47">
        <f>IF(AND($C25&lt;&gt;"",$C25='Store History'!$C$4,OR('Store History'!$C$5="",$F25='Store History'!$C$5)),1,0)</f>
        <v/>
      </c>
      <c r="X25" s="47">
        <f>IF($W25=1,SUM($W25:$W$1005),"")</f>
        <v/>
      </c>
    </row>
    <row r="26">
      <c r="A26" s="59" t="n"/>
      <c r="B26" s="60" t="n"/>
      <c r="C26" s="60" t="n"/>
      <c r="D26" s="45">
        <f>IF($C26="","",IFERROR(INDEX('Chain Program'!$B$6:$B$120,MATCH($C26,'Chain Program'!$A$6:$A$120,0)),"Unknown ID"))</f>
        <v/>
      </c>
      <c r="E26" s="45">
        <f>IF($C26="","",IFERROR(INDEX('Chain Program'!$D$6:$D$120,MATCH($C26,'Chain Program'!$A$6:$A$120,0)),"Unknown ID"))</f>
        <v/>
      </c>
      <c r="F26" s="60" t="n"/>
      <c r="G26" s="60" t="n"/>
      <c r="H26" s="56">
        <f>IF(OR($C26="",$A26=""),"",IF(COUNTIFS('Promo Calendar'!$A$6:$A$400,$C26,'Promo Calendar'!$D$6:$D$400,IF($G26="","All",$G26),'Promo Calendar'!$I$6:$I$400,"&lt;="&amp;$A26,'Promo Calendar'!$J$6:$J$400,"&gt;="&amp;$A26,'Promo Calendar'!$G$6:$G$400,"&gt;0")&gt;0,_xlfn.MINIFS('Promo Calendar'!$G$6:$G$400,'Promo Calendar'!$A$6:$A$400,$C26,'Promo Calendar'!$D$6:$D$400,IF($G26="","All",$G26),'Promo Calendar'!$I$6:$I$400,"&lt;="&amp;$A26,'Promo Calendar'!$J$6:$J$400,"&gt;="&amp;$A26,'Promo Calendar'!$G$6:$G$400,"&gt;0"),IF(COUNTIFS('Promo Calendar'!$A$6:$A$400,$C26,'Promo Calendar'!$D$6:$D$400,"All",'Promo Calendar'!$I$6:$I$400,"&lt;="&amp;$A26,'Promo Calendar'!$J$6:$J$400,"&gt;="&amp;$A26,'Promo Calendar'!$G$6:$G$400,"&gt;0")&gt;0,_xlfn.MINIFS('Promo Calendar'!$G$6:$G$400,'Promo Calendar'!$A$6:$A$400,$C26,'Promo Calendar'!$D$6:$D$400,"All",'Promo Calendar'!$I$6:$I$400,"&lt;="&amp;$A26,'Promo Calendar'!$J$6:$J$400,"&gt;="&amp;$A26,'Promo Calendar'!$G$6:$G$400,"&gt;0"),IFERROR(IF(INDEX('Chain Program'!$M$6:$M$120,MATCH($C26,'Chain Program'!$A$6:$A$120,0))="","Not set",INDEX('Chain Program'!$M$6:$M$120,MATCH($C26,'Chain Program'!$A$6:$A$120,0))),"Not set"))))</f>
        <v/>
      </c>
      <c r="I26" s="61" t="n"/>
      <c r="J26" s="45">
        <f>IF($I26="","",IF(NOT(ISNUMBER($H26)),"No plan price",IF(ABS($I26-$H26)&lt;0.005,"Match",IF($I26&gt;$H26,"Over plan","Under plan"))))</f>
        <v/>
      </c>
      <c r="K26" s="60" t="n"/>
      <c r="L26" s="60" t="n"/>
      <c r="M26" s="60" t="n"/>
      <c r="N26" s="60" t="n"/>
      <c r="O26" s="60" t="n"/>
      <c r="P26" s="62" t="n"/>
      <c r="Q26" s="62" t="n"/>
      <c r="R26" s="60" t="n"/>
      <c r="S26" s="59" t="n"/>
      <c r="T26" s="60" t="n"/>
      <c r="U26" s="59" t="n"/>
      <c r="V26" s="45">
        <f>IF(OR($A26="",$T26="",$T26="No Issue"),"",IF($T26="Resolved",IF($U26="","",$U26-$A26),TODAY()-$A26))</f>
        <v/>
      </c>
      <c r="W26" s="47">
        <f>IF(AND($C26&lt;&gt;"",$C26='Store History'!$C$4,OR('Store History'!$C$5="",$F26='Store History'!$C$5)),1,0)</f>
        <v/>
      </c>
      <c r="X26" s="47">
        <f>IF($W26=1,SUM($W26:$W$1005),"")</f>
        <v/>
      </c>
    </row>
    <row r="27">
      <c r="A27" s="59" t="n"/>
      <c r="B27" s="60" t="n"/>
      <c r="C27" s="60" t="n"/>
      <c r="D27" s="45">
        <f>IF($C27="","",IFERROR(INDEX('Chain Program'!$B$6:$B$120,MATCH($C27,'Chain Program'!$A$6:$A$120,0)),"Unknown ID"))</f>
        <v/>
      </c>
      <c r="E27" s="45">
        <f>IF($C27="","",IFERROR(INDEX('Chain Program'!$D$6:$D$120,MATCH($C27,'Chain Program'!$A$6:$A$120,0)),"Unknown ID"))</f>
        <v/>
      </c>
      <c r="F27" s="60" t="n"/>
      <c r="G27" s="60" t="n"/>
      <c r="H27" s="56">
        <f>IF(OR($C27="",$A27=""),"",IF(COUNTIFS('Promo Calendar'!$A$6:$A$400,$C27,'Promo Calendar'!$D$6:$D$400,IF($G27="","All",$G27),'Promo Calendar'!$I$6:$I$400,"&lt;="&amp;$A27,'Promo Calendar'!$J$6:$J$400,"&gt;="&amp;$A27,'Promo Calendar'!$G$6:$G$400,"&gt;0")&gt;0,_xlfn.MINIFS('Promo Calendar'!$G$6:$G$400,'Promo Calendar'!$A$6:$A$400,$C27,'Promo Calendar'!$D$6:$D$400,IF($G27="","All",$G27),'Promo Calendar'!$I$6:$I$400,"&lt;="&amp;$A27,'Promo Calendar'!$J$6:$J$400,"&gt;="&amp;$A27,'Promo Calendar'!$G$6:$G$400,"&gt;0"),IF(COUNTIFS('Promo Calendar'!$A$6:$A$400,$C27,'Promo Calendar'!$D$6:$D$400,"All",'Promo Calendar'!$I$6:$I$400,"&lt;="&amp;$A27,'Promo Calendar'!$J$6:$J$400,"&gt;="&amp;$A27,'Promo Calendar'!$G$6:$G$400,"&gt;0")&gt;0,_xlfn.MINIFS('Promo Calendar'!$G$6:$G$400,'Promo Calendar'!$A$6:$A$400,$C27,'Promo Calendar'!$D$6:$D$400,"All",'Promo Calendar'!$I$6:$I$400,"&lt;="&amp;$A27,'Promo Calendar'!$J$6:$J$400,"&gt;="&amp;$A27,'Promo Calendar'!$G$6:$G$400,"&gt;0"),IFERROR(IF(INDEX('Chain Program'!$M$6:$M$120,MATCH($C27,'Chain Program'!$A$6:$A$120,0))="","Not set",INDEX('Chain Program'!$M$6:$M$120,MATCH($C27,'Chain Program'!$A$6:$A$120,0))),"Not set"))))</f>
        <v/>
      </c>
      <c r="I27" s="61" t="n"/>
      <c r="J27" s="45">
        <f>IF($I27="","",IF(NOT(ISNUMBER($H27)),"No plan price",IF(ABS($I27-$H27)&lt;0.005,"Match",IF($I27&gt;$H27,"Over plan","Under plan"))))</f>
        <v/>
      </c>
      <c r="K27" s="60" t="n"/>
      <c r="L27" s="60" t="n"/>
      <c r="M27" s="60" t="n"/>
      <c r="N27" s="60" t="n"/>
      <c r="O27" s="60" t="n"/>
      <c r="P27" s="62" t="n"/>
      <c r="Q27" s="62" t="n"/>
      <c r="R27" s="60" t="n"/>
      <c r="S27" s="59" t="n"/>
      <c r="T27" s="60" t="n"/>
      <c r="U27" s="59" t="n"/>
      <c r="V27" s="45">
        <f>IF(OR($A27="",$T27="",$T27="No Issue"),"",IF($T27="Resolved",IF($U27="","",$U27-$A27),TODAY()-$A27))</f>
        <v/>
      </c>
      <c r="W27" s="47">
        <f>IF(AND($C27&lt;&gt;"",$C27='Store History'!$C$4,OR('Store History'!$C$5="",$F27='Store History'!$C$5)),1,0)</f>
        <v/>
      </c>
      <c r="X27" s="47">
        <f>IF($W27=1,SUM($W27:$W$1005),"")</f>
        <v/>
      </c>
    </row>
    <row r="28">
      <c r="A28" s="59" t="n"/>
      <c r="B28" s="60" t="n"/>
      <c r="C28" s="60" t="n"/>
      <c r="D28" s="45">
        <f>IF($C28="","",IFERROR(INDEX('Chain Program'!$B$6:$B$120,MATCH($C28,'Chain Program'!$A$6:$A$120,0)),"Unknown ID"))</f>
        <v/>
      </c>
      <c r="E28" s="45">
        <f>IF($C28="","",IFERROR(INDEX('Chain Program'!$D$6:$D$120,MATCH($C28,'Chain Program'!$A$6:$A$120,0)),"Unknown ID"))</f>
        <v/>
      </c>
      <c r="F28" s="60" t="n"/>
      <c r="G28" s="60" t="n"/>
      <c r="H28" s="56">
        <f>IF(OR($C28="",$A28=""),"",IF(COUNTIFS('Promo Calendar'!$A$6:$A$400,$C28,'Promo Calendar'!$D$6:$D$400,IF($G28="","All",$G28),'Promo Calendar'!$I$6:$I$400,"&lt;="&amp;$A28,'Promo Calendar'!$J$6:$J$400,"&gt;="&amp;$A28,'Promo Calendar'!$G$6:$G$400,"&gt;0")&gt;0,_xlfn.MINIFS('Promo Calendar'!$G$6:$G$400,'Promo Calendar'!$A$6:$A$400,$C28,'Promo Calendar'!$D$6:$D$400,IF($G28="","All",$G28),'Promo Calendar'!$I$6:$I$400,"&lt;="&amp;$A28,'Promo Calendar'!$J$6:$J$400,"&gt;="&amp;$A28,'Promo Calendar'!$G$6:$G$400,"&gt;0"),IF(COUNTIFS('Promo Calendar'!$A$6:$A$400,$C28,'Promo Calendar'!$D$6:$D$400,"All",'Promo Calendar'!$I$6:$I$400,"&lt;="&amp;$A28,'Promo Calendar'!$J$6:$J$400,"&gt;="&amp;$A28,'Promo Calendar'!$G$6:$G$400,"&gt;0")&gt;0,_xlfn.MINIFS('Promo Calendar'!$G$6:$G$400,'Promo Calendar'!$A$6:$A$400,$C28,'Promo Calendar'!$D$6:$D$400,"All",'Promo Calendar'!$I$6:$I$400,"&lt;="&amp;$A28,'Promo Calendar'!$J$6:$J$400,"&gt;="&amp;$A28,'Promo Calendar'!$G$6:$G$400,"&gt;0"),IFERROR(IF(INDEX('Chain Program'!$M$6:$M$120,MATCH($C28,'Chain Program'!$A$6:$A$120,0))="","Not set",INDEX('Chain Program'!$M$6:$M$120,MATCH($C28,'Chain Program'!$A$6:$A$120,0))),"Not set"))))</f>
        <v/>
      </c>
      <c r="I28" s="61" t="n"/>
      <c r="J28" s="45">
        <f>IF($I28="","",IF(NOT(ISNUMBER($H28)),"No plan price",IF(ABS($I28-$H28)&lt;0.005,"Match",IF($I28&gt;$H28,"Over plan","Under plan"))))</f>
        <v/>
      </c>
      <c r="K28" s="60" t="n"/>
      <c r="L28" s="60" t="n"/>
      <c r="M28" s="60" t="n"/>
      <c r="N28" s="60" t="n"/>
      <c r="O28" s="60" t="n"/>
      <c r="P28" s="62" t="n"/>
      <c r="Q28" s="62" t="n"/>
      <c r="R28" s="60" t="n"/>
      <c r="S28" s="59" t="n"/>
      <c r="T28" s="60" t="n"/>
      <c r="U28" s="59" t="n"/>
      <c r="V28" s="45">
        <f>IF(OR($A28="",$T28="",$T28="No Issue"),"",IF($T28="Resolved",IF($U28="","",$U28-$A28),TODAY()-$A28))</f>
        <v/>
      </c>
      <c r="W28" s="47">
        <f>IF(AND($C28&lt;&gt;"",$C28='Store History'!$C$4,OR('Store History'!$C$5="",$F28='Store History'!$C$5)),1,0)</f>
        <v/>
      </c>
      <c r="X28" s="47">
        <f>IF($W28=1,SUM($W28:$W$1005),"")</f>
        <v/>
      </c>
    </row>
    <row r="29">
      <c r="A29" s="59" t="n"/>
      <c r="B29" s="60" t="n"/>
      <c r="C29" s="60" t="n"/>
      <c r="D29" s="45">
        <f>IF($C29="","",IFERROR(INDEX('Chain Program'!$B$6:$B$120,MATCH($C29,'Chain Program'!$A$6:$A$120,0)),"Unknown ID"))</f>
        <v/>
      </c>
      <c r="E29" s="45">
        <f>IF($C29="","",IFERROR(INDEX('Chain Program'!$D$6:$D$120,MATCH($C29,'Chain Program'!$A$6:$A$120,0)),"Unknown ID"))</f>
        <v/>
      </c>
      <c r="F29" s="60" t="n"/>
      <c r="G29" s="60" t="n"/>
      <c r="H29" s="56">
        <f>IF(OR($C29="",$A29=""),"",IF(COUNTIFS('Promo Calendar'!$A$6:$A$400,$C29,'Promo Calendar'!$D$6:$D$400,IF($G29="","All",$G29),'Promo Calendar'!$I$6:$I$400,"&lt;="&amp;$A29,'Promo Calendar'!$J$6:$J$400,"&gt;="&amp;$A29,'Promo Calendar'!$G$6:$G$400,"&gt;0")&gt;0,_xlfn.MINIFS('Promo Calendar'!$G$6:$G$400,'Promo Calendar'!$A$6:$A$400,$C29,'Promo Calendar'!$D$6:$D$400,IF($G29="","All",$G29),'Promo Calendar'!$I$6:$I$400,"&lt;="&amp;$A29,'Promo Calendar'!$J$6:$J$400,"&gt;="&amp;$A29,'Promo Calendar'!$G$6:$G$400,"&gt;0"),IF(COUNTIFS('Promo Calendar'!$A$6:$A$400,$C29,'Promo Calendar'!$D$6:$D$400,"All",'Promo Calendar'!$I$6:$I$400,"&lt;="&amp;$A29,'Promo Calendar'!$J$6:$J$400,"&gt;="&amp;$A29,'Promo Calendar'!$G$6:$G$400,"&gt;0")&gt;0,_xlfn.MINIFS('Promo Calendar'!$G$6:$G$400,'Promo Calendar'!$A$6:$A$400,$C29,'Promo Calendar'!$D$6:$D$400,"All",'Promo Calendar'!$I$6:$I$400,"&lt;="&amp;$A29,'Promo Calendar'!$J$6:$J$400,"&gt;="&amp;$A29,'Promo Calendar'!$G$6:$G$400,"&gt;0"),IFERROR(IF(INDEX('Chain Program'!$M$6:$M$120,MATCH($C29,'Chain Program'!$A$6:$A$120,0))="","Not set",INDEX('Chain Program'!$M$6:$M$120,MATCH($C29,'Chain Program'!$A$6:$A$120,0))),"Not set"))))</f>
        <v/>
      </c>
      <c r="I29" s="61" t="n"/>
      <c r="J29" s="45">
        <f>IF($I29="","",IF(NOT(ISNUMBER($H29)),"No plan price",IF(ABS($I29-$H29)&lt;0.005,"Match",IF($I29&gt;$H29,"Over plan","Under plan"))))</f>
        <v/>
      </c>
      <c r="K29" s="60" t="n"/>
      <c r="L29" s="60" t="n"/>
      <c r="M29" s="60" t="n"/>
      <c r="N29" s="60" t="n"/>
      <c r="O29" s="60" t="n"/>
      <c r="P29" s="62" t="n"/>
      <c r="Q29" s="62" t="n"/>
      <c r="R29" s="60" t="n"/>
      <c r="S29" s="59" t="n"/>
      <c r="T29" s="60" t="n"/>
      <c r="U29" s="59" t="n"/>
      <c r="V29" s="45">
        <f>IF(OR($A29="",$T29="",$T29="No Issue"),"",IF($T29="Resolved",IF($U29="","",$U29-$A29),TODAY()-$A29))</f>
        <v/>
      </c>
      <c r="W29" s="47">
        <f>IF(AND($C29&lt;&gt;"",$C29='Store History'!$C$4,OR('Store History'!$C$5="",$F29='Store History'!$C$5)),1,0)</f>
        <v/>
      </c>
      <c r="X29" s="47">
        <f>IF($W29=1,SUM($W29:$W$1005),"")</f>
        <v/>
      </c>
    </row>
    <row r="30">
      <c r="A30" s="59" t="n"/>
      <c r="B30" s="60" t="n"/>
      <c r="C30" s="60" t="n"/>
      <c r="D30" s="45">
        <f>IF($C30="","",IFERROR(INDEX('Chain Program'!$B$6:$B$120,MATCH($C30,'Chain Program'!$A$6:$A$120,0)),"Unknown ID"))</f>
        <v/>
      </c>
      <c r="E30" s="45">
        <f>IF($C30="","",IFERROR(INDEX('Chain Program'!$D$6:$D$120,MATCH($C30,'Chain Program'!$A$6:$A$120,0)),"Unknown ID"))</f>
        <v/>
      </c>
      <c r="F30" s="60" t="n"/>
      <c r="G30" s="60" t="n"/>
      <c r="H30" s="56">
        <f>IF(OR($C30="",$A30=""),"",IF(COUNTIFS('Promo Calendar'!$A$6:$A$400,$C30,'Promo Calendar'!$D$6:$D$400,IF($G30="","All",$G30),'Promo Calendar'!$I$6:$I$400,"&lt;="&amp;$A30,'Promo Calendar'!$J$6:$J$400,"&gt;="&amp;$A30,'Promo Calendar'!$G$6:$G$400,"&gt;0")&gt;0,_xlfn.MINIFS('Promo Calendar'!$G$6:$G$400,'Promo Calendar'!$A$6:$A$400,$C30,'Promo Calendar'!$D$6:$D$400,IF($G30="","All",$G30),'Promo Calendar'!$I$6:$I$400,"&lt;="&amp;$A30,'Promo Calendar'!$J$6:$J$400,"&gt;="&amp;$A30,'Promo Calendar'!$G$6:$G$400,"&gt;0"),IF(COUNTIFS('Promo Calendar'!$A$6:$A$400,$C30,'Promo Calendar'!$D$6:$D$400,"All",'Promo Calendar'!$I$6:$I$400,"&lt;="&amp;$A30,'Promo Calendar'!$J$6:$J$400,"&gt;="&amp;$A30,'Promo Calendar'!$G$6:$G$400,"&gt;0")&gt;0,_xlfn.MINIFS('Promo Calendar'!$G$6:$G$400,'Promo Calendar'!$A$6:$A$400,$C30,'Promo Calendar'!$D$6:$D$400,"All",'Promo Calendar'!$I$6:$I$400,"&lt;="&amp;$A30,'Promo Calendar'!$J$6:$J$400,"&gt;="&amp;$A30,'Promo Calendar'!$G$6:$G$400,"&gt;0"),IFERROR(IF(INDEX('Chain Program'!$M$6:$M$120,MATCH($C30,'Chain Program'!$A$6:$A$120,0))="","Not set",INDEX('Chain Program'!$M$6:$M$120,MATCH($C30,'Chain Program'!$A$6:$A$120,0))),"Not set"))))</f>
        <v/>
      </c>
      <c r="I30" s="61" t="n"/>
      <c r="J30" s="45">
        <f>IF($I30="","",IF(NOT(ISNUMBER($H30)),"No plan price",IF(ABS($I30-$H30)&lt;0.005,"Match",IF($I30&gt;$H30,"Over plan","Under plan"))))</f>
        <v/>
      </c>
      <c r="K30" s="60" t="n"/>
      <c r="L30" s="60" t="n"/>
      <c r="M30" s="60" t="n"/>
      <c r="N30" s="60" t="n"/>
      <c r="O30" s="60" t="n"/>
      <c r="P30" s="62" t="n"/>
      <c r="Q30" s="62" t="n"/>
      <c r="R30" s="60" t="n"/>
      <c r="S30" s="59" t="n"/>
      <c r="T30" s="60" t="n"/>
      <c r="U30" s="59" t="n"/>
      <c r="V30" s="45">
        <f>IF(OR($A30="",$T30="",$T30="No Issue"),"",IF($T30="Resolved",IF($U30="","",$U30-$A30),TODAY()-$A30))</f>
        <v/>
      </c>
      <c r="W30" s="47">
        <f>IF(AND($C30&lt;&gt;"",$C30='Store History'!$C$4,OR('Store History'!$C$5="",$F30='Store History'!$C$5)),1,0)</f>
        <v/>
      </c>
      <c r="X30" s="47">
        <f>IF($W30=1,SUM($W30:$W$1005),"")</f>
        <v/>
      </c>
    </row>
    <row r="31">
      <c r="A31" s="59" t="n"/>
      <c r="B31" s="60" t="n"/>
      <c r="C31" s="60" t="n"/>
      <c r="D31" s="45">
        <f>IF($C31="","",IFERROR(INDEX('Chain Program'!$B$6:$B$120,MATCH($C31,'Chain Program'!$A$6:$A$120,0)),"Unknown ID"))</f>
        <v/>
      </c>
      <c r="E31" s="45">
        <f>IF($C31="","",IFERROR(INDEX('Chain Program'!$D$6:$D$120,MATCH($C31,'Chain Program'!$A$6:$A$120,0)),"Unknown ID"))</f>
        <v/>
      </c>
      <c r="F31" s="60" t="n"/>
      <c r="G31" s="60" t="n"/>
      <c r="H31" s="56">
        <f>IF(OR($C31="",$A31=""),"",IF(COUNTIFS('Promo Calendar'!$A$6:$A$400,$C31,'Promo Calendar'!$D$6:$D$400,IF($G31="","All",$G31),'Promo Calendar'!$I$6:$I$400,"&lt;="&amp;$A31,'Promo Calendar'!$J$6:$J$400,"&gt;="&amp;$A31,'Promo Calendar'!$G$6:$G$400,"&gt;0")&gt;0,_xlfn.MINIFS('Promo Calendar'!$G$6:$G$400,'Promo Calendar'!$A$6:$A$400,$C31,'Promo Calendar'!$D$6:$D$400,IF($G31="","All",$G31),'Promo Calendar'!$I$6:$I$400,"&lt;="&amp;$A31,'Promo Calendar'!$J$6:$J$400,"&gt;="&amp;$A31,'Promo Calendar'!$G$6:$G$400,"&gt;0"),IF(COUNTIFS('Promo Calendar'!$A$6:$A$400,$C31,'Promo Calendar'!$D$6:$D$400,"All",'Promo Calendar'!$I$6:$I$400,"&lt;="&amp;$A31,'Promo Calendar'!$J$6:$J$400,"&gt;="&amp;$A31,'Promo Calendar'!$G$6:$G$400,"&gt;0")&gt;0,_xlfn.MINIFS('Promo Calendar'!$G$6:$G$400,'Promo Calendar'!$A$6:$A$400,$C31,'Promo Calendar'!$D$6:$D$400,"All",'Promo Calendar'!$I$6:$I$400,"&lt;="&amp;$A31,'Promo Calendar'!$J$6:$J$400,"&gt;="&amp;$A31,'Promo Calendar'!$G$6:$G$400,"&gt;0"),IFERROR(IF(INDEX('Chain Program'!$M$6:$M$120,MATCH($C31,'Chain Program'!$A$6:$A$120,0))="","Not set",INDEX('Chain Program'!$M$6:$M$120,MATCH($C31,'Chain Program'!$A$6:$A$120,0))),"Not set"))))</f>
        <v/>
      </c>
      <c r="I31" s="61" t="n"/>
      <c r="J31" s="45">
        <f>IF($I31="","",IF(NOT(ISNUMBER($H31)),"No plan price",IF(ABS($I31-$H31)&lt;0.005,"Match",IF($I31&gt;$H31,"Over plan","Under plan"))))</f>
        <v/>
      </c>
      <c r="K31" s="60" t="n"/>
      <c r="L31" s="60" t="n"/>
      <c r="M31" s="60" t="n"/>
      <c r="N31" s="60" t="n"/>
      <c r="O31" s="60" t="n"/>
      <c r="P31" s="62" t="n"/>
      <c r="Q31" s="62" t="n"/>
      <c r="R31" s="60" t="n"/>
      <c r="S31" s="59" t="n"/>
      <c r="T31" s="60" t="n"/>
      <c r="U31" s="59" t="n"/>
      <c r="V31" s="45">
        <f>IF(OR($A31="",$T31="",$T31="No Issue"),"",IF($T31="Resolved",IF($U31="","",$U31-$A31),TODAY()-$A31))</f>
        <v/>
      </c>
      <c r="W31" s="47">
        <f>IF(AND($C31&lt;&gt;"",$C31='Store History'!$C$4,OR('Store History'!$C$5="",$F31='Store History'!$C$5)),1,0)</f>
        <v/>
      </c>
      <c r="X31" s="47">
        <f>IF($W31=1,SUM($W31:$W$1005),"")</f>
        <v/>
      </c>
    </row>
    <row r="32">
      <c r="A32" s="59" t="n"/>
      <c r="B32" s="60" t="n"/>
      <c r="C32" s="60" t="n"/>
      <c r="D32" s="45">
        <f>IF($C32="","",IFERROR(INDEX('Chain Program'!$B$6:$B$120,MATCH($C32,'Chain Program'!$A$6:$A$120,0)),"Unknown ID"))</f>
        <v/>
      </c>
      <c r="E32" s="45">
        <f>IF($C32="","",IFERROR(INDEX('Chain Program'!$D$6:$D$120,MATCH($C32,'Chain Program'!$A$6:$A$120,0)),"Unknown ID"))</f>
        <v/>
      </c>
      <c r="F32" s="60" t="n"/>
      <c r="G32" s="60" t="n"/>
      <c r="H32" s="56">
        <f>IF(OR($C32="",$A32=""),"",IF(COUNTIFS('Promo Calendar'!$A$6:$A$400,$C32,'Promo Calendar'!$D$6:$D$400,IF($G32="","All",$G32),'Promo Calendar'!$I$6:$I$400,"&lt;="&amp;$A32,'Promo Calendar'!$J$6:$J$400,"&gt;="&amp;$A32,'Promo Calendar'!$G$6:$G$400,"&gt;0")&gt;0,_xlfn.MINIFS('Promo Calendar'!$G$6:$G$400,'Promo Calendar'!$A$6:$A$400,$C32,'Promo Calendar'!$D$6:$D$400,IF($G32="","All",$G32),'Promo Calendar'!$I$6:$I$400,"&lt;="&amp;$A32,'Promo Calendar'!$J$6:$J$400,"&gt;="&amp;$A32,'Promo Calendar'!$G$6:$G$400,"&gt;0"),IF(COUNTIFS('Promo Calendar'!$A$6:$A$400,$C32,'Promo Calendar'!$D$6:$D$400,"All",'Promo Calendar'!$I$6:$I$400,"&lt;="&amp;$A32,'Promo Calendar'!$J$6:$J$400,"&gt;="&amp;$A32,'Promo Calendar'!$G$6:$G$400,"&gt;0")&gt;0,_xlfn.MINIFS('Promo Calendar'!$G$6:$G$400,'Promo Calendar'!$A$6:$A$400,$C32,'Promo Calendar'!$D$6:$D$400,"All",'Promo Calendar'!$I$6:$I$400,"&lt;="&amp;$A32,'Promo Calendar'!$J$6:$J$400,"&gt;="&amp;$A32,'Promo Calendar'!$G$6:$G$400,"&gt;0"),IFERROR(IF(INDEX('Chain Program'!$M$6:$M$120,MATCH($C32,'Chain Program'!$A$6:$A$120,0))="","Not set",INDEX('Chain Program'!$M$6:$M$120,MATCH($C32,'Chain Program'!$A$6:$A$120,0))),"Not set"))))</f>
        <v/>
      </c>
      <c r="I32" s="61" t="n"/>
      <c r="J32" s="45">
        <f>IF($I32="","",IF(NOT(ISNUMBER($H32)),"No plan price",IF(ABS($I32-$H32)&lt;0.005,"Match",IF($I32&gt;$H32,"Over plan","Under plan"))))</f>
        <v/>
      </c>
      <c r="K32" s="60" t="n"/>
      <c r="L32" s="60" t="n"/>
      <c r="M32" s="60" t="n"/>
      <c r="N32" s="60" t="n"/>
      <c r="O32" s="60" t="n"/>
      <c r="P32" s="62" t="n"/>
      <c r="Q32" s="62" t="n"/>
      <c r="R32" s="60" t="n"/>
      <c r="S32" s="59" t="n"/>
      <c r="T32" s="60" t="n"/>
      <c r="U32" s="59" t="n"/>
      <c r="V32" s="45">
        <f>IF(OR($A32="",$T32="",$T32="No Issue"),"",IF($T32="Resolved",IF($U32="","",$U32-$A32),TODAY()-$A32))</f>
        <v/>
      </c>
      <c r="W32" s="47">
        <f>IF(AND($C32&lt;&gt;"",$C32='Store History'!$C$4,OR('Store History'!$C$5="",$F32='Store History'!$C$5)),1,0)</f>
        <v/>
      </c>
      <c r="X32" s="47">
        <f>IF($W32=1,SUM($W32:$W$1005),"")</f>
        <v/>
      </c>
    </row>
    <row r="33">
      <c r="A33" s="59" t="n"/>
      <c r="B33" s="60" t="n"/>
      <c r="C33" s="60" t="n"/>
      <c r="D33" s="45">
        <f>IF($C33="","",IFERROR(INDEX('Chain Program'!$B$6:$B$120,MATCH($C33,'Chain Program'!$A$6:$A$120,0)),"Unknown ID"))</f>
        <v/>
      </c>
      <c r="E33" s="45">
        <f>IF($C33="","",IFERROR(INDEX('Chain Program'!$D$6:$D$120,MATCH($C33,'Chain Program'!$A$6:$A$120,0)),"Unknown ID"))</f>
        <v/>
      </c>
      <c r="F33" s="60" t="n"/>
      <c r="G33" s="60" t="n"/>
      <c r="H33" s="56">
        <f>IF(OR($C33="",$A33=""),"",IF(COUNTIFS('Promo Calendar'!$A$6:$A$400,$C33,'Promo Calendar'!$D$6:$D$400,IF($G33="","All",$G33),'Promo Calendar'!$I$6:$I$400,"&lt;="&amp;$A33,'Promo Calendar'!$J$6:$J$400,"&gt;="&amp;$A33,'Promo Calendar'!$G$6:$G$400,"&gt;0")&gt;0,_xlfn.MINIFS('Promo Calendar'!$G$6:$G$400,'Promo Calendar'!$A$6:$A$400,$C33,'Promo Calendar'!$D$6:$D$400,IF($G33="","All",$G33),'Promo Calendar'!$I$6:$I$400,"&lt;="&amp;$A33,'Promo Calendar'!$J$6:$J$400,"&gt;="&amp;$A33,'Promo Calendar'!$G$6:$G$400,"&gt;0"),IF(COUNTIFS('Promo Calendar'!$A$6:$A$400,$C33,'Promo Calendar'!$D$6:$D$400,"All",'Promo Calendar'!$I$6:$I$400,"&lt;="&amp;$A33,'Promo Calendar'!$J$6:$J$400,"&gt;="&amp;$A33,'Promo Calendar'!$G$6:$G$400,"&gt;0")&gt;0,_xlfn.MINIFS('Promo Calendar'!$G$6:$G$400,'Promo Calendar'!$A$6:$A$400,$C33,'Promo Calendar'!$D$6:$D$400,"All",'Promo Calendar'!$I$6:$I$400,"&lt;="&amp;$A33,'Promo Calendar'!$J$6:$J$400,"&gt;="&amp;$A33,'Promo Calendar'!$G$6:$G$400,"&gt;0"),IFERROR(IF(INDEX('Chain Program'!$M$6:$M$120,MATCH($C33,'Chain Program'!$A$6:$A$120,0))="","Not set",INDEX('Chain Program'!$M$6:$M$120,MATCH($C33,'Chain Program'!$A$6:$A$120,0))),"Not set"))))</f>
        <v/>
      </c>
      <c r="I33" s="61" t="n"/>
      <c r="J33" s="45">
        <f>IF($I33="","",IF(NOT(ISNUMBER($H33)),"No plan price",IF(ABS($I33-$H33)&lt;0.005,"Match",IF($I33&gt;$H33,"Over plan","Under plan"))))</f>
        <v/>
      </c>
      <c r="K33" s="60" t="n"/>
      <c r="L33" s="60" t="n"/>
      <c r="M33" s="60" t="n"/>
      <c r="N33" s="60" t="n"/>
      <c r="O33" s="60" t="n"/>
      <c r="P33" s="62" t="n"/>
      <c r="Q33" s="62" t="n"/>
      <c r="R33" s="60" t="n"/>
      <c r="S33" s="59" t="n"/>
      <c r="T33" s="60" t="n"/>
      <c r="U33" s="59" t="n"/>
      <c r="V33" s="45">
        <f>IF(OR($A33="",$T33="",$T33="No Issue"),"",IF($T33="Resolved",IF($U33="","",$U33-$A33),TODAY()-$A33))</f>
        <v/>
      </c>
      <c r="W33" s="47">
        <f>IF(AND($C33&lt;&gt;"",$C33='Store History'!$C$4,OR('Store History'!$C$5="",$F33='Store History'!$C$5)),1,0)</f>
        <v/>
      </c>
      <c r="X33" s="47">
        <f>IF($W33=1,SUM($W33:$W$1005),"")</f>
        <v/>
      </c>
    </row>
    <row r="34">
      <c r="A34" s="59" t="n"/>
      <c r="B34" s="60" t="n"/>
      <c r="C34" s="60" t="n"/>
      <c r="D34" s="45">
        <f>IF($C34="","",IFERROR(INDEX('Chain Program'!$B$6:$B$120,MATCH($C34,'Chain Program'!$A$6:$A$120,0)),"Unknown ID"))</f>
        <v/>
      </c>
      <c r="E34" s="45">
        <f>IF($C34="","",IFERROR(INDEX('Chain Program'!$D$6:$D$120,MATCH($C34,'Chain Program'!$A$6:$A$120,0)),"Unknown ID"))</f>
        <v/>
      </c>
      <c r="F34" s="60" t="n"/>
      <c r="G34" s="60" t="n"/>
      <c r="H34" s="56">
        <f>IF(OR($C34="",$A34=""),"",IF(COUNTIFS('Promo Calendar'!$A$6:$A$400,$C34,'Promo Calendar'!$D$6:$D$400,IF($G34="","All",$G34),'Promo Calendar'!$I$6:$I$400,"&lt;="&amp;$A34,'Promo Calendar'!$J$6:$J$400,"&gt;="&amp;$A34,'Promo Calendar'!$G$6:$G$400,"&gt;0")&gt;0,_xlfn.MINIFS('Promo Calendar'!$G$6:$G$400,'Promo Calendar'!$A$6:$A$400,$C34,'Promo Calendar'!$D$6:$D$400,IF($G34="","All",$G34),'Promo Calendar'!$I$6:$I$400,"&lt;="&amp;$A34,'Promo Calendar'!$J$6:$J$400,"&gt;="&amp;$A34,'Promo Calendar'!$G$6:$G$400,"&gt;0"),IF(COUNTIFS('Promo Calendar'!$A$6:$A$400,$C34,'Promo Calendar'!$D$6:$D$400,"All",'Promo Calendar'!$I$6:$I$400,"&lt;="&amp;$A34,'Promo Calendar'!$J$6:$J$400,"&gt;="&amp;$A34,'Promo Calendar'!$G$6:$G$400,"&gt;0")&gt;0,_xlfn.MINIFS('Promo Calendar'!$G$6:$G$400,'Promo Calendar'!$A$6:$A$400,$C34,'Promo Calendar'!$D$6:$D$400,"All",'Promo Calendar'!$I$6:$I$400,"&lt;="&amp;$A34,'Promo Calendar'!$J$6:$J$400,"&gt;="&amp;$A34,'Promo Calendar'!$G$6:$G$400,"&gt;0"),IFERROR(IF(INDEX('Chain Program'!$M$6:$M$120,MATCH($C34,'Chain Program'!$A$6:$A$120,0))="","Not set",INDEX('Chain Program'!$M$6:$M$120,MATCH($C34,'Chain Program'!$A$6:$A$120,0))),"Not set"))))</f>
        <v/>
      </c>
      <c r="I34" s="61" t="n"/>
      <c r="J34" s="45">
        <f>IF($I34="","",IF(NOT(ISNUMBER($H34)),"No plan price",IF(ABS($I34-$H34)&lt;0.005,"Match",IF($I34&gt;$H34,"Over plan","Under plan"))))</f>
        <v/>
      </c>
      <c r="K34" s="60" t="n"/>
      <c r="L34" s="60" t="n"/>
      <c r="M34" s="60" t="n"/>
      <c r="N34" s="60" t="n"/>
      <c r="O34" s="60" t="n"/>
      <c r="P34" s="62" t="n"/>
      <c r="Q34" s="62" t="n"/>
      <c r="R34" s="60" t="n"/>
      <c r="S34" s="59" t="n"/>
      <c r="T34" s="60" t="n"/>
      <c r="U34" s="59" t="n"/>
      <c r="V34" s="45">
        <f>IF(OR($A34="",$T34="",$T34="No Issue"),"",IF($T34="Resolved",IF($U34="","",$U34-$A34),TODAY()-$A34))</f>
        <v/>
      </c>
      <c r="W34" s="47">
        <f>IF(AND($C34&lt;&gt;"",$C34='Store History'!$C$4,OR('Store History'!$C$5="",$F34='Store History'!$C$5)),1,0)</f>
        <v/>
      </c>
      <c r="X34" s="47">
        <f>IF($W34=1,SUM($W34:$W$1005),"")</f>
        <v/>
      </c>
    </row>
    <row r="35">
      <c r="A35" s="59" t="n"/>
      <c r="B35" s="60" t="n"/>
      <c r="C35" s="60" t="n"/>
      <c r="D35" s="45">
        <f>IF($C35="","",IFERROR(INDEX('Chain Program'!$B$6:$B$120,MATCH($C35,'Chain Program'!$A$6:$A$120,0)),"Unknown ID"))</f>
        <v/>
      </c>
      <c r="E35" s="45">
        <f>IF($C35="","",IFERROR(INDEX('Chain Program'!$D$6:$D$120,MATCH($C35,'Chain Program'!$A$6:$A$120,0)),"Unknown ID"))</f>
        <v/>
      </c>
      <c r="F35" s="60" t="n"/>
      <c r="G35" s="60" t="n"/>
      <c r="H35" s="56">
        <f>IF(OR($C35="",$A35=""),"",IF(COUNTIFS('Promo Calendar'!$A$6:$A$400,$C35,'Promo Calendar'!$D$6:$D$400,IF($G35="","All",$G35),'Promo Calendar'!$I$6:$I$400,"&lt;="&amp;$A35,'Promo Calendar'!$J$6:$J$400,"&gt;="&amp;$A35,'Promo Calendar'!$G$6:$G$400,"&gt;0")&gt;0,_xlfn.MINIFS('Promo Calendar'!$G$6:$G$400,'Promo Calendar'!$A$6:$A$400,$C35,'Promo Calendar'!$D$6:$D$400,IF($G35="","All",$G35),'Promo Calendar'!$I$6:$I$400,"&lt;="&amp;$A35,'Promo Calendar'!$J$6:$J$400,"&gt;="&amp;$A35,'Promo Calendar'!$G$6:$G$400,"&gt;0"),IF(COUNTIFS('Promo Calendar'!$A$6:$A$400,$C35,'Promo Calendar'!$D$6:$D$400,"All",'Promo Calendar'!$I$6:$I$400,"&lt;="&amp;$A35,'Promo Calendar'!$J$6:$J$400,"&gt;="&amp;$A35,'Promo Calendar'!$G$6:$G$400,"&gt;0")&gt;0,_xlfn.MINIFS('Promo Calendar'!$G$6:$G$400,'Promo Calendar'!$A$6:$A$400,$C35,'Promo Calendar'!$D$6:$D$400,"All",'Promo Calendar'!$I$6:$I$400,"&lt;="&amp;$A35,'Promo Calendar'!$J$6:$J$400,"&gt;="&amp;$A35,'Promo Calendar'!$G$6:$G$400,"&gt;0"),IFERROR(IF(INDEX('Chain Program'!$M$6:$M$120,MATCH($C35,'Chain Program'!$A$6:$A$120,0))="","Not set",INDEX('Chain Program'!$M$6:$M$120,MATCH($C35,'Chain Program'!$A$6:$A$120,0))),"Not set"))))</f>
        <v/>
      </c>
      <c r="I35" s="61" t="n"/>
      <c r="J35" s="45">
        <f>IF($I35="","",IF(NOT(ISNUMBER($H35)),"No plan price",IF(ABS($I35-$H35)&lt;0.005,"Match",IF($I35&gt;$H35,"Over plan","Under plan"))))</f>
        <v/>
      </c>
      <c r="K35" s="60" t="n"/>
      <c r="L35" s="60" t="n"/>
      <c r="M35" s="60" t="n"/>
      <c r="N35" s="60" t="n"/>
      <c r="O35" s="60" t="n"/>
      <c r="P35" s="62" t="n"/>
      <c r="Q35" s="62" t="n"/>
      <c r="R35" s="60" t="n"/>
      <c r="S35" s="59" t="n"/>
      <c r="T35" s="60" t="n"/>
      <c r="U35" s="59" t="n"/>
      <c r="V35" s="45">
        <f>IF(OR($A35="",$T35="",$T35="No Issue"),"",IF($T35="Resolved",IF($U35="","",$U35-$A35),TODAY()-$A35))</f>
        <v/>
      </c>
      <c r="W35" s="47">
        <f>IF(AND($C35&lt;&gt;"",$C35='Store History'!$C$4,OR('Store History'!$C$5="",$F35='Store History'!$C$5)),1,0)</f>
        <v/>
      </c>
      <c r="X35" s="47">
        <f>IF($W35=1,SUM($W35:$W$1005),"")</f>
        <v/>
      </c>
    </row>
    <row r="36">
      <c r="A36" s="59" t="n"/>
      <c r="B36" s="60" t="n"/>
      <c r="C36" s="60" t="n"/>
      <c r="D36" s="45">
        <f>IF($C36="","",IFERROR(INDEX('Chain Program'!$B$6:$B$120,MATCH($C36,'Chain Program'!$A$6:$A$120,0)),"Unknown ID"))</f>
        <v/>
      </c>
      <c r="E36" s="45">
        <f>IF($C36="","",IFERROR(INDEX('Chain Program'!$D$6:$D$120,MATCH($C36,'Chain Program'!$A$6:$A$120,0)),"Unknown ID"))</f>
        <v/>
      </c>
      <c r="F36" s="60" t="n"/>
      <c r="G36" s="60" t="n"/>
      <c r="H36" s="56">
        <f>IF(OR($C36="",$A36=""),"",IF(COUNTIFS('Promo Calendar'!$A$6:$A$400,$C36,'Promo Calendar'!$D$6:$D$400,IF($G36="","All",$G36),'Promo Calendar'!$I$6:$I$400,"&lt;="&amp;$A36,'Promo Calendar'!$J$6:$J$400,"&gt;="&amp;$A36,'Promo Calendar'!$G$6:$G$400,"&gt;0")&gt;0,_xlfn.MINIFS('Promo Calendar'!$G$6:$G$400,'Promo Calendar'!$A$6:$A$400,$C36,'Promo Calendar'!$D$6:$D$400,IF($G36="","All",$G36),'Promo Calendar'!$I$6:$I$400,"&lt;="&amp;$A36,'Promo Calendar'!$J$6:$J$400,"&gt;="&amp;$A36,'Promo Calendar'!$G$6:$G$400,"&gt;0"),IF(COUNTIFS('Promo Calendar'!$A$6:$A$400,$C36,'Promo Calendar'!$D$6:$D$400,"All",'Promo Calendar'!$I$6:$I$400,"&lt;="&amp;$A36,'Promo Calendar'!$J$6:$J$400,"&gt;="&amp;$A36,'Promo Calendar'!$G$6:$G$400,"&gt;0")&gt;0,_xlfn.MINIFS('Promo Calendar'!$G$6:$G$400,'Promo Calendar'!$A$6:$A$400,$C36,'Promo Calendar'!$D$6:$D$400,"All",'Promo Calendar'!$I$6:$I$400,"&lt;="&amp;$A36,'Promo Calendar'!$J$6:$J$400,"&gt;="&amp;$A36,'Promo Calendar'!$G$6:$G$400,"&gt;0"),IFERROR(IF(INDEX('Chain Program'!$M$6:$M$120,MATCH($C36,'Chain Program'!$A$6:$A$120,0))="","Not set",INDEX('Chain Program'!$M$6:$M$120,MATCH($C36,'Chain Program'!$A$6:$A$120,0))),"Not set"))))</f>
        <v/>
      </c>
      <c r="I36" s="61" t="n"/>
      <c r="J36" s="45">
        <f>IF($I36="","",IF(NOT(ISNUMBER($H36)),"No plan price",IF(ABS($I36-$H36)&lt;0.005,"Match",IF($I36&gt;$H36,"Over plan","Under plan"))))</f>
        <v/>
      </c>
      <c r="K36" s="60" t="n"/>
      <c r="L36" s="60" t="n"/>
      <c r="M36" s="60" t="n"/>
      <c r="N36" s="60" t="n"/>
      <c r="O36" s="60" t="n"/>
      <c r="P36" s="62" t="n"/>
      <c r="Q36" s="62" t="n"/>
      <c r="R36" s="60" t="n"/>
      <c r="S36" s="59" t="n"/>
      <c r="T36" s="60" t="n"/>
      <c r="U36" s="59" t="n"/>
      <c r="V36" s="45">
        <f>IF(OR($A36="",$T36="",$T36="No Issue"),"",IF($T36="Resolved",IF($U36="","",$U36-$A36),TODAY()-$A36))</f>
        <v/>
      </c>
      <c r="W36" s="47">
        <f>IF(AND($C36&lt;&gt;"",$C36='Store History'!$C$4,OR('Store History'!$C$5="",$F36='Store History'!$C$5)),1,0)</f>
        <v/>
      </c>
      <c r="X36" s="47">
        <f>IF($W36=1,SUM($W36:$W$1005),"")</f>
        <v/>
      </c>
    </row>
    <row r="37">
      <c r="A37" s="59" t="n"/>
      <c r="B37" s="60" t="n"/>
      <c r="C37" s="60" t="n"/>
      <c r="D37" s="45">
        <f>IF($C37="","",IFERROR(INDEX('Chain Program'!$B$6:$B$120,MATCH($C37,'Chain Program'!$A$6:$A$120,0)),"Unknown ID"))</f>
        <v/>
      </c>
      <c r="E37" s="45">
        <f>IF($C37="","",IFERROR(INDEX('Chain Program'!$D$6:$D$120,MATCH($C37,'Chain Program'!$A$6:$A$120,0)),"Unknown ID"))</f>
        <v/>
      </c>
      <c r="F37" s="60" t="n"/>
      <c r="G37" s="60" t="n"/>
      <c r="H37" s="56">
        <f>IF(OR($C37="",$A37=""),"",IF(COUNTIFS('Promo Calendar'!$A$6:$A$400,$C37,'Promo Calendar'!$D$6:$D$400,IF($G37="","All",$G37),'Promo Calendar'!$I$6:$I$400,"&lt;="&amp;$A37,'Promo Calendar'!$J$6:$J$400,"&gt;="&amp;$A37,'Promo Calendar'!$G$6:$G$400,"&gt;0")&gt;0,_xlfn.MINIFS('Promo Calendar'!$G$6:$G$400,'Promo Calendar'!$A$6:$A$400,$C37,'Promo Calendar'!$D$6:$D$400,IF($G37="","All",$G37),'Promo Calendar'!$I$6:$I$400,"&lt;="&amp;$A37,'Promo Calendar'!$J$6:$J$400,"&gt;="&amp;$A37,'Promo Calendar'!$G$6:$G$400,"&gt;0"),IF(COUNTIFS('Promo Calendar'!$A$6:$A$400,$C37,'Promo Calendar'!$D$6:$D$400,"All",'Promo Calendar'!$I$6:$I$400,"&lt;="&amp;$A37,'Promo Calendar'!$J$6:$J$400,"&gt;="&amp;$A37,'Promo Calendar'!$G$6:$G$400,"&gt;0")&gt;0,_xlfn.MINIFS('Promo Calendar'!$G$6:$G$400,'Promo Calendar'!$A$6:$A$400,$C37,'Promo Calendar'!$D$6:$D$400,"All",'Promo Calendar'!$I$6:$I$400,"&lt;="&amp;$A37,'Promo Calendar'!$J$6:$J$400,"&gt;="&amp;$A37,'Promo Calendar'!$G$6:$G$400,"&gt;0"),IFERROR(IF(INDEX('Chain Program'!$M$6:$M$120,MATCH($C37,'Chain Program'!$A$6:$A$120,0))="","Not set",INDEX('Chain Program'!$M$6:$M$120,MATCH($C37,'Chain Program'!$A$6:$A$120,0))),"Not set"))))</f>
        <v/>
      </c>
      <c r="I37" s="61" t="n"/>
      <c r="J37" s="45">
        <f>IF($I37="","",IF(NOT(ISNUMBER($H37)),"No plan price",IF(ABS($I37-$H37)&lt;0.005,"Match",IF($I37&gt;$H37,"Over plan","Under plan"))))</f>
        <v/>
      </c>
      <c r="K37" s="60" t="n"/>
      <c r="L37" s="60" t="n"/>
      <c r="M37" s="60" t="n"/>
      <c r="N37" s="60" t="n"/>
      <c r="O37" s="60" t="n"/>
      <c r="P37" s="62" t="n"/>
      <c r="Q37" s="62" t="n"/>
      <c r="R37" s="60" t="n"/>
      <c r="S37" s="59" t="n"/>
      <c r="T37" s="60" t="n"/>
      <c r="U37" s="59" t="n"/>
      <c r="V37" s="45">
        <f>IF(OR($A37="",$T37="",$T37="No Issue"),"",IF($T37="Resolved",IF($U37="","",$U37-$A37),TODAY()-$A37))</f>
        <v/>
      </c>
      <c r="W37" s="47">
        <f>IF(AND($C37&lt;&gt;"",$C37='Store History'!$C$4,OR('Store History'!$C$5="",$F37='Store History'!$C$5)),1,0)</f>
        <v/>
      </c>
      <c r="X37" s="47">
        <f>IF($W37=1,SUM($W37:$W$1005),"")</f>
        <v/>
      </c>
    </row>
    <row r="38">
      <c r="A38" s="59" t="n"/>
      <c r="B38" s="60" t="n"/>
      <c r="C38" s="60" t="n"/>
      <c r="D38" s="45">
        <f>IF($C38="","",IFERROR(INDEX('Chain Program'!$B$6:$B$120,MATCH($C38,'Chain Program'!$A$6:$A$120,0)),"Unknown ID"))</f>
        <v/>
      </c>
      <c r="E38" s="45">
        <f>IF($C38="","",IFERROR(INDEX('Chain Program'!$D$6:$D$120,MATCH($C38,'Chain Program'!$A$6:$A$120,0)),"Unknown ID"))</f>
        <v/>
      </c>
      <c r="F38" s="60" t="n"/>
      <c r="G38" s="60" t="n"/>
      <c r="H38" s="56">
        <f>IF(OR($C38="",$A38=""),"",IF(COUNTIFS('Promo Calendar'!$A$6:$A$400,$C38,'Promo Calendar'!$D$6:$D$400,IF($G38="","All",$G38),'Promo Calendar'!$I$6:$I$400,"&lt;="&amp;$A38,'Promo Calendar'!$J$6:$J$400,"&gt;="&amp;$A38,'Promo Calendar'!$G$6:$G$400,"&gt;0")&gt;0,_xlfn.MINIFS('Promo Calendar'!$G$6:$G$400,'Promo Calendar'!$A$6:$A$400,$C38,'Promo Calendar'!$D$6:$D$400,IF($G38="","All",$G38),'Promo Calendar'!$I$6:$I$400,"&lt;="&amp;$A38,'Promo Calendar'!$J$6:$J$400,"&gt;="&amp;$A38,'Promo Calendar'!$G$6:$G$400,"&gt;0"),IF(COUNTIFS('Promo Calendar'!$A$6:$A$400,$C38,'Promo Calendar'!$D$6:$D$400,"All",'Promo Calendar'!$I$6:$I$400,"&lt;="&amp;$A38,'Promo Calendar'!$J$6:$J$400,"&gt;="&amp;$A38,'Promo Calendar'!$G$6:$G$400,"&gt;0")&gt;0,_xlfn.MINIFS('Promo Calendar'!$G$6:$G$400,'Promo Calendar'!$A$6:$A$400,$C38,'Promo Calendar'!$D$6:$D$400,"All",'Promo Calendar'!$I$6:$I$400,"&lt;="&amp;$A38,'Promo Calendar'!$J$6:$J$400,"&gt;="&amp;$A38,'Promo Calendar'!$G$6:$G$400,"&gt;0"),IFERROR(IF(INDEX('Chain Program'!$M$6:$M$120,MATCH($C38,'Chain Program'!$A$6:$A$120,0))="","Not set",INDEX('Chain Program'!$M$6:$M$120,MATCH($C38,'Chain Program'!$A$6:$A$120,0))),"Not set"))))</f>
        <v/>
      </c>
      <c r="I38" s="61" t="n"/>
      <c r="J38" s="45">
        <f>IF($I38="","",IF(NOT(ISNUMBER($H38)),"No plan price",IF(ABS($I38-$H38)&lt;0.005,"Match",IF($I38&gt;$H38,"Over plan","Under plan"))))</f>
        <v/>
      </c>
      <c r="K38" s="60" t="n"/>
      <c r="L38" s="60" t="n"/>
      <c r="M38" s="60" t="n"/>
      <c r="N38" s="60" t="n"/>
      <c r="O38" s="60" t="n"/>
      <c r="P38" s="62" t="n"/>
      <c r="Q38" s="62" t="n"/>
      <c r="R38" s="60" t="n"/>
      <c r="S38" s="59" t="n"/>
      <c r="T38" s="60" t="n"/>
      <c r="U38" s="59" t="n"/>
      <c r="V38" s="45">
        <f>IF(OR($A38="",$T38="",$T38="No Issue"),"",IF($T38="Resolved",IF($U38="","",$U38-$A38),TODAY()-$A38))</f>
        <v/>
      </c>
      <c r="W38" s="47">
        <f>IF(AND($C38&lt;&gt;"",$C38='Store History'!$C$4,OR('Store History'!$C$5="",$F38='Store History'!$C$5)),1,0)</f>
        <v/>
      </c>
      <c r="X38" s="47">
        <f>IF($W38=1,SUM($W38:$W$1005),"")</f>
        <v/>
      </c>
    </row>
    <row r="39">
      <c r="A39" s="59" t="n"/>
      <c r="B39" s="60" t="n"/>
      <c r="C39" s="60" t="n"/>
      <c r="D39" s="45">
        <f>IF($C39="","",IFERROR(INDEX('Chain Program'!$B$6:$B$120,MATCH($C39,'Chain Program'!$A$6:$A$120,0)),"Unknown ID"))</f>
        <v/>
      </c>
      <c r="E39" s="45">
        <f>IF($C39="","",IFERROR(INDEX('Chain Program'!$D$6:$D$120,MATCH($C39,'Chain Program'!$A$6:$A$120,0)),"Unknown ID"))</f>
        <v/>
      </c>
      <c r="F39" s="60" t="n"/>
      <c r="G39" s="60" t="n"/>
      <c r="H39" s="56">
        <f>IF(OR($C39="",$A39=""),"",IF(COUNTIFS('Promo Calendar'!$A$6:$A$400,$C39,'Promo Calendar'!$D$6:$D$400,IF($G39="","All",$G39),'Promo Calendar'!$I$6:$I$400,"&lt;="&amp;$A39,'Promo Calendar'!$J$6:$J$400,"&gt;="&amp;$A39,'Promo Calendar'!$G$6:$G$400,"&gt;0")&gt;0,_xlfn.MINIFS('Promo Calendar'!$G$6:$G$400,'Promo Calendar'!$A$6:$A$400,$C39,'Promo Calendar'!$D$6:$D$400,IF($G39="","All",$G39),'Promo Calendar'!$I$6:$I$400,"&lt;="&amp;$A39,'Promo Calendar'!$J$6:$J$400,"&gt;="&amp;$A39,'Promo Calendar'!$G$6:$G$400,"&gt;0"),IF(COUNTIFS('Promo Calendar'!$A$6:$A$400,$C39,'Promo Calendar'!$D$6:$D$400,"All",'Promo Calendar'!$I$6:$I$400,"&lt;="&amp;$A39,'Promo Calendar'!$J$6:$J$400,"&gt;="&amp;$A39,'Promo Calendar'!$G$6:$G$400,"&gt;0")&gt;0,_xlfn.MINIFS('Promo Calendar'!$G$6:$G$400,'Promo Calendar'!$A$6:$A$400,$C39,'Promo Calendar'!$D$6:$D$400,"All",'Promo Calendar'!$I$6:$I$400,"&lt;="&amp;$A39,'Promo Calendar'!$J$6:$J$400,"&gt;="&amp;$A39,'Promo Calendar'!$G$6:$G$400,"&gt;0"),IFERROR(IF(INDEX('Chain Program'!$M$6:$M$120,MATCH($C39,'Chain Program'!$A$6:$A$120,0))="","Not set",INDEX('Chain Program'!$M$6:$M$120,MATCH($C39,'Chain Program'!$A$6:$A$120,0))),"Not set"))))</f>
        <v/>
      </c>
      <c r="I39" s="61" t="n"/>
      <c r="J39" s="45">
        <f>IF($I39="","",IF(NOT(ISNUMBER($H39)),"No plan price",IF(ABS($I39-$H39)&lt;0.005,"Match",IF($I39&gt;$H39,"Over plan","Under plan"))))</f>
        <v/>
      </c>
      <c r="K39" s="60" t="n"/>
      <c r="L39" s="60" t="n"/>
      <c r="M39" s="60" t="n"/>
      <c r="N39" s="60" t="n"/>
      <c r="O39" s="60" t="n"/>
      <c r="P39" s="62" t="n"/>
      <c r="Q39" s="62" t="n"/>
      <c r="R39" s="60" t="n"/>
      <c r="S39" s="59" t="n"/>
      <c r="T39" s="60" t="n"/>
      <c r="U39" s="59" t="n"/>
      <c r="V39" s="45">
        <f>IF(OR($A39="",$T39="",$T39="No Issue"),"",IF($T39="Resolved",IF($U39="","",$U39-$A39),TODAY()-$A39))</f>
        <v/>
      </c>
      <c r="W39" s="47">
        <f>IF(AND($C39&lt;&gt;"",$C39='Store History'!$C$4,OR('Store History'!$C$5="",$F39='Store History'!$C$5)),1,0)</f>
        <v/>
      </c>
      <c r="X39" s="47">
        <f>IF($W39=1,SUM($W39:$W$1005),"")</f>
        <v/>
      </c>
    </row>
    <row r="40">
      <c r="A40" s="59" t="n"/>
      <c r="B40" s="60" t="n"/>
      <c r="C40" s="60" t="n"/>
      <c r="D40" s="45">
        <f>IF($C40="","",IFERROR(INDEX('Chain Program'!$B$6:$B$120,MATCH($C40,'Chain Program'!$A$6:$A$120,0)),"Unknown ID"))</f>
        <v/>
      </c>
      <c r="E40" s="45">
        <f>IF($C40="","",IFERROR(INDEX('Chain Program'!$D$6:$D$120,MATCH($C40,'Chain Program'!$A$6:$A$120,0)),"Unknown ID"))</f>
        <v/>
      </c>
      <c r="F40" s="60" t="n"/>
      <c r="G40" s="60" t="n"/>
      <c r="H40" s="56">
        <f>IF(OR($C40="",$A40=""),"",IF(COUNTIFS('Promo Calendar'!$A$6:$A$400,$C40,'Promo Calendar'!$D$6:$D$400,IF($G40="","All",$G40),'Promo Calendar'!$I$6:$I$400,"&lt;="&amp;$A40,'Promo Calendar'!$J$6:$J$400,"&gt;="&amp;$A40,'Promo Calendar'!$G$6:$G$400,"&gt;0")&gt;0,_xlfn.MINIFS('Promo Calendar'!$G$6:$G$400,'Promo Calendar'!$A$6:$A$400,$C40,'Promo Calendar'!$D$6:$D$400,IF($G40="","All",$G40),'Promo Calendar'!$I$6:$I$400,"&lt;="&amp;$A40,'Promo Calendar'!$J$6:$J$400,"&gt;="&amp;$A40,'Promo Calendar'!$G$6:$G$400,"&gt;0"),IF(COUNTIFS('Promo Calendar'!$A$6:$A$400,$C40,'Promo Calendar'!$D$6:$D$400,"All",'Promo Calendar'!$I$6:$I$400,"&lt;="&amp;$A40,'Promo Calendar'!$J$6:$J$400,"&gt;="&amp;$A40,'Promo Calendar'!$G$6:$G$400,"&gt;0")&gt;0,_xlfn.MINIFS('Promo Calendar'!$G$6:$G$400,'Promo Calendar'!$A$6:$A$400,$C40,'Promo Calendar'!$D$6:$D$400,"All",'Promo Calendar'!$I$6:$I$400,"&lt;="&amp;$A40,'Promo Calendar'!$J$6:$J$400,"&gt;="&amp;$A40,'Promo Calendar'!$G$6:$G$400,"&gt;0"),IFERROR(IF(INDEX('Chain Program'!$M$6:$M$120,MATCH($C40,'Chain Program'!$A$6:$A$120,0))="","Not set",INDEX('Chain Program'!$M$6:$M$120,MATCH($C40,'Chain Program'!$A$6:$A$120,0))),"Not set"))))</f>
        <v/>
      </c>
      <c r="I40" s="61" t="n"/>
      <c r="J40" s="45">
        <f>IF($I40="","",IF(NOT(ISNUMBER($H40)),"No plan price",IF(ABS($I40-$H40)&lt;0.005,"Match",IF($I40&gt;$H40,"Over plan","Under plan"))))</f>
        <v/>
      </c>
      <c r="K40" s="60" t="n"/>
      <c r="L40" s="60" t="n"/>
      <c r="M40" s="60" t="n"/>
      <c r="N40" s="60" t="n"/>
      <c r="O40" s="60" t="n"/>
      <c r="P40" s="62" t="n"/>
      <c r="Q40" s="62" t="n"/>
      <c r="R40" s="60" t="n"/>
      <c r="S40" s="59" t="n"/>
      <c r="T40" s="60" t="n"/>
      <c r="U40" s="59" t="n"/>
      <c r="V40" s="45">
        <f>IF(OR($A40="",$T40="",$T40="No Issue"),"",IF($T40="Resolved",IF($U40="","",$U40-$A40),TODAY()-$A40))</f>
        <v/>
      </c>
      <c r="W40" s="47">
        <f>IF(AND($C40&lt;&gt;"",$C40='Store History'!$C$4,OR('Store History'!$C$5="",$F40='Store History'!$C$5)),1,0)</f>
        <v/>
      </c>
      <c r="X40" s="47">
        <f>IF($W40=1,SUM($W40:$W$1005),"")</f>
        <v/>
      </c>
    </row>
    <row r="41">
      <c r="A41" s="59" t="n"/>
      <c r="B41" s="60" t="n"/>
      <c r="C41" s="60" t="n"/>
      <c r="D41" s="45">
        <f>IF($C41="","",IFERROR(INDEX('Chain Program'!$B$6:$B$120,MATCH($C41,'Chain Program'!$A$6:$A$120,0)),"Unknown ID"))</f>
        <v/>
      </c>
      <c r="E41" s="45">
        <f>IF($C41="","",IFERROR(INDEX('Chain Program'!$D$6:$D$120,MATCH($C41,'Chain Program'!$A$6:$A$120,0)),"Unknown ID"))</f>
        <v/>
      </c>
      <c r="F41" s="60" t="n"/>
      <c r="G41" s="60" t="n"/>
      <c r="H41" s="56">
        <f>IF(OR($C41="",$A41=""),"",IF(COUNTIFS('Promo Calendar'!$A$6:$A$400,$C41,'Promo Calendar'!$D$6:$D$400,IF($G41="","All",$G41),'Promo Calendar'!$I$6:$I$400,"&lt;="&amp;$A41,'Promo Calendar'!$J$6:$J$400,"&gt;="&amp;$A41,'Promo Calendar'!$G$6:$G$400,"&gt;0")&gt;0,_xlfn.MINIFS('Promo Calendar'!$G$6:$G$400,'Promo Calendar'!$A$6:$A$400,$C41,'Promo Calendar'!$D$6:$D$400,IF($G41="","All",$G41),'Promo Calendar'!$I$6:$I$400,"&lt;="&amp;$A41,'Promo Calendar'!$J$6:$J$400,"&gt;="&amp;$A41,'Promo Calendar'!$G$6:$G$400,"&gt;0"),IF(COUNTIFS('Promo Calendar'!$A$6:$A$400,$C41,'Promo Calendar'!$D$6:$D$400,"All",'Promo Calendar'!$I$6:$I$400,"&lt;="&amp;$A41,'Promo Calendar'!$J$6:$J$400,"&gt;="&amp;$A41,'Promo Calendar'!$G$6:$G$400,"&gt;0")&gt;0,_xlfn.MINIFS('Promo Calendar'!$G$6:$G$400,'Promo Calendar'!$A$6:$A$400,$C41,'Promo Calendar'!$D$6:$D$400,"All",'Promo Calendar'!$I$6:$I$400,"&lt;="&amp;$A41,'Promo Calendar'!$J$6:$J$400,"&gt;="&amp;$A41,'Promo Calendar'!$G$6:$G$400,"&gt;0"),IFERROR(IF(INDEX('Chain Program'!$M$6:$M$120,MATCH($C41,'Chain Program'!$A$6:$A$120,0))="","Not set",INDEX('Chain Program'!$M$6:$M$120,MATCH($C41,'Chain Program'!$A$6:$A$120,0))),"Not set"))))</f>
        <v/>
      </c>
      <c r="I41" s="61" t="n"/>
      <c r="J41" s="45">
        <f>IF($I41="","",IF(NOT(ISNUMBER($H41)),"No plan price",IF(ABS($I41-$H41)&lt;0.005,"Match",IF($I41&gt;$H41,"Over plan","Under plan"))))</f>
        <v/>
      </c>
      <c r="K41" s="60" t="n"/>
      <c r="L41" s="60" t="n"/>
      <c r="M41" s="60" t="n"/>
      <c r="N41" s="60" t="n"/>
      <c r="O41" s="60" t="n"/>
      <c r="P41" s="62" t="n"/>
      <c r="Q41" s="62" t="n"/>
      <c r="R41" s="60" t="n"/>
      <c r="S41" s="59" t="n"/>
      <c r="T41" s="60" t="n"/>
      <c r="U41" s="59" t="n"/>
      <c r="V41" s="45">
        <f>IF(OR($A41="",$T41="",$T41="No Issue"),"",IF($T41="Resolved",IF($U41="","",$U41-$A41),TODAY()-$A41))</f>
        <v/>
      </c>
      <c r="W41" s="47">
        <f>IF(AND($C41&lt;&gt;"",$C41='Store History'!$C$4,OR('Store History'!$C$5="",$F41='Store History'!$C$5)),1,0)</f>
        <v/>
      </c>
      <c r="X41" s="47">
        <f>IF($W41=1,SUM($W41:$W$1005),"")</f>
        <v/>
      </c>
    </row>
    <row r="42">
      <c r="A42" s="59" t="n"/>
      <c r="B42" s="60" t="n"/>
      <c r="C42" s="60" t="n"/>
      <c r="D42" s="45">
        <f>IF($C42="","",IFERROR(INDEX('Chain Program'!$B$6:$B$120,MATCH($C42,'Chain Program'!$A$6:$A$120,0)),"Unknown ID"))</f>
        <v/>
      </c>
      <c r="E42" s="45">
        <f>IF($C42="","",IFERROR(INDEX('Chain Program'!$D$6:$D$120,MATCH($C42,'Chain Program'!$A$6:$A$120,0)),"Unknown ID"))</f>
        <v/>
      </c>
      <c r="F42" s="60" t="n"/>
      <c r="G42" s="60" t="n"/>
      <c r="H42" s="56">
        <f>IF(OR($C42="",$A42=""),"",IF(COUNTIFS('Promo Calendar'!$A$6:$A$400,$C42,'Promo Calendar'!$D$6:$D$400,IF($G42="","All",$G42),'Promo Calendar'!$I$6:$I$400,"&lt;="&amp;$A42,'Promo Calendar'!$J$6:$J$400,"&gt;="&amp;$A42,'Promo Calendar'!$G$6:$G$400,"&gt;0")&gt;0,_xlfn.MINIFS('Promo Calendar'!$G$6:$G$400,'Promo Calendar'!$A$6:$A$400,$C42,'Promo Calendar'!$D$6:$D$400,IF($G42="","All",$G42),'Promo Calendar'!$I$6:$I$400,"&lt;="&amp;$A42,'Promo Calendar'!$J$6:$J$400,"&gt;="&amp;$A42,'Promo Calendar'!$G$6:$G$400,"&gt;0"),IF(COUNTIFS('Promo Calendar'!$A$6:$A$400,$C42,'Promo Calendar'!$D$6:$D$400,"All",'Promo Calendar'!$I$6:$I$400,"&lt;="&amp;$A42,'Promo Calendar'!$J$6:$J$400,"&gt;="&amp;$A42,'Promo Calendar'!$G$6:$G$400,"&gt;0")&gt;0,_xlfn.MINIFS('Promo Calendar'!$G$6:$G$400,'Promo Calendar'!$A$6:$A$400,$C42,'Promo Calendar'!$D$6:$D$400,"All",'Promo Calendar'!$I$6:$I$400,"&lt;="&amp;$A42,'Promo Calendar'!$J$6:$J$400,"&gt;="&amp;$A42,'Promo Calendar'!$G$6:$G$400,"&gt;0"),IFERROR(IF(INDEX('Chain Program'!$M$6:$M$120,MATCH($C42,'Chain Program'!$A$6:$A$120,0))="","Not set",INDEX('Chain Program'!$M$6:$M$120,MATCH($C42,'Chain Program'!$A$6:$A$120,0))),"Not set"))))</f>
        <v/>
      </c>
      <c r="I42" s="61" t="n"/>
      <c r="J42" s="45">
        <f>IF($I42="","",IF(NOT(ISNUMBER($H42)),"No plan price",IF(ABS($I42-$H42)&lt;0.005,"Match",IF($I42&gt;$H42,"Over plan","Under plan"))))</f>
        <v/>
      </c>
      <c r="K42" s="60" t="n"/>
      <c r="L42" s="60" t="n"/>
      <c r="M42" s="60" t="n"/>
      <c r="N42" s="60" t="n"/>
      <c r="O42" s="60" t="n"/>
      <c r="P42" s="62" t="n"/>
      <c r="Q42" s="62" t="n"/>
      <c r="R42" s="60" t="n"/>
      <c r="S42" s="59" t="n"/>
      <c r="T42" s="60" t="n"/>
      <c r="U42" s="59" t="n"/>
      <c r="V42" s="45">
        <f>IF(OR($A42="",$T42="",$T42="No Issue"),"",IF($T42="Resolved",IF($U42="","",$U42-$A42),TODAY()-$A42))</f>
        <v/>
      </c>
      <c r="W42" s="47">
        <f>IF(AND($C42&lt;&gt;"",$C42='Store History'!$C$4,OR('Store History'!$C$5="",$F42='Store History'!$C$5)),1,0)</f>
        <v/>
      </c>
      <c r="X42" s="47">
        <f>IF($W42=1,SUM($W42:$W$1005),"")</f>
        <v/>
      </c>
    </row>
    <row r="43">
      <c r="A43" s="59" t="n"/>
      <c r="B43" s="60" t="n"/>
      <c r="C43" s="60" t="n"/>
      <c r="D43" s="45">
        <f>IF($C43="","",IFERROR(INDEX('Chain Program'!$B$6:$B$120,MATCH($C43,'Chain Program'!$A$6:$A$120,0)),"Unknown ID"))</f>
        <v/>
      </c>
      <c r="E43" s="45">
        <f>IF($C43="","",IFERROR(INDEX('Chain Program'!$D$6:$D$120,MATCH($C43,'Chain Program'!$A$6:$A$120,0)),"Unknown ID"))</f>
        <v/>
      </c>
      <c r="F43" s="60" t="n"/>
      <c r="G43" s="60" t="n"/>
      <c r="H43" s="56">
        <f>IF(OR($C43="",$A43=""),"",IF(COUNTIFS('Promo Calendar'!$A$6:$A$400,$C43,'Promo Calendar'!$D$6:$D$400,IF($G43="","All",$G43),'Promo Calendar'!$I$6:$I$400,"&lt;="&amp;$A43,'Promo Calendar'!$J$6:$J$400,"&gt;="&amp;$A43,'Promo Calendar'!$G$6:$G$400,"&gt;0")&gt;0,_xlfn.MINIFS('Promo Calendar'!$G$6:$G$400,'Promo Calendar'!$A$6:$A$400,$C43,'Promo Calendar'!$D$6:$D$400,IF($G43="","All",$G43),'Promo Calendar'!$I$6:$I$400,"&lt;="&amp;$A43,'Promo Calendar'!$J$6:$J$400,"&gt;="&amp;$A43,'Promo Calendar'!$G$6:$G$400,"&gt;0"),IF(COUNTIFS('Promo Calendar'!$A$6:$A$400,$C43,'Promo Calendar'!$D$6:$D$400,"All",'Promo Calendar'!$I$6:$I$400,"&lt;="&amp;$A43,'Promo Calendar'!$J$6:$J$400,"&gt;="&amp;$A43,'Promo Calendar'!$G$6:$G$400,"&gt;0")&gt;0,_xlfn.MINIFS('Promo Calendar'!$G$6:$G$400,'Promo Calendar'!$A$6:$A$400,$C43,'Promo Calendar'!$D$6:$D$400,"All",'Promo Calendar'!$I$6:$I$400,"&lt;="&amp;$A43,'Promo Calendar'!$J$6:$J$400,"&gt;="&amp;$A43,'Promo Calendar'!$G$6:$G$400,"&gt;0"),IFERROR(IF(INDEX('Chain Program'!$M$6:$M$120,MATCH($C43,'Chain Program'!$A$6:$A$120,0))="","Not set",INDEX('Chain Program'!$M$6:$M$120,MATCH($C43,'Chain Program'!$A$6:$A$120,0))),"Not set"))))</f>
        <v/>
      </c>
      <c r="I43" s="61" t="n"/>
      <c r="J43" s="45">
        <f>IF($I43="","",IF(NOT(ISNUMBER($H43)),"No plan price",IF(ABS($I43-$H43)&lt;0.005,"Match",IF($I43&gt;$H43,"Over plan","Under plan"))))</f>
        <v/>
      </c>
      <c r="K43" s="60" t="n"/>
      <c r="L43" s="60" t="n"/>
      <c r="M43" s="60" t="n"/>
      <c r="N43" s="60" t="n"/>
      <c r="O43" s="60" t="n"/>
      <c r="P43" s="62" t="n"/>
      <c r="Q43" s="62" t="n"/>
      <c r="R43" s="60" t="n"/>
      <c r="S43" s="59" t="n"/>
      <c r="T43" s="60" t="n"/>
      <c r="U43" s="59" t="n"/>
      <c r="V43" s="45">
        <f>IF(OR($A43="",$T43="",$T43="No Issue"),"",IF($T43="Resolved",IF($U43="","",$U43-$A43),TODAY()-$A43))</f>
        <v/>
      </c>
      <c r="W43" s="47">
        <f>IF(AND($C43&lt;&gt;"",$C43='Store History'!$C$4,OR('Store History'!$C$5="",$F43='Store History'!$C$5)),1,0)</f>
        <v/>
      </c>
      <c r="X43" s="47">
        <f>IF($W43=1,SUM($W43:$W$1005),"")</f>
        <v/>
      </c>
    </row>
    <row r="44">
      <c r="A44" s="59" t="n"/>
      <c r="B44" s="60" t="n"/>
      <c r="C44" s="60" t="n"/>
      <c r="D44" s="45">
        <f>IF($C44="","",IFERROR(INDEX('Chain Program'!$B$6:$B$120,MATCH($C44,'Chain Program'!$A$6:$A$120,0)),"Unknown ID"))</f>
        <v/>
      </c>
      <c r="E44" s="45">
        <f>IF($C44="","",IFERROR(INDEX('Chain Program'!$D$6:$D$120,MATCH($C44,'Chain Program'!$A$6:$A$120,0)),"Unknown ID"))</f>
        <v/>
      </c>
      <c r="F44" s="60" t="n"/>
      <c r="G44" s="60" t="n"/>
      <c r="H44" s="56">
        <f>IF(OR($C44="",$A44=""),"",IF(COUNTIFS('Promo Calendar'!$A$6:$A$400,$C44,'Promo Calendar'!$D$6:$D$400,IF($G44="","All",$G44),'Promo Calendar'!$I$6:$I$400,"&lt;="&amp;$A44,'Promo Calendar'!$J$6:$J$400,"&gt;="&amp;$A44,'Promo Calendar'!$G$6:$G$400,"&gt;0")&gt;0,_xlfn.MINIFS('Promo Calendar'!$G$6:$G$400,'Promo Calendar'!$A$6:$A$400,$C44,'Promo Calendar'!$D$6:$D$400,IF($G44="","All",$G44),'Promo Calendar'!$I$6:$I$400,"&lt;="&amp;$A44,'Promo Calendar'!$J$6:$J$400,"&gt;="&amp;$A44,'Promo Calendar'!$G$6:$G$400,"&gt;0"),IF(COUNTIFS('Promo Calendar'!$A$6:$A$400,$C44,'Promo Calendar'!$D$6:$D$400,"All",'Promo Calendar'!$I$6:$I$400,"&lt;="&amp;$A44,'Promo Calendar'!$J$6:$J$400,"&gt;="&amp;$A44,'Promo Calendar'!$G$6:$G$400,"&gt;0")&gt;0,_xlfn.MINIFS('Promo Calendar'!$G$6:$G$400,'Promo Calendar'!$A$6:$A$400,$C44,'Promo Calendar'!$D$6:$D$400,"All",'Promo Calendar'!$I$6:$I$400,"&lt;="&amp;$A44,'Promo Calendar'!$J$6:$J$400,"&gt;="&amp;$A44,'Promo Calendar'!$G$6:$G$400,"&gt;0"),IFERROR(IF(INDEX('Chain Program'!$M$6:$M$120,MATCH($C44,'Chain Program'!$A$6:$A$120,0))="","Not set",INDEX('Chain Program'!$M$6:$M$120,MATCH($C44,'Chain Program'!$A$6:$A$120,0))),"Not set"))))</f>
        <v/>
      </c>
      <c r="I44" s="61" t="n"/>
      <c r="J44" s="45">
        <f>IF($I44="","",IF(NOT(ISNUMBER($H44)),"No plan price",IF(ABS($I44-$H44)&lt;0.005,"Match",IF($I44&gt;$H44,"Over plan","Under plan"))))</f>
        <v/>
      </c>
      <c r="K44" s="60" t="n"/>
      <c r="L44" s="60" t="n"/>
      <c r="M44" s="60" t="n"/>
      <c r="N44" s="60" t="n"/>
      <c r="O44" s="60" t="n"/>
      <c r="P44" s="62" t="n"/>
      <c r="Q44" s="62" t="n"/>
      <c r="R44" s="60" t="n"/>
      <c r="S44" s="59" t="n"/>
      <c r="T44" s="60" t="n"/>
      <c r="U44" s="59" t="n"/>
      <c r="V44" s="45">
        <f>IF(OR($A44="",$T44="",$T44="No Issue"),"",IF($T44="Resolved",IF($U44="","",$U44-$A44),TODAY()-$A44))</f>
        <v/>
      </c>
      <c r="W44" s="47">
        <f>IF(AND($C44&lt;&gt;"",$C44='Store History'!$C$4,OR('Store History'!$C$5="",$F44='Store History'!$C$5)),1,0)</f>
        <v/>
      </c>
      <c r="X44" s="47">
        <f>IF($W44=1,SUM($W44:$W$1005),"")</f>
        <v/>
      </c>
    </row>
    <row r="45">
      <c r="A45" s="59" t="n"/>
      <c r="B45" s="60" t="n"/>
      <c r="C45" s="60" t="n"/>
      <c r="D45" s="45">
        <f>IF($C45="","",IFERROR(INDEX('Chain Program'!$B$6:$B$120,MATCH($C45,'Chain Program'!$A$6:$A$120,0)),"Unknown ID"))</f>
        <v/>
      </c>
      <c r="E45" s="45">
        <f>IF($C45="","",IFERROR(INDEX('Chain Program'!$D$6:$D$120,MATCH($C45,'Chain Program'!$A$6:$A$120,0)),"Unknown ID"))</f>
        <v/>
      </c>
      <c r="F45" s="60" t="n"/>
      <c r="G45" s="60" t="n"/>
      <c r="H45" s="56">
        <f>IF(OR($C45="",$A45=""),"",IF(COUNTIFS('Promo Calendar'!$A$6:$A$400,$C45,'Promo Calendar'!$D$6:$D$400,IF($G45="","All",$G45),'Promo Calendar'!$I$6:$I$400,"&lt;="&amp;$A45,'Promo Calendar'!$J$6:$J$400,"&gt;="&amp;$A45,'Promo Calendar'!$G$6:$G$400,"&gt;0")&gt;0,_xlfn.MINIFS('Promo Calendar'!$G$6:$G$400,'Promo Calendar'!$A$6:$A$400,$C45,'Promo Calendar'!$D$6:$D$400,IF($G45="","All",$G45),'Promo Calendar'!$I$6:$I$400,"&lt;="&amp;$A45,'Promo Calendar'!$J$6:$J$400,"&gt;="&amp;$A45,'Promo Calendar'!$G$6:$G$400,"&gt;0"),IF(COUNTIFS('Promo Calendar'!$A$6:$A$400,$C45,'Promo Calendar'!$D$6:$D$400,"All",'Promo Calendar'!$I$6:$I$400,"&lt;="&amp;$A45,'Promo Calendar'!$J$6:$J$400,"&gt;="&amp;$A45,'Promo Calendar'!$G$6:$G$400,"&gt;0")&gt;0,_xlfn.MINIFS('Promo Calendar'!$G$6:$G$400,'Promo Calendar'!$A$6:$A$400,$C45,'Promo Calendar'!$D$6:$D$400,"All",'Promo Calendar'!$I$6:$I$400,"&lt;="&amp;$A45,'Promo Calendar'!$J$6:$J$400,"&gt;="&amp;$A45,'Promo Calendar'!$G$6:$G$400,"&gt;0"),IFERROR(IF(INDEX('Chain Program'!$M$6:$M$120,MATCH($C45,'Chain Program'!$A$6:$A$120,0))="","Not set",INDEX('Chain Program'!$M$6:$M$120,MATCH($C45,'Chain Program'!$A$6:$A$120,0))),"Not set"))))</f>
        <v/>
      </c>
      <c r="I45" s="61" t="n"/>
      <c r="J45" s="45">
        <f>IF($I45="","",IF(NOT(ISNUMBER($H45)),"No plan price",IF(ABS($I45-$H45)&lt;0.005,"Match",IF($I45&gt;$H45,"Over plan","Under plan"))))</f>
        <v/>
      </c>
      <c r="K45" s="60" t="n"/>
      <c r="L45" s="60" t="n"/>
      <c r="M45" s="60" t="n"/>
      <c r="N45" s="60" t="n"/>
      <c r="O45" s="60" t="n"/>
      <c r="P45" s="62" t="n"/>
      <c r="Q45" s="62" t="n"/>
      <c r="R45" s="60" t="n"/>
      <c r="S45" s="59" t="n"/>
      <c r="T45" s="60" t="n"/>
      <c r="U45" s="59" t="n"/>
      <c r="V45" s="45">
        <f>IF(OR($A45="",$T45="",$T45="No Issue"),"",IF($T45="Resolved",IF($U45="","",$U45-$A45),TODAY()-$A45))</f>
        <v/>
      </c>
      <c r="W45" s="47">
        <f>IF(AND($C45&lt;&gt;"",$C45='Store History'!$C$4,OR('Store History'!$C$5="",$F45='Store History'!$C$5)),1,0)</f>
        <v/>
      </c>
      <c r="X45" s="47">
        <f>IF($W45=1,SUM($W45:$W$1005),"")</f>
        <v/>
      </c>
    </row>
    <row r="46">
      <c r="A46" s="59" t="n"/>
      <c r="B46" s="60" t="n"/>
      <c r="C46" s="60" t="n"/>
      <c r="D46" s="45">
        <f>IF($C46="","",IFERROR(INDEX('Chain Program'!$B$6:$B$120,MATCH($C46,'Chain Program'!$A$6:$A$120,0)),"Unknown ID"))</f>
        <v/>
      </c>
      <c r="E46" s="45">
        <f>IF($C46="","",IFERROR(INDEX('Chain Program'!$D$6:$D$120,MATCH($C46,'Chain Program'!$A$6:$A$120,0)),"Unknown ID"))</f>
        <v/>
      </c>
      <c r="F46" s="60" t="n"/>
      <c r="G46" s="60" t="n"/>
      <c r="H46" s="56">
        <f>IF(OR($C46="",$A46=""),"",IF(COUNTIFS('Promo Calendar'!$A$6:$A$400,$C46,'Promo Calendar'!$D$6:$D$400,IF($G46="","All",$G46),'Promo Calendar'!$I$6:$I$400,"&lt;="&amp;$A46,'Promo Calendar'!$J$6:$J$400,"&gt;="&amp;$A46,'Promo Calendar'!$G$6:$G$400,"&gt;0")&gt;0,_xlfn.MINIFS('Promo Calendar'!$G$6:$G$400,'Promo Calendar'!$A$6:$A$400,$C46,'Promo Calendar'!$D$6:$D$400,IF($G46="","All",$G46),'Promo Calendar'!$I$6:$I$400,"&lt;="&amp;$A46,'Promo Calendar'!$J$6:$J$400,"&gt;="&amp;$A46,'Promo Calendar'!$G$6:$G$400,"&gt;0"),IF(COUNTIFS('Promo Calendar'!$A$6:$A$400,$C46,'Promo Calendar'!$D$6:$D$400,"All",'Promo Calendar'!$I$6:$I$400,"&lt;="&amp;$A46,'Promo Calendar'!$J$6:$J$400,"&gt;="&amp;$A46,'Promo Calendar'!$G$6:$G$400,"&gt;0")&gt;0,_xlfn.MINIFS('Promo Calendar'!$G$6:$G$400,'Promo Calendar'!$A$6:$A$400,$C46,'Promo Calendar'!$D$6:$D$400,"All",'Promo Calendar'!$I$6:$I$400,"&lt;="&amp;$A46,'Promo Calendar'!$J$6:$J$400,"&gt;="&amp;$A46,'Promo Calendar'!$G$6:$G$400,"&gt;0"),IFERROR(IF(INDEX('Chain Program'!$M$6:$M$120,MATCH($C46,'Chain Program'!$A$6:$A$120,0))="","Not set",INDEX('Chain Program'!$M$6:$M$120,MATCH($C46,'Chain Program'!$A$6:$A$120,0))),"Not set"))))</f>
        <v/>
      </c>
      <c r="I46" s="61" t="n"/>
      <c r="J46" s="45">
        <f>IF($I46="","",IF(NOT(ISNUMBER($H46)),"No plan price",IF(ABS($I46-$H46)&lt;0.005,"Match",IF($I46&gt;$H46,"Over plan","Under plan"))))</f>
        <v/>
      </c>
      <c r="K46" s="60" t="n"/>
      <c r="L46" s="60" t="n"/>
      <c r="M46" s="60" t="n"/>
      <c r="N46" s="60" t="n"/>
      <c r="O46" s="60" t="n"/>
      <c r="P46" s="62" t="n"/>
      <c r="Q46" s="62" t="n"/>
      <c r="R46" s="60" t="n"/>
      <c r="S46" s="59" t="n"/>
      <c r="T46" s="60" t="n"/>
      <c r="U46" s="59" t="n"/>
      <c r="V46" s="45">
        <f>IF(OR($A46="",$T46="",$T46="No Issue"),"",IF($T46="Resolved",IF($U46="","",$U46-$A46),TODAY()-$A46))</f>
        <v/>
      </c>
      <c r="W46" s="47">
        <f>IF(AND($C46&lt;&gt;"",$C46='Store History'!$C$4,OR('Store History'!$C$5="",$F46='Store History'!$C$5)),1,0)</f>
        <v/>
      </c>
      <c r="X46" s="47">
        <f>IF($W46=1,SUM($W46:$W$1005),"")</f>
        <v/>
      </c>
    </row>
    <row r="47">
      <c r="A47" s="59" t="n"/>
      <c r="B47" s="60" t="n"/>
      <c r="C47" s="60" t="n"/>
      <c r="D47" s="45">
        <f>IF($C47="","",IFERROR(INDEX('Chain Program'!$B$6:$B$120,MATCH($C47,'Chain Program'!$A$6:$A$120,0)),"Unknown ID"))</f>
        <v/>
      </c>
      <c r="E47" s="45">
        <f>IF($C47="","",IFERROR(INDEX('Chain Program'!$D$6:$D$120,MATCH($C47,'Chain Program'!$A$6:$A$120,0)),"Unknown ID"))</f>
        <v/>
      </c>
      <c r="F47" s="60" t="n"/>
      <c r="G47" s="60" t="n"/>
      <c r="H47" s="56">
        <f>IF(OR($C47="",$A47=""),"",IF(COUNTIFS('Promo Calendar'!$A$6:$A$400,$C47,'Promo Calendar'!$D$6:$D$400,IF($G47="","All",$G47),'Promo Calendar'!$I$6:$I$400,"&lt;="&amp;$A47,'Promo Calendar'!$J$6:$J$400,"&gt;="&amp;$A47,'Promo Calendar'!$G$6:$G$400,"&gt;0")&gt;0,_xlfn.MINIFS('Promo Calendar'!$G$6:$G$400,'Promo Calendar'!$A$6:$A$400,$C47,'Promo Calendar'!$D$6:$D$400,IF($G47="","All",$G47),'Promo Calendar'!$I$6:$I$400,"&lt;="&amp;$A47,'Promo Calendar'!$J$6:$J$400,"&gt;="&amp;$A47,'Promo Calendar'!$G$6:$G$400,"&gt;0"),IF(COUNTIFS('Promo Calendar'!$A$6:$A$400,$C47,'Promo Calendar'!$D$6:$D$400,"All",'Promo Calendar'!$I$6:$I$400,"&lt;="&amp;$A47,'Promo Calendar'!$J$6:$J$400,"&gt;="&amp;$A47,'Promo Calendar'!$G$6:$G$400,"&gt;0")&gt;0,_xlfn.MINIFS('Promo Calendar'!$G$6:$G$400,'Promo Calendar'!$A$6:$A$400,$C47,'Promo Calendar'!$D$6:$D$400,"All",'Promo Calendar'!$I$6:$I$400,"&lt;="&amp;$A47,'Promo Calendar'!$J$6:$J$400,"&gt;="&amp;$A47,'Promo Calendar'!$G$6:$G$400,"&gt;0"),IFERROR(IF(INDEX('Chain Program'!$M$6:$M$120,MATCH($C47,'Chain Program'!$A$6:$A$120,0))="","Not set",INDEX('Chain Program'!$M$6:$M$120,MATCH($C47,'Chain Program'!$A$6:$A$120,0))),"Not set"))))</f>
        <v/>
      </c>
      <c r="I47" s="61" t="n"/>
      <c r="J47" s="45">
        <f>IF($I47="","",IF(NOT(ISNUMBER($H47)),"No plan price",IF(ABS($I47-$H47)&lt;0.005,"Match",IF($I47&gt;$H47,"Over plan","Under plan"))))</f>
        <v/>
      </c>
      <c r="K47" s="60" t="n"/>
      <c r="L47" s="60" t="n"/>
      <c r="M47" s="60" t="n"/>
      <c r="N47" s="60" t="n"/>
      <c r="O47" s="60" t="n"/>
      <c r="P47" s="62" t="n"/>
      <c r="Q47" s="62" t="n"/>
      <c r="R47" s="60" t="n"/>
      <c r="S47" s="59" t="n"/>
      <c r="T47" s="60" t="n"/>
      <c r="U47" s="59" t="n"/>
      <c r="V47" s="45">
        <f>IF(OR($A47="",$T47="",$T47="No Issue"),"",IF($T47="Resolved",IF($U47="","",$U47-$A47),TODAY()-$A47))</f>
        <v/>
      </c>
      <c r="W47" s="47">
        <f>IF(AND($C47&lt;&gt;"",$C47='Store History'!$C$4,OR('Store History'!$C$5="",$F47='Store History'!$C$5)),1,0)</f>
        <v/>
      </c>
      <c r="X47" s="47">
        <f>IF($W47=1,SUM($W47:$W$1005),"")</f>
        <v/>
      </c>
    </row>
    <row r="48">
      <c r="A48" s="59" t="n"/>
      <c r="B48" s="60" t="n"/>
      <c r="C48" s="60" t="n"/>
      <c r="D48" s="45">
        <f>IF($C48="","",IFERROR(INDEX('Chain Program'!$B$6:$B$120,MATCH($C48,'Chain Program'!$A$6:$A$120,0)),"Unknown ID"))</f>
        <v/>
      </c>
      <c r="E48" s="45">
        <f>IF($C48="","",IFERROR(INDEX('Chain Program'!$D$6:$D$120,MATCH($C48,'Chain Program'!$A$6:$A$120,0)),"Unknown ID"))</f>
        <v/>
      </c>
      <c r="F48" s="60" t="n"/>
      <c r="G48" s="60" t="n"/>
      <c r="H48" s="56">
        <f>IF(OR($C48="",$A48=""),"",IF(COUNTIFS('Promo Calendar'!$A$6:$A$400,$C48,'Promo Calendar'!$D$6:$D$400,IF($G48="","All",$G48),'Promo Calendar'!$I$6:$I$400,"&lt;="&amp;$A48,'Promo Calendar'!$J$6:$J$400,"&gt;="&amp;$A48,'Promo Calendar'!$G$6:$G$400,"&gt;0")&gt;0,_xlfn.MINIFS('Promo Calendar'!$G$6:$G$400,'Promo Calendar'!$A$6:$A$400,$C48,'Promo Calendar'!$D$6:$D$400,IF($G48="","All",$G48),'Promo Calendar'!$I$6:$I$400,"&lt;="&amp;$A48,'Promo Calendar'!$J$6:$J$400,"&gt;="&amp;$A48,'Promo Calendar'!$G$6:$G$400,"&gt;0"),IF(COUNTIFS('Promo Calendar'!$A$6:$A$400,$C48,'Promo Calendar'!$D$6:$D$400,"All",'Promo Calendar'!$I$6:$I$400,"&lt;="&amp;$A48,'Promo Calendar'!$J$6:$J$400,"&gt;="&amp;$A48,'Promo Calendar'!$G$6:$G$400,"&gt;0")&gt;0,_xlfn.MINIFS('Promo Calendar'!$G$6:$G$400,'Promo Calendar'!$A$6:$A$400,$C48,'Promo Calendar'!$D$6:$D$400,"All",'Promo Calendar'!$I$6:$I$400,"&lt;="&amp;$A48,'Promo Calendar'!$J$6:$J$400,"&gt;="&amp;$A48,'Promo Calendar'!$G$6:$G$400,"&gt;0"),IFERROR(IF(INDEX('Chain Program'!$M$6:$M$120,MATCH($C48,'Chain Program'!$A$6:$A$120,0))="","Not set",INDEX('Chain Program'!$M$6:$M$120,MATCH($C48,'Chain Program'!$A$6:$A$120,0))),"Not set"))))</f>
        <v/>
      </c>
      <c r="I48" s="61" t="n"/>
      <c r="J48" s="45">
        <f>IF($I48="","",IF(NOT(ISNUMBER($H48)),"No plan price",IF(ABS($I48-$H48)&lt;0.005,"Match",IF($I48&gt;$H48,"Over plan","Under plan"))))</f>
        <v/>
      </c>
      <c r="K48" s="60" t="n"/>
      <c r="L48" s="60" t="n"/>
      <c r="M48" s="60" t="n"/>
      <c r="N48" s="60" t="n"/>
      <c r="O48" s="60" t="n"/>
      <c r="P48" s="62" t="n"/>
      <c r="Q48" s="62" t="n"/>
      <c r="R48" s="60" t="n"/>
      <c r="S48" s="59" t="n"/>
      <c r="T48" s="60" t="n"/>
      <c r="U48" s="59" t="n"/>
      <c r="V48" s="45">
        <f>IF(OR($A48="",$T48="",$T48="No Issue"),"",IF($T48="Resolved",IF($U48="","",$U48-$A48),TODAY()-$A48))</f>
        <v/>
      </c>
      <c r="W48" s="47">
        <f>IF(AND($C48&lt;&gt;"",$C48='Store History'!$C$4,OR('Store History'!$C$5="",$F48='Store History'!$C$5)),1,0)</f>
        <v/>
      </c>
      <c r="X48" s="47">
        <f>IF($W48=1,SUM($W48:$W$1005),"")</f>
        <v/>
      </c>
    </row>
    <row r="49">
      <c r="A49" s="59" t="n"/>
      <c r="B49" s="60" t="n"/>
      <c r="C49" s="60" t="n"/>
      <c r="D49" s="45">
        <f>IF($C49="","",IFERROR(INDEX('Chain Program'!$B$6:$B$120,MATCH($C49,'Chain Program'!$A$6:$A$120,0)),"Unknown ID"))</f>
        <v/>
      </c>
      <c r="E49" s="45">
        <f>IF($C49="","",IFERROR(INDEX('Chain Program'!$D$6:$D$120,MATCH($C49,'Chain Program'!$A$6:$A$120,0)),"Unknown ID"))</f>
        <v/>
      </c>
      <c r="F49" s="60" t="n"/>
      <c r="G49" s="60" t="n"/>
      <c r="H49" s="56">
        <f>IF(OR($C49="",$A49=""),"",IF(COUNTIFS('Promo Calendar'!$A$6:$A$400,$C49,'Promo Calendar'!$D$6:$D$400,IF($G49="","All",$G49),'Promo Calendar'!$I$6:$I$400,"&lt;="&amp;$A49,'Promo Calendar'!$J$6:$J$400,"&gt;="&amp;$A49,'Promo Calendar'!$G$6:$G$400,"&gt;0")&gt;0,_xlfn.MINIFS('Promo Calendar'!$G$6:$G$400,'Promo Calendar'!$A$6:$A$400,$C49,'Promo Calendar'!$D$6:$D$400,IF($G49="","All",$G49),'Promo Calendar'!$I$6:$I$400,"&lt;="&amp;$A49,'Promo Calendar'!$J$6:$J$400,"&gt;="&amp;$A49,'Promo Calendar'!$G$6:$G$400,"&gt;0"),IF(COUNTIFS('Promo Calendar'!$A$6:$A$400,$C49,'Promo Calendar'!$D$6:$D$400,"All",'Promo Calendar'!$I$6:$I$400,"&lt;="&amp;$A49,'Promo Calendar'!$J$6:$J$400,"&gt;="&amp;$A49,'Promo Calendar'!$G$6:$G$400,"&gt;0")&gt;0,_xlfn.MINIFS('Promo Calendar'!$G$6:$G$400,'Promo Calendar'!$A$6:$A$400,$C49,'Promo Calendar'!$D$6:$D$400,"All",'Promo Calendar'!$I$6:$I$400,"&lt;="&amp;$A49,'Promo Calendar'!$J$6:$J$400,"&gt;="&amp;$A49,'Promo Calendar'!$G$6:$G$400,"&gt;0"),IFERROR(IF(INDEX('Chain Program'!$M$6:$M$120,MATCH($C49,'Chain Program'!$A$6:$A$120,0))="","Not set",INDEX('Chain Program'!$M$6:$M$120,MATCH($C49,'Chain Program'!$A$6:$A$120,0))),"Not set"))))</f>
        <v/>
      </c>
      <c r="I49" s="61" t="n"/>
      <c r="J49" s="45">
        <f>IF($I49="","",IF(NOT(ISNUMBER($H49)),"No plan price",IF(ABS($I49-$H49)&lt;0.005,"Match",IF($I49&gt;$H49,"Over plan","Under plan"))))</f>
        <v/>
      </c>
      <c r="K49" s="60" t="n"/>
      <c r="L49" s="60" t="n"/>
      <c r="M49" s="60" t="n"/>
      <c r="N49" s="60" t="n"/>
      <c r="O49" s="60" t="n"/>
      <c r="P49" s="62" t="n"/>
      <c r="Q49" s="62" t="n"/>
      <c r="R49" s="60" t="n"/>
      <c r="S49" s="59" t="n"/>
      <c r="T49" s="60" t="n"/>
      <c r="U49" s="59" t="n"/>
      <c r="V49" s="45">
        <f>IF(OR($A49="",$T49="",$T49="No Issue"),"",IF($T49="Resolved",IF($U49="","",$U49-$A49),TODAY()-$A49))</f>
        <v/>
      </c>
      <c r="W49" s="47">
        <f>IF(AND($C49&lt;&gt;"",$C49='Store History'!$C$4,OR('Store History'!$C$5="",$F49='Store History'!$C$5)),1,0)</f>
        <v/>
      </c>
      <c r="X49" s="47">
        <f>IF($W49=1,SUM($W49:$W$1005),"")</f>
        <v/>
      </c>
    </row>
    <row r="50">
      <c r="A50" s="59" t="n"/>
      <c r="B50" s="60" t="n"/>
      <c r="C50" s="60" t="n"/>
      <c r="D50" s="45">
        <f>IF($C50="","",IFERROR(INDEX('Chain Program'!$B$6:$B$120,MATCH($C50,'Chain Program'!$A$6:$A$120,0)),"Unknown ID"))</f>
        <v/>
      </c>
      <c r="E50" s="45">
        <f>IF($C50="","",IFERROR(INDEX('Chain Program'!$D$6:$D$120,MATCH($C50,'Chain Program'!$A$6:$A$120,0)),"Unknown ID"))</f>
        <v/>
      </c>
      <c r="F50" s="60" t="n"/>
      <c r="G50" s="60" t="n"/>
      <c r="H50" s="56">
        <f>IF(OR($C50="",$A50=""),"",IF(COUNTIFS('Promo Calendar'!$A$6:$A$400,$C50,'Promo Calendar'!$D$6:$D$400,IF($G50="","All",$G50),'Promo Calendar'!$I$6:$I$400,"&lt;="&amp;$A50,'Promo Calendar'!$J$6:$J$400,"&gt;="&amp;$A50,'Promo Calendar'!$G$6:$G$400,"&gt;0")&gt;0,_xlfn.MINIFS('Promo Calendar'!$G$6:$G$400,'Promo Calendar'!$A$6:$A$400,$C50,'Promo Calendar'!$D$6:$D$400,IF($G50="","All",$G50),'Promo Calendar'!$I$6:$I$400,"&lt;="&amp;$A50,'Promo Calendar'!$J$6:$J$400,"&gt;="&amp;$A50,'Promo Calendar'!$G$6:$G$400,"&gt;0"),IF(COUNTIFS('Promo Calendar'!$A$6:$A$400,$C50,'Promo Calendar'!$D$6:$D$400,"All",'Promo Calendar'!$I$6:$I$400,"&lt;="&amp;$A50,'Promo Calendar'!$J$6:$J$400,"&gt;="&amp;$A50,'Promo Calendar'!$G$6:$G$400,"&gt;0")&gt;0,_xlfn.MINIFS('Promo Calendar'!$G$6:$G$400,'Promo Calendar'!$A$6:$A$400,$C50,'Promo Calendar'!$D$6:$D$400,"All",'Promo Calendar'!$I$6:$I$400,"&lt;="&amp;$A50,'Promo Calendar'!$J$6:$J$400,"&gt;="&amp;$A50,'Promo Calendar'!$G$6:$G$400,"&gt;0"),IFERROR(IF(INDEX('Chain Program'!$M$6:$M$120,MATCH($C50,'Chain Program'!$A$6:$A$120,0))="","Not set",INDEX('Chain Program'!$M$6:$M$120,MATCH($C50,'Chain Program'!$A$6:$A$120,0))),"Not set"))))</f>
        <v/>
      </c>
      <c r="I50" s="61" t="n"/>
      <c r="J50" s="45">
        <f>IF($I50="","",IF(NOT(ISNUMBER($H50)),"No plan price",IF(ABS($I50-$H50)&lt;0.005,"Match",IF($I50&gt;$H50,"Over plan","Under plan"))))</f>
        <v/>
      </c>
      <c r="K50" s="60" t="n"/>
      <c r="L50" s="60" t="n"/>
      <c r="M50" s="60" t="n"/>
      <c r="N50" s="60" t="n"/>
      <c r="O50" s="60" t="n"/>
      <c r="P50" s="62" t="n"/>
      <c r="Q50" s="62" t="n"/>
      <c r="R50" s="60" t="n"/>
      <c r="S50" s="59" t="n"/>
      <c r="T50" s="60" t="n"/>
      <c r="U50" s="59" t="n"/>
      <c r="V50" s="45">
        <f>IF(OR($A50="",$T50="",$T50="No Issue"),"",IF($T50="Resolved",IF($U50="","",$U50-$A50),TODAY()-$A50))</f>
        <v/>
      </c>
      <c r="W50" s="47">
        <f>IF(AND($C50&lt;&gt;"",$C50='Store History'!$C$4,OR('Store History'!$C$5="",$F50='Store History'!$C$5)),1,0)</f>
        <v/>
      </c>
      <c r="X50" s="47">
        <f>IF($W50=1,SUM($W50:$W$1005),"")</f>
        <v/>
      </c>
    </row>
    <row r="51">
      <c r="A51" s="59" t="n"/>
      <c r="B51" s="60" t="n"/>
      <c r="C51" s="60" t="n"/>
      <c r="D51" s="45">
        <f>IF($C51="","",IFERROR(INDEX('Chain Program'!$B$6:$B$120,MATCH($C51,'Chain Program'!$A$6:$A$120,0)),"Unknown ID"))</f>
        <v/>
      </c>
      <c r="E51" s="45">
        <f>IF($C51="","",IFERROR(INDEX('Chain Program'!$D$6:$D$120,MATCH($C51,'Chain Program'!$A$6:$A$120,0)),"Unknown ID"))</f>
        <v/>
      </c>
      <c r="F51" s="60" t="n"/>
      <c r="G51" s="60" t="n"/>
      <c r="H51" s="56">
        <f>IF(OR($C51="",$A51=""),"",IF(COUNTIFS('Promo Calendar'!$A$6:$A$400,$C51,'Promo Calendar'!$D$6:$D$400,IF($G51="","All",$G51),'Promo Calendar'!$I$6:$I$400,"&lt;="&amp;$A51,'Promo Calendar'!$J$6:$J$400,"&gt;="&amp;$A51,'Promo Calendar'!$G$6:$G$400,"&gt;0")&gt;0,_xlfn.MINIFS('Promo Calendar'!$G$6:$G$400,'Promo Calendar'!$A$6:$A$400,$C51,'Promo Calendar'!$D$6:$D$400,IF($G51="","All",$G51),'Promo Calendar'!$I$6:$I$400,"&lt;="&amp;$A51,'Promo Calendar'!$J$6:$J$400,"&gt;="&amp;$A51,'Promo Calendar'!$G$6:$G$400,"&gt;0"),IF(COUNTIFS('Promo Calendar'!$A$6:$A$400,$C51,'Promo Calendar'!$D$6:$D$400,"All",'Promo Calendar'!$I$6:$I$400,"&lt;="&amp;$A51,'Promo Calendar'!$J$6:$J$400,"&gt;="&amp;$A51,'Promo Calendar'!$G$6:$G$400,"&gt;0")&gt;0,_xlfn.MINIFS('Promo Calendar'!$G$6:$G$400,'Promo Calendar'!$A$6:$A$400,$C51,'Promo Calendar'!$D$6:$D$400,"All",'Promo Calendar'!$I$6:$I$400,"&lt;="&amp;$A51,'Promo Calendar'!$J$6:$J$400,"&gt;="&amp;$A51,'Promo Calendar'!$G$6:$G$400,"&gt;0"),IFERROR(IF(INDEX('Chain Program'!$M$6:$M$120,MATCH($C51,'Chain Program'!$A$6:$A$120,0))="","Not set",INDEX('Chain Program'!$M$6:$M$120,MATCH($C51,'Chain Program'!$A$6:$A$120,0))),"Not set"))))</f>
        <v/>
      </c>
      <c r="I51" s="61" t="n"/>
      <c r="J51" s="45">
        <f>IF($I51="","",IF(NOT(ISNUMBER($H51)),"No plan price",IF(ABS($I51-$H51)&lt;0.005,"Match",IF($I51&gt;$H51,"Over plan","Under plan"))))</f>
        <v/>
      </c>
      <c r="K51" s="60" t="n"/>
      <c r="L51" s="60" t="n"/>
      <c r="M51" s="60" t="n"/>
      <c r="N51" s="60" t="n"/>
      <c r="O51" s="60" t="n"/>
      <c r="P51" s="62" t="n"/>
      <c r="Q51" s="62" t="n"/>
      <c r="R51" s="60" t="n"/>
      <c r="S51" s="59" t="n"/>
      <c r="T51" s="60" t="n"/>
      <c r="U51" s="59" t="n"/>
      <c r="V51" s="45">
        <f>IF(OR($A51="",$T51="",$T51="No Issue"),"",IF($T51="Resolved",IF($U51="","",$U51-$A51),TODAY()-$A51))</f>
        <v/>
      </c>
      <c r="W51" s="47">
        <f>IF(AND($C51&lt;&gt;"",$C51='Store History'!$C$4,OR('Store History'!$C$5="",$F51='Store History'!$C$5)),1,0)</f>
        <v/>
      </c>
      <c r="X51" s="47">
        <f>IF($W51=1,SUM($W51:$W$1005),"")</f>
        <v/>
      </c>
    </row>
    <row r="52">
      <c r="A52" s="59" t="n"/>
      <c r="B52" s="60" t="n"/>
      <c r="C52" s="60" t="n"/>
      <c r="D52" s="45">
        <f>IF($C52="","",IFERROR(INDEX('Chain Program'!$B$6:$B$120,MATCH($C52,'Chain Program'!$A$6:$A$120,0)),"Unknown ID"))</f>
        <v/>
      </c>
      <c r="E52" s="45">
        <f>IF($C52="","",IFERROR(INDEX('Chain Program'!$D$6:$D$120,MATCH($C52,'Chain Program'!$A$6:$A$120,0)),"Unknown ID"))</f>
        <v/>
      </c>
      <c r="F52" s="60" t="n"/>
      <c r="G52" s="60" t="n"/>
      <c r="H52" s="56">
        <f>IF(OR($C52="",$A52=""),"",IF(COUNTIFS('Promo Calendar'!$A$6:$A$400,$C52,'Promo Calendar'!$D$6:$D$400,IF($G52="","All",$G52),'Promo Calendar'!$I$6:$I$400,"&lt;="&amp;$A52,'Promo Calendar'!$J$6:$J$400,"&gt;="&amp;$A52,'Promo Calendar'!$G$6:$G$400,"&gt;0")&gt;0,_xlfn.MINIFS('Promo Calendar'!$G$6:$G$400,'Promo Calendar'!$A$6:$A$400,$C52,'Promo Calendar'!$D$6:$D$400,IF($G52="","All",$G52),'Promo Calendar'!$I$6:$I$400,"&lt;="&amp;$A52,'Promo Calendar'!$J$6:$J$400,"&gt;="&amp;$A52,'Promo Calendar'!$G$6:$G$400,"&gt;0"),IF(COUNTIFS('Promo Calendar'!$A$6:$A$400,$C52,'Promo Calendar'!$D$6:$D$400,"All",'Promo Calendar'!$I$6:$I$400,"&lt;="&amp;$A52,'Promo Calendar'!$J$6:$J$400,"&gt;="&amp;$A52,'Promo Calendar'!$G$6:$G$400,"&gt;0")&gt;0,_xlfn.MINIFS('Promo Calendar'!$G$6:$G$400,'Promo Calendar'!$A$6:$A$400,$C52,'Promo Calendar'!$D$6:$D$400,"All",'Promo Calendar'!$I$6:$I$400,"&lt;="&amp;$A52,'Promo Calendar'!$J$6:$J$400,"&gt;="&amp;$A52,'Promo Calendar'!$G$6:$G$400,"&gt;0"),IFERROR(IF(INDEX('Chain Program'!$M$6:$M$120,MATCH($C52,'Chain Program'!$A$6:$A$120,0))="","Not set",INDEX('Chain Program'!$M$6:$M$120,MATCH($C52,'Chain Program'!$A$6:$A$120,0))),"Not set"))))</f>
        <v/>
      </c>
      <c r="I52" s="61" t="n"/>
      <c r="J52" s="45">
        <f>IF($I52="","",IF(NOT(ISNUMBER($H52)),"No plan price",IF(ABS($I52-$H52)&lt;0.005,"Match",IF($I52&gt;$H52,"Over plan","Under plan"))))</f>
        <v/>
      </c>
      <c r="K52" s="60" t="n"/>
      <c r="L52" s="60" t="n"/>
      <c r="M52" s="60" t="n"/>
      <c r="N52" s="60" t="n"/>
      <c r="O52" s="60" t="n"/>
      <c r="P52" s="62" t="n"/>
      <c r="Q52" s="62" t="n"/>
      <c r="R52" s="60" t="n"/>
      <c r="S52" s="59" t="n"/>
      <c r="T52" s="60" t="n"/>
      <c r="U52" s="59" t="n"/>
      <c r="V52" s="45">
        <f>IF(OR($A52="",$T52="",$T52="No Issue"),"",IF($T52="Resolved",IF($U52="","",$U52-$A52),TODAY()-$A52))</f>
        <v/>
      </c>
      <c r="W52" s="47">
        <f>IF(AND($C52&lt;&gt;"",$C52='Store History'!$C$4,OR('Store History'!$C$5="",$F52='Store History'!$C$5)),1,0)</f>
        <v/>
      </c>
      <c r="X52" s="47">
        <f>IF($W52=1,SUM($W52:$W$1005),"")</f>
        <v/>
      </c>
    </row>
    <row r="53">
      <c r="A53" s="59" t="n"/>
      <c r="B53" s="60" t="n"/>
      <c r="C53" s="60" t="n"/>
      <c r="D53" s="45">
        <f>IF($C53="","",IFERROR(INDEX('Chain Program'!$B$6:$B$120,MATCH($C53,'Chain Program'!$A$6:$A$120,0)),"Unknown ID"))</f>
        <v/>
      </c>
      <c r="E53" s="45">
        <f>IF($C53="","",IFERROR(INDEX('Chain Program'!$D$6:$D$120,MATCH($C53,'Chain Program'!$A$6:$A$120,0)),"Unknown ID"))</f>
        <v/>
      </c>
      <c r="F53" s="60" t="n"/>
      <c r="G53" s="60" t="n"/>
      <c r="H53" s="56">
        <f>IF(OR($C53="",$A53=""),"",IF(COUNTIFS('Promo Calendar'!$A$6:$A$400,$C53,'Promo Calendar'!$D$6:$D$400,IF($G53="","All",$G53),'Promo Calendar'!$I$6:$I$400,"&lt;="&amp;$A53,'Promo Calendar'!$J$6:$J$400,"&gt;="&amp;$A53,'Promo Calendar'!$G$6:$G$400,"&gt;0")&gt;0,_xlfn.MINIFS('Promo Calendar'!$G$6:$G$400,'Promo Calendar'!$A$6:$A$400,$C53,'Promo Calendar'!$D$6:$D$400,IF($G53="","All",$G53),'Promo Calendar'!$I$6:$I$400,"&lt;="&amp;$A53,'Promo Calendar'!$J$6:$J$400,"&gt;="&amp;$A53,'Promo Calendar'!$G$6:$G$400,"&gt;0"),IF(COUNTIFS('Promo Calendar'!$A$6:$A$400,$C53,'Promo Calendar'!$D$6:$D$400,"All",'Promo Calendar'!$I$6:$I$400,"&lt;="&amp;$A53,'Promo Calendar'!$J$6:$J$400,"&gt;="&amp;$A53,'Promo Calendar'!$G$6:$G$400,"&gt;0")&gt;0,_xlfn.MINIFS('Promo Calendar'!$G$6:$G$400,'Promo Calendar'!$A$6:$A$400,$C53,'Promo Calendar'!$D$6:$D$400,"All",'Promo Calendar'!$I$6:$I$400,"&lt;="&amp;$A53,'Promo Calendar'!$J$6:$J$400,"&gt;="&amp;$A53,'Promo Calendar'!$G$6:$G$400,"&gt;0"),IFERROR(IF(INDEX('Chain Program'!$M$6:$M$120,MATCH($C53,'Chain Program'!$A$6:$A$120,0))="","Not set",INDEX('Chain Program'!$M$6:$M$120,MATCH($C53,'Chain Program'!$A$6:$A$120,0))),"Not set"))))</f>
        <v/>
      </c>
      <c r="I53" s="61" t="n"/>
      <c r="J53" s="45">
        <f>IF($I53="","",IF(NOT(ISNUMBER($H53)),"No plan price",IF(ABS($I53-$H53)&lt;0.005,"Match",IF($I53&gt;$H53,"Over plan","Under plan"))))</f>
        <v/>
      </c>
      <c r="K53" s="60" t="n"/>
      <c r="L53" s="60" t="n"/>
      <c r="M53" s="60" t="n"/>
      <c r="N53" s="60" t="n"/>
      <c r="O53" s="60" t="n"/>
      <c r="P53" s="62" t="n"/>
      <c r="Q53" s="62" t="n"/>
      <c r="R53" s="60" t="n"/>
      <c r="S53" s="59" t="n"/>
      <c r="T53" s="60" t="n"/>
      <c r="U53" s="59" t="n"/>
      <c r="V53" s="45">
        <f>IF(OR($A53="",$T53="",$T53="No Issue"),"",IF($T53="Resolved",IF($U53="","",$U53-$A53),TODAY()-$A53))</f>
        <v/>
      </c>
      <c r="W53" s="47">
        <f>IF(AND($C53&lt;&gt;"",$C53='Store History'!$C$4,OR('Store History'!$C$5="",$F53='Store History'!$C$5)),1,0)</f>
        <v/>
      </c>
      <c r="X53" s="47">
        <f>IF($W53=1,SUM($W53:$W$1005),"")</f>
        <v/>
      </c>
    </row>
    <row r="54">
      <c r="A54" s="59" t="n"/>
      <c r="B54" s="60" t="n"/>
      <c r="C54" s="60" t="n"/>
      <c r="D54" s="45">
        <f>IF($C54="","",IFERROR(INDEX('Chain Program'!$B$6:$B$120,MATCH($C54,'Chain Program'!$A$6:$A$120,0)),"Unknown ID"))</f>
        <v/>
      </c>
      <c r="E54" s="45">
        <f>IF($C54="","",IFERROR(INDEX('Chain Program'!$D$6:$D$120,MATCH($C54,'Chain Program'!$A$6:$A$120,0)),"Unknown ID"))</f>
        <v/>
      </c>
      <c r="F54" s="60" t="n"/>
      <c r="G54" s="60" t="n"/>
      <c r="H54" s="56">
        <f>IF(OR($C54="",$A54=""),"",IF(COUNTIFS('Promo Calendar'!$A$6:$A$400,$C54,'Promo Calendar'!$D$6:$D$400,IF($G54="","All",$G54),'Promo Calendar'!$I$6:$I$400,"&lt;="&amp;$A54,'Promo Calendar'!$J$6:$J$400,"&gt;="&amp;$A54,'Promo Calendar'!$G$6:$G$400,"&gt;0")&gt;0,_xlfn.MINIFS('Promo Calendar'!$G$6:$G$400,'Promo Calendar'!$A$6:$A$400,$C54,'Promo Calendar'!$D$6:$D$400,IF($G54="","All",$G54),'Promo Calendar'!$I$6:$I$400,"&lt;="&amp;$A54,'Promo Calendar'!$J$6:$J$400,"&gt;="&amp;$A54,'Promo Calendar'!$G$6:$G$400,"&gt;0"),IF(COUNTIFS('Promo Calendar'!$A$6:$A$400,$C54,'Promo Calendar'!$D$6:$D$400,"All",'Promo Calendar'!$I$6:$I$400,"&lt;="&amp;$A54,'Promo Calendar'!$J$6:$J$400,"&gt;="&amp;$A54,'Promo Calendar'!$G$6:$G$400,"&gt;0")&gt;0,_xlfn.MINIFS('Promo Calendar'!$G$6:$G$400,'Promo Calendar'!$A$6:$A$400,$C54,'Promo Calendar'!$D$6:$D$400,"All",'Promo Calendar'!$I$6:$I$400,"&lt;="&amp;$A54,'Promo Calendar'!$J$6:$J$400,"&gt;="&amp;$A54,'Promo Calendar'!$G$6:$G$400,"&gt;0"),IFERROR(IF(INDEX('Chain Program'!$M$6:$M$120,MATCH($C54,'Chain Program'!$A$6:$A$120,0))="","Not set",INDEX('Chain Program'!$M$6:$M$120,MATCH($C54,'Chain Program'!$A$6:$A$120,0))),"Not set"))))</f>
        <v/>
      </c>
      <c r="I54" s="61" t="n"/>
      <c r="J54" s="45">
        <f>IF($I54="","",IF(NOT(ISNUMBER($H54)),"No plan price",IF(ABS($I54-$H54)&lt;0.005,"Match",IF($I54&gt;$H54,"Over plan","Under plan"))))</f>
        <v/>
      </c>
      <c r="K54" s="60" t="n"/>
      <c r="L54" s="60" t="n"/>
      <c r="M54" s="60" t="n"/>
      <c r="N54" s="60" t="n"/>
      <c r="O54" s="60" t="n"/>
      <c r="P54" s="62" t="n"/>
      <c r="Q54" s="62" t="n"/>
      <c r="R54" s="60" t="n"/>
      <c r="S54" s="59" t="n"/>
      <c r="T54" s="60" t="n"/>
      <c r="U54" s="59" t="n"/>
      <c r="V54" s="45">
        <f>IF(OR($A54="",$T54="",$T54="No Issue"),"",IF($T54="Resolved",IF($U54="","",$U54-$A54),TODAY()-$A54))</f>
        <v/>
      </c>
      <c r="W54" s="47">
        <f>IF(AND($C54&lt;&gt;"",$C54='Store History'!$C$4,OR('Store History'!$C$5="",$F54='Store History'!$C$5)),1,0)</f>
        <v/>
      </c>
      <c r="X54" s="47">
        <f>IF($W54=1,SUM($W54:$W$1005),"")</f>
        <v/>
      </c>
    </row>
    <row r="55">
      <c r="A55" s="59" t="n"/>
      <c r="B55" s="60" t="n"/>
      <c r="C55" s="60" t="n"/>
      <c r="D55" s="45">
        <f>IF($C55="","",IFERROR(INDEX('Chain Program'!$B$6:$B$120,MATCH($C55,'Chain Program'!$A$6:$A$120,0)),"Unknown ID"))</f>
        <v/>
      </c>
      <c r="E55" s="45">
        <f>IF($C55="","",IFERROR(INDEX('Chain Program'!$D$6:$D$120,MATCH($C55,'Chain Program'!$A$6:$A$120,0)),"Unknown ID"))</f>
        <v/>
      </c>
      <c r="F55" s="60" t="n"/>
      <c r="G55" s="60" t="n"/>
      <c r="H55" s="56">
        <f>IF(OR($C55="",$A55=""),"",IF(COUNTIFS('Promo Calendar'!$A$6:$A$400,$C55,'Promo Calendar'!$D$6:$D$400,IF($G55="","All",$G55),'Promo Calendar'!$I$6:$I$400,"&lt;="&amp;$A55,'Promo Calendar'!$J$6:$J$400,"&gt;="&amp;$A55,'Promo Calendar'!$G$6:$G$400,"&gt;0")&gt;0,_xlfn.MINIFS('Promo Calendar'!$G$6:$G$400,'Promo Calendar'!$A$6:$A$400,$C55,'Promo Calendar'!$D$6:$D$400,IF($G55="","All",$G55),'Promo Calendar'!$I$6:$I$400,"&lt;="&amp;$A55,'Promo Calendar'!$J$6:$J$400,"&gt;="&amp;$A55,'Promo Calendar'!$G$6:$G$400,"&gt;0"),IF(COUNTIFS('Promo Calendar'!$A$6:$A$400,$C55,'Promo Calendar'!$D$6:$D$400,"All",'Promo Calendar'!$I$6:$I$400,"&lt;="&amp;$A55,'Promo Calendar'!$J$6:$J$400,"&gt;="&amp;$A55,'Promo Calendar'!$G$6:$G$400,"&gt;0")&gt;0,_xlfn.MINIFS('Promo Calendar'!$G$6:$G$400,'Promo Calendar'!$A$6:$A$400,$C55,'Promo Calendar'!$D$6:$D$400,"All",'Promo Calendar'!$I$6:$I$400,"&lt;="&amp;$A55,'Promo Calendar'!$J$6:$J$400,"&gt;="&amp;$A55,'Promo Calendar'!$G$6:$G$400,"&gt;0"),IFERROR(IF(INDEX('Chain Program'!$M$6:$M$120,MATCH($C55,'Chain Program'!$A$6:$A$120,0))="","Not set",INDEX('Chain Program'!$M$6:$M$120,MATCH($C55,'Chain Program'!$A$6:$A$120,0))),"Not set"))))</f>
        <v/>
      </c>
      <c r="I55" s="61" t="n"/>
      <c r="J55" s="45">
        <f>IF($I55="","",IF(NOT(ISNUMBER($H55)),"No plan price",IF(ABS($I55-$H55)&lt;0.005,"Match",IF($I55&gt;$H55,"Over plan","Under plan"))))</f>
        <v/>
      </c>
      <c r="K55" s="60" t="n"/>
      <c r="L55" s="60" t="n"/>
      <c r="M55" s="60" t="n"/>
      <c r="N55" s="60" t="n"/>
      <c r="O55" s="60" t="n"/>
      <c r="P55" s="62" t="n"/>
      <c r="Q55" s="62" t="n"/>
      <c r="R55" s="60" t="n"/>
      <c r="S55" s="59" t="n"/>
      <c r="T55" s="60" t="n"/>
      <c r="U55" s="59" t="n"/>
      <c r="V55" s="45">
        <f>IF(OR($A55="",$T55="",$T55="No Issue"),"",IF($T55="Resolved",IF($U55="","",$U55-$A55),TODAY()-$A55))</f>
        <v/>
      </c>
      <c r="W55" s="47">
        <f>IF(AND($C55&lt;&gt;"",$C55='Store History'!$C$4,OR('Store History'!$C$5="",$F55='Store History'!$C$5)),1,0)</f>
        <v/>
      </c>
      <c r="X55" s="47">
        <f>IF($W55=1,SUM($W55:$W$1005),"")</f>
        <v/>
      </c>
    </row>
    <row r="56">
      <c r="A56" s="59" t="n"/>
      <c r="B56" s="60" t="n"/>
      <c r="C56" s="60" t="n"/>
      <c r="D56" s="45">
        <f>IF($C56="","",IFERROR(INDEX('Chain Program'!$B$6:$B$120,MATCH($C56,'Chain Program'!$A$6:$A$120,0)),"Unknown ID"))</f>
        <v/>
      </c>
      <c r="E56" s="45">
        <f>IF($C56="","",IFERROR(INDEX('Chain Program'!$D$6:$D$120,MATCH($C56,'Chain Program'!$A$6:$A$120,0)),"Unknown ID"))</f>
        <v/>
      </c>
      <c r="F56" s="60" t="n"/>
      <c r="G56" s="60" t="n"/>
      <c r="H56" s="56">
        <f>IF(OR($C56="",$A56=""),"",IF(COUNTIFS('Promo Calendar'!$A$6:$A$400,$C56,'Promo Calendar'!$D$6:$D$400,IF($G56="","All",$G56),'Promo Calendar'!$I$6:$I$400,"&lt;="&amp;$A56,'Promo Calendar'!$J$6:$J$400,"&gt;="&amp;$A56,'Promo Calendar'!$G$6:$G$400,"&gt;0")&gt;0,_xlfn.MINIFS('Promo Calendar'!$G$6:$G$400,'Promo Calendar'!$A$6:$A$400,$C56,'Promo Calendar'!$D$6:$D$400,IF($G56="","All",$G56),'Promo Calendar'!$I$6:$I$400,"&lt;="&amp;$A56,'Promo Calendar'!$J$6:$J$400,"&gt;="&amp;$A56,'Promo Calendar'!$G$6:$G$400,"&gt;0"),IF(COUNTIFS('Promo Calendar'!$A$6:$A$400,$C56,'Promo Calendar'!$D$6:$D$400,"All",'Promo Calendar'!$I$6:$I$400,"&lt;="&amp;$A56,'Promo Calendar'!$J$6:$J$400,"&gt;="&amp;$A56,'Promo Calendar'!$G$6:$G$400,"&gt;0")&gt;0,_xlfn.MINIFS('Promo Calendar'!$G$6:$G$400,'Promo Calendar'!$A$6:$A$400,$C56,'Promo Calendar'!$D$6:$D$400,"All",'Promo Calendar'!$I$6:$I$400,"&lt;="&amp;$A56,'Promo Calendar'!$J$6:$J$400,"&gt;="&amp;$A56,'Promo Calendar'!$G$6:$G$400,"&gt;0"),IFERROR(IF(INDEX('Chain Program'!$M$6:$M$120,MATCH($C56,'Chain Program'!$A$6:$A$120,0))="","Not set",INDEX('Chain Program'!$M$6:$M$120,MATCH($C56,'Chain Program'!$A$6:$A$120,0))),"Not set"))))</f>
        <v/>
      </c>
      <c r="I56" s="61" t="n"/>
      <c r="J56" s="45">
        <f>IF($I56="","",IF(NOT(ISNUMBER($H56)),"No plan price",IF(ABS($I56-$H56)&lt;0.005,"Match",IF($I56&gt;$H56,"Over plan","Under plan"))))</f>
        <v/>
      </c>
      <c r="K56" s="60" t="n"/>
      <c r="L56" s="60" t="n"/>
      <c r="M56" s="60" t="n"/>
      <c r="N56" s="60" t="n"/>
      <c r="O56" s="60" t="n"/>
      <c r="P56" s="62" t="n"/>
      <c r="Q56" s="62" t="n"/>
      <c r="R56" s="60" t="n"/>
      <c r="S56" s="59" t="n"/>
      <c r="T56" s="60" t="n"/>
      <c r="U56" s="59" t="n"/>
      <c r="V56" s="45">
        <f>IF(OR($A56="",$T56="",$T56="No Issue"),"",IF($T56="Resolved",IF($U56="","",$U56-$A56),TODAY()-$A56))</f>
        <v/>
      </c>
      <c r="W56" s="47">
        <f>IF(AND($C56&lt;&gt;"",$C56='Store History'!$C$4,OR('Store History'!$C$5="",$F56='Store History'!$C$5)),1,0)</f>
        <v/>
      </c>
      <c r="X56" s="47">
        <f>IF($W56=1,SUM($W56:$W$1005),"")</f>
        <v/>
      </c>
    </row>
    <row r="57">
      <c r="A57" s="59" t="n"/>
      <c r="B57" s="60" t="n"/>
      <c r="C57" s="60" t="n"/>
      <c r="D57" s="45">
        <f>IF($C57="","",IFERROR(INDEX('Chain Program'!$B$6:$B$120,MATCH($C57,'Chain Program'!$A$6:$A$120,0)),"Unknown ID"))</f>
        <v/>
      </c>
      <c r="E57" s="45">
        <f>IF($C57="","",IFERROR(INDEX('Chain Program'!$D$6:$D$120,MATCH($C57,'Chain Program'!$A$6:$A$120,0)),"Unknown ID"))</f>
        <v/>
      </c>
      <c r="F57" s="60" t="n"/>
      <c r="G57" s="60" t="n"/>
      <c r="H57" s="56">
        <f>IF(OR($C57="",$A57=""),"",IF(COUNTIFS('Promo Calendar'!$A$6:$A$400,$C57,'Promo Calendar'!$D$6:$D$400,IF($G57="","All",$G57),'Promo Calendar'!$I$6:$I$400,"&lt;="&amp;$A57,'Promo Calendar'!$J$6:$J$400,"&gt;="&amp;$A57,'Promo Calendar'!$G$6:$G$400,"&gt;0")&gt;0,_xlfn.MINIFS('Promo Calendar'!$G$6:$G$400,'Promo Calendar'!$A$6:$A$400,$C57,'Promo Calendar'!$D$6:$D$400,IF($G57="","All",$G57),'Promo Calendar'!$I$6:$I$400,"&lt;="&amp;$A57,'Promo Calendar'!$J$6:$J$400,"&gt;="&amp;$A57,'Promo Calendar'!$G$6:$G$400,"&gt;0"),IF(COUNTIFS('Promo Calendar'!$A$6:$A$400,$C57,'Promo Calendar'!$D$6:$D$400,"All",'Promo Calendar'!$I$6:$I$400,"&lt;="&amp;$A57,'Promo Calendar'!$J$6:$J$400,"&gt;="&amp;$A57,'Promo Calendar'!$G$6:$G$400,"&gt;0")&gt;0,_xlfn.MINIFS('Promo Calendar'!$G$6:$G$400,'Promo Calendar'!$A$6:$A$400,$C57,'Promo Calendar'!$D$6:$D$400,"All",'Promo Calendar'!$I$6:$I$400,"&lt;="&amp;$A57,'Promo Calendar'!$J$6:$J$400,"&gt;="&amp;$A57,'Promo Calendar'!$G$6:$G$400,"&gt;0"),IFERROR(IF(INDEX('Chain Program'!$M$6:$M$120,MATCH($C57,'Chain Program'!$A$6:$A$120,0))="","Not set",INDEX('Chain Program'!$M$6:$M$120,MATCH($C57,'Chain Program'!$A$6:$A$120,0))),"Not set"))))</f>
        <v/>
      </c>
      <c r="I57" s="61" t="n"/>
      <c r="J57" s="45">
        <f>IF($I57="","",IF(NOT(ISNUMBER($H57)),"No plan price",IF(ABS($I57-$H57)&lt;0.005,"Match",IF($I57&gt;$H57,"Over plan","Under plan"))))</f>
        <v/>
      </c>
      <c r="K57" s="60" t="n"/>
      <c r="L57" s="60" t="n"/>
      <c r="M57" s="60" t="n"/>
      <c r="N57" s="60" t="n"/>
      <c r="O57" s="60" t="n"/>
      <c r="P57" s="62" t="n"/>
      <c r="Q57" s="62" t="n"/>
      <c r="R57" s="60" t="n"/>
      <c r="S57" s="59" t="n"/>
      <c r="T57" s="60" t="n"/>
      <c r="U57" s="59" t="n"/>
      <c r="V57" s="45">
        <f>IF(OR($A57="",$T57="",$T57="No Issue"),"",IF($T57="Resolved",IF($U57="","",$U57-$A57),TODAY()-$A57))</f>
        <v/>
      </c>
      <c r="W57" s="47">
        <f>IF(AND($C57&lt;&gt;"",$C57='Store History'!$C$4,OR('Store History'!$C$5="",$F57='Store History'!$C$5)),1,0)</f>
        <v/>
      </c>
      <c r="X57" s="47">
        <f>IF($W57=1,SUM($W57:$W$1005),"")</f>
        <v/>
      </c>
    </row>
    <row r="58">
      <c r="A58" s="59" t="n"/>
      <c r="B58" s="60" t="n"/>
      <c r="C58" s="60" t="n"/>
      <c r="D58" s="45">
        <f>IF($C58="","",IFERROR(INDEX('Chain Program'!$B$6:$B$120,MATCH($C58,'Chain Program'!$A$6:$A$120,0)),"Unknown ID"))</f>
        <v/>
      </c>
      <c r="E58" s="45">
        <f>IF($C58="","",IFERROR(INDEX('Chain Program'!$D$6:$D$120,MATCH($C58,'Chain Program'!$A$6:$A$120,0)),"Unknown ID"))</f>
        <v/>
      </c>
      <c r="F58" s="60" t="n"/>
      <c r="G58" s="60" t="n"/>
      <c r="H58" s="56">
        <f>IF(OR($C58="",$A58=""),"",IF(COUNTIFS('Promo Calendar'!$A$6:$A$400,$C58,'Promo Calendar'!$D$6:$D$400,IF($G58="","All",$G58),'Promo Calendar'!$I$6:$I$400,"&lt;="&amp;$A58,'Promo Calendar'!$J$6:$J$400,"&gt;="&amp;$A58,'Promo Calendar'!$G$6:$G$400,"&gt;0")&gt;0,_xlfn.MINIFS('Promo Calendar'!$G$6:$G$400,'Promo Calendar'!$A$6:$A$400,$C58,'Promo Calendar'!$D$6:$D$400,IF($G58="","All",$G58),'Promo Calendar'!$I$6:$I$400,"&lt;="&amp;$A58,'Promo Calendar'!$J$6:$J$400,"&gt;="&amp;$A58,'Promo Calendar'!$G$6:$G$400,"&gt;0"),IF(COUNTIFS('Promo Calendar'!$A$6:$A$400,$C58,'Promo Calendar'!$D$6:$D$400,"All",'Promo Calendar'!$I$6:$I$400,"&lt;="&amp;$A58,'Promo Calendar'!$J$6:$J$400,"&gt;="&amp;$A58,'Promo Calendar'!$G$6:$G$400,"&gt;0")&gt;0,_xlfn.MINIFS('Promo Calendar'!$G$6:$G$400,'Promo Calendar'!$A$6:$A$400,$C58,'Promo Calendar'!$D$6:$D$400,"All",'Promo Calendar'!$I$6:$I$400,"&lt;="&amp;$A58,'Promo Calendar'!$J$6:$J$400,"&gt;="&amp;$A58,'Promo Calendar'!$G$6:$G$400,"&gt;0"),IFERROR(IF(INDEX('Chain Program'!$M$6:$M$120,MATCH($C58,'Chain Program'!$A$6:$A$120,0))="","Not set",INDEX('Chain Program'!$M$6:$M$120,MATCH($C58,'Chain Program'!$A$6:$A$120,0))),"Not set"))))</f>
        <v/>
      </c>
      <c r="I58" s="61" t="n"/>
      <c r="J58" s="45">
        <f>IF($I58="","",IF(NOT(ISNUMBER($H58)),"No plan price",IF(ABS($I58-$H58)&lt;0.005,"Match",IF($I58&gt;$H58,"Over plan","Under plan"))))</f>
        <v/>
      </c>
      <c r="K58" s="60" t="n"/>
      <c r="L58" s="60" t="n"/>
      <c r="M58" s="60" t="n"/>
      <c r="N58" s="60" t="n"/>
      <c r="O58" s="60" t="n"/>
      <c r="P58" s="62" t="n"/>
      <c r="Q58" s="62" t="n"/>
      <c r="R58" s="60" t="n"/>
      <c r="S58" s="59" t="n"/>
      <c r="T58" s="60" t="n"/>
      <c r="U58" s="59" t="n"/>
      <c r="V58" s="45">
        <f>IF(OR($A58="",$T58="",$T58="No Issue"),"",IF($T58="Resolved",IF($U58="","",$U58-$A58),TODAY()-$A58))</f>
        <v/>
      </c>
      <c r="W58" s="47">
        <f>IF(AND($C58&lt;&gt;"",$C58='Store History'!$C$4,OR('Store History'!$C$5="",$F58='Store History'!$C$5)),1,0)</f>
        <v/>
      </c>
      <c r="X58" s="47">
        <f>IF($W58=1,SUM($W58:$W$1005),"")</f>
        <v/>
      </c>
    </row>
    <row r="59">
      <c r="A59" s="59" t="n"/>
      <c r="B59" s="60" t="n"/>
      <c r="C59" s="60" t="n"/>
      <c r="D59" s="45">
        <f>IF($C59="","",IFERROR(INDEX('Chain Program'!$B$6:$B$120,MATCH($C59,'Chain Program'!$A$6:$A$120,0)),"Unknown ID"))</f>
        <v/>
      </c>
      <c r="E59" s="45">
        <f>IF($C59="","",IFERROR(INDEX('Chain Program'!$D$6:$D$120,MATCH($C59,'Chain Program'!$A$6:$A$120,0)),"Unknown ID"))</f>
        <v/>
      </c>
      <c r="F59" s="60" t="n"/>
      <c r="G59" s="60" t="n"/>
      <c r="H59" s="56">
        <f>IF(OR($C59="",$A59=""),"",IF(COUNTIFS('Promo Calendar'!$A$6:$A$400,$C59,'Promo Calendar'!$D$6:$D$400,IF($G59="","All",$G59),'Promo Calendar'!$I$6:$I$400,"&lt;="&amp;$A59,'Promo Calendar'!$J$6:$J$400,"&gt;="&amp;$A59,'Promo Calendar'!$G$6:$G$400,"&gt;0")&gt;0,_xlfn.MINIFS('Promo Calendar'!$G$6:$G$400,'Promo Calendar'!$A$6:$A$400,$C59,'Promo Calendar'!$D$6:$D$400,IF($G59="","All",$G59),'Promo Calendar'!$I$6:$I$400,"&lt;="&amp;$A59,'Promo Calendar'!$J$6:$J$400,"&gt;="&amp;$A59,'Promo Calendar'!$G$6:$G$400,"&gt;0"),IF(COUNTIFS('Promo Calendar'!$A$6:$A$400,$C59,'Promo Calendar'!$D$6:$D$400,"All",'Promo Calendar'!$I$6:$I$400,"&lt;="&amp;$A59,'Promo Calendar'!$J$6:$J$400,"&gt;="&amp;$A59,'Promo Calendar'!$G$6:$G$400,"&gt;0")&gt;0,_xlfn.MINIFS('Promo Calendar'!$G$6:$G$400,'Promo Calendar'!$A$6:$A$400,$C59,'Promo Calendar'!$D$6:$D$400,"All",'Promo Calendar'!$I$6:$I$400,"&lt;="&amp;$A59,'Promo Calendar'!$J$6:$J$400,"&gt;="&amp;$A59,'Promo Calendar'!$G$6:$G$400,"&gt;0"),IFERROR(IF(INDEX('Chain Program'!$M$6:$M$120,MATCH($C59,'Chain Program'!$A$6:$A$120,0))="","Not set",INDEX('Chain Program'!$M$6:$M$120,MATCH($C59,'Chain Program'!$A$6:$A$120,0))),"Not set"))))</f>
        <v/>
      </c>
      <c r="I59" s="61" t="n"/>
      <c r="J59" s="45">
        <f>IF($I59="","",IF(NOT(ISNUMBER($H59)),"No plan price",IF(ABS($I59-$H59)&lt;0.005,"Match",IF($I59&gt;$H59,"Over plan","Under plan"))))</f>
        <v/>
      </c>
      <c r="K59" s="60" t="n"/>
      <c r="L59" s="60" t="n"/>
      <c r="M59" s="60" t="n"/>
      <c r="N59" s="60" t="n"/>
      <c r="O59" s="60" t="n"/>
      <c r="P59" s="62" t="n"/>
      <c r="Q59" s="62" t="n"/>
      <c r="R59" s="60" t="n"/>
      <c r="S59" s="59" t="n"/>
      <c r="T59" s="60" t="n"/>
      <c r="U59" s="59" t="n"/>
      <c r="V59" s="45">
        <f>IF(OR($A59="",$T59="",$T59="No Issue"),"",IF($T59="Resolved",IF($U59="","",$U59-$A59),TODAY()-$A59))</f>
        <v/>
      </c>
      <c r="W59" s="47">
        <f>IF(AND($C59&lt;&gt;"",$C59='Store History'!$C$4,OR('Store History'!$C$5="",$F59='Store History'!$C$5)),1,0)</f>
        <v/>
      </c>
      <c r="X59" s="47">
        <f>IF($W59=1,SUM($W59:$W$1005),"")</f>
        <v/>
      </c>
    </row>
    <row r="60">
      <c r="A60" s="59" t="n"/>
      <c r="B60" s="60" t="n"/>
      <c r="C60" s="60" t="n"/>
      <c r="D60" s="45">
        <f>IF($C60="","",IFERROR(INDEX('Chain Program'!$B$6:$B$120,MATCH($C60,'Chain Program'!$A$6:$A$120,0)),"Unknown ID"))</f>
        <v/>
      </c>
      <c r="E60" s="45">
        <f>IF($C60="","",IFERROR(INDEX('Chain Program'!$D$6:$D$120,MATCH($C60,'Chain Program'!$A$6:$A$120,0)),"Unknown ID"))</f>
        <v/>
      </c>
      <c r="F60" s="60" t="n"/>
      <c r="G60" s="60" t="n"/>
      <c r="H60" s="56">
        <f>IF(OR($C60="",$A60=""),"",IF(COUNTIFS('Promo Calendar'!$A$6:$A$400,$C60,'Promo Calendar'!$D$6:$D$400,IF($G60="","All",$G60),'Promo Calendar'!$I$6:$I$400,"&lt;="&amp;$A60,'Promo Calendar'!$J$6:$J$400,"&gt;="&amp;$A60,'Promo Calendar'!$G$6:$G$400,"&gt;0")&gt;0,_xlfn.MINIFS('Promo Calendar'!$G$6:$G$400,'Promo Calendar'!$A$6:$A$400,$C60,'Promo Calendar'!$D$6:$D$400,IF($G60="","All",$G60),'Promo Calendar'!$I$6:$I$400,"&lt;="&amp;$A60,'Promo Calendar'!$J$6:$J$400,"&gt;="&amp;$A60,'Promo Calendar'!$G$6:$G$400,"&gt;0"),IF(COUNTIFS('Promo Calendar'!$A$6:$A$400,$C60,'Promo Calendar'!$D$6:$D$400,"All",'Promo Calendar'!$I$6:$I$400,"&lt;="&amp;$A60,'Promo Calendar'!$J$6:$J$400,"&gt;="&amp;$A60,'Promo Calendar'!$G$6:$G$400,"&gt;0")&gt;0,_xlfn.MINIFS('Promo Calendar'!$G$6:$G$400,'Promo Calendar'!$A$6:$A$400,$C60,'Promo Calendar'!$D$6:$D$400,"All",'Promo Calendar'!$I$6:$I$400,"&lt;="&amp;$A60,'Promo Calendar'!$J$6:$J$400,"&gt;="&amp;$A60,'Promo Calendar'!$G$6:$G$400,"&gt;0"),IFERROR(IF(INDEX('Chain Program'!$M$6:$M$120,MATCH($C60,'Chain Program'!$A$6:$A$120,0))="","Not set",INDEX('Chain Program'!$M$6:$M$120,MATCH($C60,'Chain Program'!$A$6:$A$120,0))),"Not set"))))</f>
        <v/>
      </c>
      <c r="I60" s="61" t="n"/>
      <c r="J60" s="45">
        <f>IF($I60="","",IF(NOT(ISNUMBER($H60)),"No plan price",IF(ABS($I60-$H60)&lt;0.005,"Match",IF($I60&gt;$H60,"Over plan","Under plan"))))</f>
        <v/>
      </c>
      <c r="K60" s="60" t="n"/>
      <c r="L60" s="60" t="n"/>
      <c r="M60" s="60" t="n"/>
      <c r="N60" s="60" t="n"/>
      <c r="O60" s="60" t="n"/>
      <c r="P60" s="62" t="n"/>
      <c r="Q60" s="62" t="n"/>
      <c r="R60" s="60" t="n"/>
      <c r="S60" s="59" t="n"/>
      <c r="T60" s="60" t="n"/>
      <c r="U60" s="59" t="n"/>
      <c r="V60" s="45">
        <f>IF(OR($A60="",$T60="",$T60="No Issue"),"",IF($T60="Resolved",IF($U60="","",$U60-$A60),TODAY()-$A60))</f>
        <v/>
      </c>
      <c r="W60" s="47">
        <f>IF(AND($C60&lt;&gt;"",$C60='Store History'!$C$4,OR('Store History'!$C$5="",$F60='Store History'!$C$5)),1,0)</f>
        <v/>
      </c>
      <c r="X60" s="47">
        <f>IF($W60=1,SUM($W60:$W$1005),"")</f>
        <v/>
      </c>
    </row>
    <row r="61">
      <c r="A61" s="59" t="n"/>
      <c r="B61" s="60" t="n"/>
      <c r="C61" s="60" t="n"/>
      <c r="D61" s="45">
        <f>IF($C61="","",IFERROR(INDEX('Chain Program'!$B$6:$B$120,MATCH($C61,'Chain Program'!$A$6:$A$120,0)),"Unknown ID"))</f>
        <v/>
      </c>
      <c r="E61" s="45">
        <f>IF($C61="","",IFERROR(INDEX('Chain Program'!$D$6:$D$120,MATCH($C61,'Chain Program'!$A$6:$A$120,0)),"Unknown ID"))</f>
        <v/>
      </c>
      <c r="F61" s="60" t="n"/>
      <c r="G61" s="60" t="n"/>
      <c r="H61" s="56">
        <f>IF(OR($C61="",$A61=""),"",IF(COUNTIFS('Promo Calendar'!$A$6:$A$400,$C61,'Promo Calendar'!$D$6:$D$400,IF($G61="","All",$G61),'Promo Calendar'!$I$6:$I$400,"&lt;="&amp;$A61,'Promo Calendar'!$J$6:$J$400,"&gt;="&amp;$A61,'Promo Calendar'!$G$6:$G$400,"&gt;0")&gt;0,_xlfn.MINIFS('Promo Calendar'!$G$6:$G$400,'Promo Calendar'!$A$6:$A$400,$C61,'Promo Calendar'!$D$6:$D$400,IF($G61="","All",$G61),'Promo Calendar'!$I$6:$I$400,"&lt;="&amp;$A61,'Promo Calendar'!$J$6:$J$400,"&gt;="&amp;$A61,'Promo Calendar'!$G$6:$G$400,"&gt;0"),IF(COUNTIFS('Promo Calendar'!$A$6:$A$400,$C61,'Promo Calendar'!$D$6:$D$400,"All",'Promo Calendar'!$I$6:$I$400,"&lt;="&amp;$A61,'Promo Calendar'!$J$6:$J$400,"&gt;="&amp;$A61,'Promo Calendar'!$G$6:$G$400,"&gt;0")&gt;0,_xlfn.MINIFS('Promo Calendar'!$G$6:$G$400,'Promo Calendar'!$A$6:$A$400,$C61,'Promo Calendar'!$D$6:$D$400,"All",'Promo Calendar'!$I$6:$I$400,"&lt;="&amp;$A61,'Promo Calendar'!$J$6:$J$400,"&gt;="&amp;$A61,'Promo Calendar'!$G$6:$G$400,"&gt;0"),IFERROR(IF(INDEX('Chain Program'!$M$6:$M$120,MATCH($C61,'Chain Program'!$A$6:$A$120,0))="","Not set",INDEX('Chain Program'!$M$6:$M$120,MATCH($C61,'Chain Program'!$A$6:$A$120,0))),"Not set"))))</f>
        <v/>
      </c>
      <c r="I61" s="61" t="n"/>
      <c r="J61" s="45">
        <f>IF($I61="","",IF(NOT(ISNUMBER($H61)),"No plan price",IF(ABS($I61-$H61)&lt;0.005,"Match",IF($I61&gt;$H61,"Over plan","Under plan"))))</f>
        <v/>
      </c>
      <c r="K61" s="60" t="n"/>
      <c r="L61" s="60" t="n"/>
      <c r="M61" s="60" t="n"/>
      <c r="N61" s="60" t="n"/>
      <c r="O61" s="60" t="n"/>
      <c r="P61" s="62" t="n"/>
      <c r="Q61" s="62" t="n"/>
      <c r="R61" s="60" t="n"/>
      <c r="S61" s="59" t="n"/>
      <c r="T61" s="60" t="n"/>
      <c r="U61" s="59" t="n"/>
      <c r="V61" s="45">
        <f>IF(OR($A61="",$T61="",$T61="No Issue"),"",IF($T61="Resolved",IF($U61="","",$U61-$A61),TODAY()-$A61))</f>
        <v/>
      </c>
      <c r="W61" s="47">
        <f>IF(AND($C61&lt;&gt;"",$C61='Store History'!$C$4,OR('Store History'!$C$5="",$F61='Store History'!$C$5)),1,0)</f>
        <v/>
      </c>
      <c r="X61" s="47">
        <f>IF($W61=1,SUM($W61:$W$1005),"")</f>
        <v/>
      </c>
    </row>
    <row r="62">
      <c r="A62" s="59" t="n"/>
      <c r="B62" s="60" t="n"/>
      <c r="C62" s="60" t="n"/>
      <c r="D62" s="45">
        <f>IF($C62="","",IFERROR(INDEX('Chain Program'!$B$6:$B$120,MATCH($C62,'Chain Program'!$A$6:$A$120,0)),"Unknown ID"))</f>
        <v/>
      </c>
      <c r="E62" s="45">
        <f>IF($C62="","",IFERROR(INDEX('Chain Program'!$D$6:$D$120,MATCH($C62,'Chain Program'!$A$6:$A$120,0)),"Unknown ID"))</f>
        <v/>
      </c>
      <c r="F62" s="60" t="n"/>
      <c r="G62" s="60" t="n"/>
      <c r="H62" s="56">
        <f>IF(OR($C62="",$A62=""),"",IF(COUNTIFS('Promo Calendar'!$A$6:$A$400,$C62,'Promo Calendar'!$D$6:$D$400,IF($G62="","All",$G62),'Promo Calendar'!$I$6:$I$400,"&lt;="&amp;$A62,'Promo Calendar'!$J$6:$J$400,"&gt;="&amp;$A62,'Promo Calendar'!$G$6:$G$400,"&gt;0")&gt;0,_xlfn.MINIFS('Promo Calendar'!$G$6:$G$400,'Promo Calendar'!$A$6:$A$400,$C62,'Promo Calendar'!$D$6:$D$400,IF($G62="","All",$G62),'Promo Calendar'!$I$6:$I$400,"&lt;="&amp;$A62,'Promo Calendar'!$J$6:$J$400,"&gt;="&amp;$A62,'Promo Calendar'!$G$6:$G$400,"&gt;0"),IF(COUNTIFS('Promo Calendar'!$A$6:$A$400,$C62,'Promo Calendar'!$D$6:$D$400,"All",'Promo Calendar'!$I$6:$I$400,"&lt;="&amp;$A62,'Promo Calendar'!$J$6:$J$400,"&gt;="&amp;$A62,'Promo Calendar'!$G$6:$G$400,"&gt;0")&gt;0,_xlfn.MINIFS('Promo Calendar'!$G$6:$G$400,'Promo Calendar'!$A$6:$A$400,$C62,'Promo Calendar'!$D$6:$D$400,"All",'Promo Calendar'!$I$6:$I$400,"&lt;="&amp;$A62,'Promo Calendar'!$J$6:$J$400,"&gt;="&amp;$A62,'Promo Calendar'!$G$6:$G$400,"&gt;0"),IFERROR(IF(INDEX('Chain Program'!$M$6:$M$120,MATCH($C62,'Chain Program'!$A$6:$A$120,0))="","Not set",INDEX('Chain Program'!$M$6:$M$120,MATCH($C62,'Chain Program'!$A$6:$A$120,0))),"Not set"))))</f>
        <v/>
      </c>
      <c r="I62" s="61" t="n"/>
      <c r="J62" s="45">
        <f>IF($I62="","",IF(NOT(ISNUMBER($H62)),"No plan price",IF(ABS($I62-$H62)&lt;0.005,"Match",IF($I62&gt;$H62,"Over plan","Under plan"))))</f>
        <v/>
      </c>
      <c r="K62" s="60" t="n"/>
      <c r="L62" s="60" t="n"/>
      <c r="M62" s="60" t="n"/>
      <c r="N62" s="60" t="n"/>
      <c r="O62" s="60" t="n"/>
      <c r="P62" s="62" t="n"/>
      <c r="Q62" s="62" t="n"/>
      <c r="R62" s="60" t="n"/>
      <c r="S62" s="59" t="n"/>
      <c r="T62" s="60" t="n"/>
      <c r="U62" s="59" t="n"/>
      <c r="V62" s="45">
        <f>IF(OR($A62="",$T62="",$T62="No Issue"),"",IF($T62="Resolved",IF($U62="","",$U62-$A62),TODAY()-$A62))</f>
        <v/>
      </c>
      <c r="W62" s="47">
        <f>IF(AND($C62&lt;&gt;"",$C62='Store History'!$C$4,OR('Store History'!$C$5="",$F62='Store History'!$C$5)),1,0)</f>
        <v/>
      </c>
      <c r="X62" s="47">
        <f>IF($W62=1,SUM($W62:$W$1005),"")</f>
        <v/>
      </c>
    </row>
    <row r="63">
      <c r="A63" s="59" t="n"/>
      <c r="B63" s="60" t="n"/>
      <c r="C63" s="60" t="n"/>
      <c r="D63" s="45">
        <f>IF($C63="","",IFERROR(INDEX('Chain Program'!$B$6:$B$120,MATCH($C63,'Chain Program'!$A$6:$A$120,0)),"Unknown ID"))</f>
        <v/>
      </c>
      <c r="E63" s="45">
        <f>IF($C63="","",IFERROR(INDEX('Chain Program'!$D$6:$D$120,MATCH($C63,'Chain Program'!$A$6:$A$120,0)),"Unknown ID"))</f>
        <v/>
      </c>
      <c r="F63" s="60" t="n"/>
      <c r="G63" s="60" t="n"/>
      <c r="H63" s="56">
        <f>IF(OR($C63="",$A63=""),"",IF(COUNTIFS('Promo Calendar'!$A$6:$A$400,$C63,'Promo Calendar'!$D$6:$D$400,IF($G63="","All",$G63),'Promo Calendar'!$I$6:$I$400,"&lt;="&amp;$A63,'Promo Calendar'!$J$6:$J$400,"&gt;="&amp;$A63,'Promo Calendar'!$G$6:$G$400,"&gt;0")&gt;0,_xlfn.MINIFS('Promo Calendar'!$G$6:$G$400,'Promo Calendar'!$A$6:$A$400,$C63,'Promo Calendar'!$D$6:$D$400,IF($G63="","All",$G63),'Promo Calendar'!$I$6:$I$400,"&lt;="&amp;$A63,'Promo Calendar'!$J$6:$J$400,"&gt;="&amp;$A63,'Promo Calendar'!$G$6:$G$400,"&gt;0"),IF(COUNTIFS('Promo Calendar'!$A$6:$A$400,$C63,'Promo Calendar'!$D$6:$D$400,"All",'Promo Calendar'!$I$6:$I$400,"&lt;="&amp;$A63,'Promo Calendar'!$J$6:$J$400,"&gt;="&amp;$A63,'Promo Calendar'!$G$6:$G$400,"&gt;0")&gt;0,_xlfn.MINIFS('Promo Calendar'!$G$6:$G$400,'Promo Calendar'!$A$6:$A$400,$C63,'Promo Calendar'!$D$6:$D$400,"All",'Promo Calendar'!$I$6:$I$400,"&lt;="&amp;$A63,'Promo Calendar'!$J$6:$J$400,"&gt;="&amp;$A63,'Promo Calendar'!$G$6:$G$400,"&gt;0"),IFERROR(IF(INDEX('Chain Program'!$M$6:$M$120,MATCH($C63,'Chain Program'!$A$6:$A$120,0))="","Not set",INDEX('Chain Program'!$M$6:$M$120,MATCH($C63,'Chain Program'!$A$6:$A$120,0))),"Not set"))))</f>
        <v/>
      </c>
      <c r="I63" s="61" t="n"/>
      <c r="J63" s="45">
        <f>IF($I63="","",IF(NOT(ISNUMBER($H63)),"No plan price",IF(ABS($I63-$H63)&lt;0.005,"Match",IF($I63&gt;$H63,"Over plan","Under plan"))))</f>
        <v/>
      </c>
      <c r="K63" s="60" t="n"/>
      <c r="L63" s="60" t="n"/>
      <c r="M63" s="60" t="n"/>
      <c r="N63" s="60" t="n"/>
      <c r="O63" s="60" t="n"/>
      <c r="P63" s="62" t="n"/>
      <c r="Q63" s="62" t="n"/>
      <c r="R63" s="60" t="n"/>
      <c r="S63" s="59" t="n"/>
      <c r="T63" s="60" t="n"/>
      <c r="U63" s="59" t="n"/>
      <c r="V63" s="45">
        <f>IF(OR($A63="",$T63="",$T63="No Issue"),"",IF($T63="Resolved",IF($U63="","",$U63-$A63),TODAY()-$A63))</f>
        <v/>
      </c>
      <c r="W63" s="47">
        <f>IF(AND($C63&lt;&gt;"",$C63='Store History'!$C$4,OR('Store History'!$C$5="",$F63='Store History'!$C$5)),1,0)</f>
        <v/>
      </c>
      <c r="X63" s="47">
        <f>IF($W63=1,SUM($W63:$W$1005),"")</f>
        <v/>
      </c>
    </row>
    <row r="64">
      <c r="A64" s="59" t="n"/>
      <c r="B64" s="60" t="n"/>
      <c r="C64" s="60" t="n"/>
      <c r="D64" s="45">
        <f>IF($C64="","",IFERROR(INDEX('Chain Program'!$B$6:$B$120,MATCH($C64,'Chain Program'!$A$6:$A$120,0)),"Unknown ID"))</f>
        <v/>
      </c>
      <c r="E64" s="45">
        <f>IF($C64="","",IFERROR(INDEX('Chain Program'!$D$6:$D$120,MATCH($C64,'Chain Program'!$A$6:$A$120,0)),"Unknown ID"))</f>
        <v/>
      </c>
      <c r="F64" s="60" t="n"/>
      <c r="G64" s="60" t="n"/>
      <c r="H64" s="56">
        <f>IF(OR($C64="",$A64=""),"",IF(COUNTIFS('Promo Calendar'!$A$6:$A$400,$C64,'Promo Calendar'!$D$6:$D$400,IF($G64="","All",$G64),'Promo Calendar'!$I$6:$I$400,"&lt;="&amp;$A64,'Promo Calendar'!$J$6:$J$400,"&gt;="&amp;$A64,'Promo Calendar'!$G$6:$G$400,"&gt;0")&gt;0,_xlfn.MINIFS('Promo Calendar'!$G$6:$G$400,'Promo Calendar'!$A$6:$A$400,$C64,'Promo Calendar'!$D$6:$D$400,IF($G64="","All",$G64),'Promo Calendar'!$I$6:$I$400,"&lt;="&amp;$A64,'Promo Calendar'!$J$6:$J$400,"&gt;="&amp;$A64,'Promo Calendar'!$G$6:$G$400,"&gt;0"),IF(COUNTIFS('Promo Calendar'!$A$6:$A$400,$C64,'Promo Calendar'!$D$6:$D$400,"All",'Promo Calendar'!$I$6:$I$400,"&lt;="&amp;$A64,'Promo Calendar'!$J$6:$J$400,"&gt;="&amp;$A64,'Promo Calendar'!$G$6:$G$400,"&gt;0")&gt;0,_xlfn.MINIFS('Promo Calendar'!$G$6:$G$400,'Promo Calendar'!$A$6:$A$400,$C64,'Promo Calendar'!$D$6:$D$400,"All",'Promo Calendar'!$I$6:$I$400,"&lt;="&amp;$A64,'Promo Calendar'!$J$6:$J$400,"&gt;="&amp;$A64,'Promo Calendar'!$G$6:$G$400,"&gt;0"),IFERROR(IF(INDEX('Chain Program'!$M$6:$M$120,MATCH($C64,'Chain Program'!$A$6:$A$120,0))="","Not set",INDEX('Chain Program'!$M$6:$M$120,MATCH($C64,'Chain Program'!$A$6:$A$120,0))),"Not set"))))</f>
        <v/>
      </c>
      <c r="I64" s="61" t="n"/>
      <c r="J64" s="45">
        <f>IF($I64="","",IF(NOT(ISNUMBER($H64)),"No plan price",IF(ABS($I64-$H64)&lt;0.005,"Match",IF($I64&gt;$H64,"Over plan","Under plan"))))</f>
        <v/>
      </c>
      <c r="K64" s="60" t="n"/>
      <c r="L64" s="60" t="n"/>
      <c r="M64" s="60" t="n"/>
      <c r="N64" s="60" t="n"/>
      <c r="O64" s="60" t="n"/>
      <c r="P64" s="62" t="n"/>
      <c r="Q64" s="62" t="n"/>
      <c r="R64" s="60" t="n"/>
      <c r="S64" s="59" t="n"/>
      <c r="T64" s="60" t="n"/>
      <c r="U64" s="59" t="n"/>
      <c r="V64" s="45">
        <f>IF(OR($A64="",$T64="",$T64="No Issue"),"",IF($T64="Resolved",IF($U64="","",$U64-$A64),TODAY()-$A64))</f>
        <v/>
      </c>
      <c r="W64" s="47">
        <f>IF(AND($C64&lt;&gt;"",$C64='Store History'!$C$4,OR('Store History'!$C$5="",$F64='Store History'!$C$5)),1,0)</f>
        <v/>
      </c>
      <c r="X64" s="47">
        <f>IF($W64=1,SUM($W64:$W$1005),"")</f>
        <v/>
      </c>
    </row>
    <row r="65">
      <c r="A65" s="59" t="n"/>
      <c r="B65" s="60" t="n"/>
      <c r="C65" s="60" t="n"/>
      <c r="D65" s="45">
        <f>IF($C65="","",IFERROR(INDEX('Chain Program'!$B$6:$B$120,MATCH($C65,'Chain Program'!$A$6:$A$120,0)),"Unknown ID"))</f>
        <v/>
      </c>
      <c r="E65" s="45">
        <f>IF($C65="","",IFERROR(INDEX('Chain Program'!$D$6:$D$120,MATCH($C65,'Chain Program'!$A$6:$A$120,0)),"Unknown ID"))</f>
        <v/>
      </c>
      <c r="F65" s="60" t="n"/>
      <c r="G65" s="60" t="n"/>
      <c r="H65" s="56">
        <f>IF(OR($C65="",$A65=""),"",IF(COUNTIFS('Promo Calendar'!$A$6:$A$400,$C65,'Promo Calendar'!$D$6:$D$400,IF($G65="","All",$G65),'Promo Calendar'!$I$6:$I$400,"&lt;="&amp;$A65,'Promo Calendar'!$J$6:$J$400,"&gt;="&amp;$A65,'Promo Calendar'!$G$6:$G$400,"&gt;0")&gt;0,_xlfn.MINIFS('Promo Calendar'!$G$6:$G$400,'Promo Calendar'!$A$6:$A$400,$C65,'Promo Calendar'!$D$6:$D$400,IF($G65="","All",$G65),'Promo Calendar'!$I$6:$I$400,"&lt;="&amp;$A65,'Promo Calendar'!$J$6:$J$400,"&gt;="&amp;$A65,'Promo Calendar'!$G$6:$G$400,"&gt;0"),IF(COUNTIFS('Promo Calendar'!$A$6:$A$400,$C65,'Promo Calendar'!$D$6:$D$400,"All",'Promo Calendar'!$I$6:$I$400,"&lt;="&amp;$A65,'Promo Calendar'!$J$6:$J$400,"&gt;="&amp;$A65,'Promo Calendar'!$G$6:$G$400,"&gt;0")&gt;0,_xlfn.MINIFS('Promo Calendar'!$G$6:$G$400,'Promo Calendar'!$A$6:$A$400,$C65,'Promo Calendar'!$D$6:$D$400,"All",'Promo Calendar'!$I$6:$I$400,"&lt;="&amp;$A65,'Promo Calendar'!$J$6:$J$400,"&gt;="&amp;$A65,'Promo Calendar'!$G$6:$G$400,"&gt;0"),IFERROR(IF(INDEX('Chain Program'!$M$6:$M$120,MATCH($C65,'Chain Program'!$A$6:$A$120,0))="","Not set",INDEX('Chain Program'!$M$6:$M$120,MATCH($C65,'Chain Program'!$A$6:$A$120,0))),"Not set"))))</f>
        <v/>
      </c>
      <c r="I65" s="61" t="n"/>
      <c r="J65" s="45">
        <f>IF($I65="","",IF(NOT(ISNUMBER($H65)),"No plan price",IF(ABS($I65-$H65)&lt;0.005,"Match",IF($I65&gt;$H65,"Over plan","Under plan"))))</f>
        <v/>
      </c>
      <c r="K65" s="60" t="n"/>
      <c r="L65" s="60" t="n"/>
      <c r="M65" s="60" t="n"/>
      <c r="N65" s="60" t="n"/>
      <c r="O65" s="60" t="n"/>
      <c r="P65" s="62" t="n"/>
      <c r="Q65" s="62" t="n"/>
      <c r="R65" s="60" t="n"/>
      <c r="S65" s="59" t="n"/>
      <c r="T65" s="60" t="n"/>
      <c r="U65" s="59" t="n"/>
      <c r="V65" s="45">
        <f>IF(OR($A65="",$T65="",$T65="No Issue"),"",IF($T65="Resolved",IF($U65="","",$U65-$A65),TODAY()-$A65))</f>
        <v/>
      </c>
      <c r="W65" s="47">
        <f>IF(AND($C65&lt;&gt;"",$C65='Store History'!$C$4,OR('Store History'!$C$5="",$F65='Store History'!$C$5)),1,0)</f>
        <v/>
      </c>
      <c r="X65" s="47">
        <f>IF($W65=1,SUM($W65:$W$1005),"")</f>
        <v/>
      </c>
    </row>
    <row r="66">
      <c r="A66" s="59" t="n"/>
      <c r="B66" s="60" t="n"/>
      <c r="C66" s="60" t="n"/>
      <c r="D66" s="45">
        <f>IF($C66="","",IFERROR(INDEX('Chain Program'!$B$6:$B$120,MATCH($C66,'Chain Program'!$A$6:$A$120,0)),"Unknown ID"))</f>
        <v/>
      </c>
      <c r="E66" s="45">
        <f>IF($C66="","",IFERROR(INDEX('Chain Program'!$D$6:$D$120,MATCH($C66,'Chain Program'!$A$6:$A$120,0)),"Unknown ID"))</f>
        <v/>
      </c>
      <c r="F66" s="60" t="n"/>
      <c r="G66" s="60" t="n"/>
      <c r="H66" s="56">
        <f>IF(OR($C66="",$A66=""),"",IF(COUNTIFS('Promo Calendar'!$A$6:$A$400,$C66,'Promo Calendar'!$D$6:$D$400,IF($G66="","All",$G66),'Promo Calendar'!$I$6:$I$400,"&lt;="&amp;$A66,'Promo Calendar'!$J$6:$J$400,"&gt;="&amp;$A66,'Promo Calendar'!$G$6:$G$400,"&gt;0")&gt;0,_xlfn.MINIFS('Promo Calendar'!$G$6:$G$400,'Promo Calendar'!$A$6:$A$400,$C66,'Promo Calendar'!$D$6:$D$400,IF($G66="","All",$G66),'Promo Calendar'!$I$6:$I$400,"&lt;="&amp;$A66,'Promo Calendar'!$J$6:$J$400,"&gt;="&amp;$A66,'Promo Calendar'!$G$6:$G$400,"&gt;0"),IF(COUNTIFS('Promo Calendar'!$A$6:$A$400,$C66,'Promo Calendar'!$D$6:$D$400,"All",'Promo Calendar'!$I$6:$I$400,"&lt;="&amp;$A66,'Promo Calendar'!$J$6:$J$400,"&gt;="&amp;$A66,'Promo Calendar'!$G$6:$G$400,"&gt;0")&gt;0,_xlfn.MINIFS('Promo Calendar'!$G$6:$G$400,'Promo Calendar'!$A$6:$A$400,$C66,'Promo Calendar'!$D$6:$D$400,"All",'Promo Calendar'!$I$6:$I$400,"&lt;="&amp;$A66,'Promo Calendar'!$J$6:$J$400,"&gt;="&amp;$A66,'Promo Calendar'!$G$6:$G$400,"&gt;0"),IFERROR(IF(INDEX('Chain Program'!$M$6:$M$120,MATCH($C66,'Chain Program'!$A$6:$A$120,0))="","Not set",INDEX('Chain Program'!$M$6:$M$120,MATCH($C66,'Chain Program'!$A$6:$A$120,0))),"Not set"))))</f>
        <v/>
      </c>
      <c r="I66" s="61" t="n"/>
      <c r="J66" s="45">
        <f>IF($I66="","",IF(NOT(ISNUMBER($H66)),"No plan price",IF(ABS($I66-$H66)&lt;0.005,"Match",IF($I66&gt;$H66,"Over plan","Under plan"))))</f>
        <v/>
      </c>
      <c r="K66" s="60" t="n"/>
      <c r="L66" s="60" t="n"/>
      <c r="M66" s="60" t="n"/>
      <c r="N66" s="60" t="n"/>
      <c r="O66" s="60" t="n"/>
      <c r="P66" s="62" t="n"/>
      <c r="Q66" s="62" t="n"/>
      <c r="R66" s="60" t="n"/>
      <c r="S66" s="59" t="n"/>
      <c r="T66" s="60" t="n"/>
      <c r="U66" s="59" t="n"/>
      <c r="V66" s="45">
        <f>IF(OR($A66="",$T66="",$T66="No Issue"),"",IF($T66="Resolved",IF($U66="","",$U66-$A66),TODAY()-$A66))</f>
        <v/>
      </c>
      <c r="W66" s="47">
        <f>IF(AND($C66&lt;&gt;"",$C66='Store History'!$C$4,OR('Store History'!$C$5="",$F66='Store History'!$C$5)),1,0)</f>
        <v/>
      </c>
      <c r="X66" s="47">
        <f>IF($W66=1,SUM($W66:$W$1005),"")</f>
        <v/>
      </c>
    </row>
    <row r="67">
      <c r="A67" s="59" t="n"/>
      <c r="B67" s="60" t="n"/>
      <c r="C67" s="60" t="n"/>
      <c r="D67" s="45">
        <f>IF($C67="","",IFERROR(INDEX('Chain Program'!$B$6:$B$120,MATCH($C67,'Chain Program'!$A$6:$A$120,0)),"Unknown ID"))</f>
        <v/>
      </c>
      <c r="E67" s="45">
        <f>IF($C67="","",IFERROR(INDEX('Chain Program'!$D$6:$D$120,MATCH($C67,'Chain Program'!$A$6:$A$120,0)),"Unknown ID"))</f>
        <v/>
      </c>
      <c r="F67" s="60" t="n"/>
      <c r="G67" s="60" t="n"/>
      <c r="H67" s="56">
        <f>IF(OR($C67="",$A67=""),"",IF(COUNTIFS('Promo Calendar'!$A$6:$A$400,$C67,'Promo Calendar'!$D$6:$D$400,IF($G67="","All",$G67),'Promo Calendar'!$I$6:$I$400,"&lt;="&amp;$A67,'Promo Calendar'!$J$6:$J$400,"&gt;="&amp;$A67,'Promo Calendar'!$G$6:$G$400,"&gt;0")&gt;0,_xlfn.MINIFS('Promo Calendar'!$G$6:$G$400,'Promo Calendar'!$A$6:$A$400,$C67,'Promo Calendar'!$D$6:$D$400,IF($G67="","All",$G67),'Promo Calendar'!$I$6:$I$400,"&lt;="&amp;$A67,'Promo Calendar'!$J$6:$J$400,"&gt;="&amp;$A67,'Promo Calendar'!$G$6:$G$400,"&gt;0"),IF(COUNTIFS('Promo Calendar'!$A$6:$A$400,$C67,'Promo Calendar'!$D$6:$D$400,"All",'Promo Calendar'!$I$6:$I$400,"&lt;="&amp;$A67,'Promo Calendar'!$J$6:$J$400,"&gt;="&amp;$A67,'Promo Calendar'!$G$6:$G$400,"&gt;0")&gt;0,_xlfn.MINIFS('Promo Calendar'!$G$6:$G$400,'Promo Calendar'!$A$6:$A$400,$C67,'Promo Calendar'!$D$6:$D$400,"All",'Promo Calendar'!$I$6:$I$400,"&lt;="&amp;$A67,'Promo Calendar'!$J$6:$J$400,"&gt;="&amp;$A67,'Promo Calendar'!$G$6:$G$400,"&gt;0"),IFERROR(IF(INDEX('Chain Program'!$M$6:$M$120,MATCH($C67,'Chain Program'!$A$6:$A$120,0))="","Not set",INDEX('Chain Program'!$M$6:$M$120,MATCH($C67,'Chain Program'!$A$6:$A$120,0))),"Not set"))))</f>
        <v/>
      </c>
      <c r="I67" s="61" t="n"/>
      <c r="J67" s="45">
        <f>IF($I67="","",IF(NOT(ISNUMBER($H67)),"No plan price",IF(ABS($I67-$H67)&lt;0.005,"Match",IF($I67&gt;$H67,"Over plan","Under plan"))))</f>
        <v/>
      </c>
      <c r="K67" s="60" t="n"/>
      <c r="L67" s="60" t="n"/>
      <c r="M67" s="60" t="n"/>
      <c r="N67" s="60" t="n"/>
      <c r="O67" s="60" t="n"/>
      <c r="P67" s="62" t="n"/>
      <c r="Q67" s="62" t="n"/>
      <c r="R67" s="60" t="n"/>
      <c r="S67" s="59" t="n"/>
      <c r="T67" s="60" t="n"/>
      <c r="U67" s="59" t="n"/>
      <c r="V67" s="45">
        <f>IF(OR($A67="",$T67="",$T67="No Issue"),"",IF($T67="Resolved",IF($U67="","",$U67-$A67),TODAY()-$A67))</f>
        <v/>
      </c>
      <c r="W67" s="47">
        <f>IF(AND($C67&lt;&gt;"",$C67='Store History'!$C$4,OR('Store History'!$C$5="",$F67='Store History'!$C$5)),1,0)</f>
        <v/>
      </c>
      <c r="X67" s="47">
        <f>IF($W67=1,SUM($W67:$W$1005),"")</f>
        <v/>
      </c>
    </row>
    <row r="68">
      <c r="A68" s="59" t="n"/>
      <c r="B68" s="60" t="n"/>
      <c r="C68" s="60" t="n"/>
      <c r="D68" s="45">
        <f>IF($C68="","",IFERROR(INDEX('Chain Program'!$B$6:$B$120,MATCH($C68,'Chain Program'!$A$6:$A$120,0)),"Unknown ID"))</f>
        <v/>
      </c>
      <c r="E68" s="45">
        <f>IF($C68="","",IFERROR(INDEX('Chain Program'!$D$6:$D$120,MATCH($C68,'Chain Program'!$A$6:$A$120,0)),"Unknown ID"))</f>
        <v/>
      </c>
      <c r="F68" s="60" t="n"/>
      <c r="G68" s="60" t="n"/>
      <c r="H68" s="56">
        <f>IF(OR($C68="",$A68=""),"",IF(COUNTIFS('Promo Calendar'!$A$6:$A$400,$C68,'Promo Calendar'!$D$6:$D$400,IF($G68="","All",$G68),'Promo Calendar'!$I$6:$I$400,"&lt;="&amp;$A68,'Promo Calendar'!$J$6:$J$400,"&gt;="&amp;$A68,'Promo Calendar'!$G$6:$G$400,"&gt;0")&gt;0,_xlfn.MINIFS('Promo Calendar'!$G$6:$G$400,'Promo Calendar'!$A$6:$A$400,$C68,'Promo Calendar'!$D$6:$D$400,IF($G68="","All",$G68),'Promo Calendar'!$I$6:$I$400,"&lt;="&amp;$A68,'Promo Calendar'!$J$6:$J$400,"&gt;="&amp;$A68,'Promo Calendar'!$G$6:$G$400,"&gt;0"),IF(COUNTIFS('Promo Calendar'!$A$6:$A$400,$C68,'Promo Calendar'!$D$6:$D$400,"All",'Promo Calendar'!$I$6:$I$400,"&lt;="&amp;$A68,'Promo Calendar'!$J$6:$J$400,"&gt;="&amp;$A68,'Promo Calendar'!$G$6:$G$400,"&gt;0")&gt;0,_xlfn.MINIFS('Promo Calendar'!$G$6:$G$400,'Promo Calendar'!$A$6:$A$400,$C68,'Promo Calendar'!$D$6:$D$400,"All",'Promo Calendar'!$I$6:$I$400,"&lt;="&amp;$A68,'Promo Calendar'!$J$6:$J$400,"&gt;="&amp;$A68,'Promo Calendar'!$G$6:$G$400,"&gt;0"),IFERROR(IF(INDEX('Chain Program'!$M$6:$M$120,MATCH($C68,'Chain Program'!$A$6:$A$120,0))="","Not set",INDEX('Chain Program'!$M$6:$M$120,MATCH($C68,'Chain Program'!$A$6:$A$120,0))),"Not set"))))</f>
        <v/>
      </c>
      <c r="I68" s="61" t="n"/>
      <c r="J68" s="45">
        <f>IF($I68="","",IF(NOT(ISNUMBER($H68)),"No plan price",IF(ABS($I68-$H68)&lt;0.005,"Match",IF($I68&gt;$H68,"Over plan","Under plan"))))</f>
        <v/>
      </c>
      <c r="K68" s="60" t="n"/>
      <c r="L68" s="60" t="n"/>
      <c r="M68" s="60" t="n"/>
      <c r="N68" s="60" t="n"/>
      <c r="O68" s="60" t="n"/>
      <c r="P68" s="62" t="n"/>
      <c r="Q68" s="62" t="n"/>
      <c r="R68" s="60" t="n"/>
      <c r="S68" s="59" t="n"/>
      <c r="T68" s="60" t="n"/>
      <c r="U68" s="59" t="n"/>
      <c r="V68" s="45">
        <f>IF(OR($A68="",$T68="",$T68="No Issue"),"",IF($T68="Resolved",IF($U68="","",$U68-$A68),TODAY()-$A68))</f>
        <v/>
      </c>
      <c r="W68" s="47">
        <f>IF(AND($C68&lt;&gt;"",$C68='Store History'!$C$4,OR('Store History'!$C$5="",$F68='Store History'!$C$5)),1,0)</f>
        <v/>
      </c>
      <c r="X68" s="47">
        <f>IF($W68=1,SUM($W68:$W$1005),"")</f>
        <v/>
      </c>
    </row>
    <row r="69">
      <c r="A69" s="59" t="n"/>
      <c r="B69" s="60" t="n"/>
      <c r="C69" s="60" t="n"/>
      <c r="D69" s="45">
        <f>IF($C69="","",IFERROR(INDEX('Chain Program'!$B$6:$B$120,MATCH($C69,'Chain Program'!$A$6:$A$120,0)),"Unknown ID"))</f>
        <v/>
      </c>
      <c r="E69" s="45">
        <f>IF($C69="","",IFERROR(INDEX('Chain Program'!$D$6:$D$120,MATCH($C69,'Chain Program'!$A$6:$A$120,0)),"Unknown ID"))</f>
        <v/>
      </c>
      <c r="F69" s="60" t="n"/>
      <c r="G69" s="60" t="n"/>
      <c r="H69" s="56">
        <f>IF(OR($C69="",$A69=""),"",IF(COUNTIFS('Promo Calendar'!$A$6:$A$400,$C69,'Promo Calendar'!$D$6:$D$400,IF($G69="","All",$G69),'Promo Calendar'!$I$6:$I$400,"&lt;="&amp;$A69,'Promo Calendar'!$J$6:$J$400,"&gt;="&amp;$A69,'Promo Calendar'!$G$6:$G$400,"&gt;0")&gt;0,_xlfn.MINIFS('Promo Calendar'!$G$6:$G$400,'Promo Calendar'!$A$6:$A$400,$C69,'Promo Calendar'!$D$6:$D$400,IF($G69="","All",$G69),'Promo Calendar'!$I$6:$I$400,"&lt;="&amp;$A69,'Promo Calendar'!$J$6:$J$400,"&gt;="&amp;$A69,'Promo Calendar'!$G$6:$G$400,"&gt;0"),IF(COUNTIFS('Promo Calendar'!$A$6:$A$400,$C69,'Promo Calendar'!$D$6:$D$400,"All",'Promo Calendar'!$I$6:$I$400,"&lt;="&amp;$A69,'Promo Calendar'!$J$6:$J$400,"&gt;="&amp;$A69,'Promo Calendar'!$G$6:$G$400,"&gt;0")&gt;0,_xlfn.MINIFS('Promo Calendar'!$G$6:$G$400,'Promo Calendar'!$A$6:$A$400,$C69,'Promo Calendar'!$D$6:$D$400,"All",'Promo Calendar'!$I$6:$I$400,"&lt;="&amp;$A69,'Promo Calendar'!$J$6:$J$400,"&gt;="&amp;$A69,'Promo Calendar'!$G$6:$G$400,"&gt;0"),IFERROR(IF(INDEX('Chain Program'!$M$6:$M$120,MATCH($C69,'Chain Program'!$A$6:$A$120,0))="","Not set",INDEX('Chain Program'!$M$6:$M$120,MATCH($C69,'Chain Program'!$A$6:$A$120,0))),"Not set"))))</f>
        <v/>
      </c>
      <c r="I69" s="61" t="n"/>
      <c r="J69" s="45">
        <f>IF($I69="","",IF(NOT(ISNUMBER($H69)),"No plan price",IF(ABS($I69-$H69)&lt;0.005,"Match",IF($I69&gt;$H69,"Over plan","Under plan"))))</f>
        <v/>
      </c>
      <c r="K69" s="60" t="n"/>
      <c r="L69" s="60" t="n"/>
      <c r="M69" s="60" t="n"/>
      <c r="N69" s="60" t="n"/>
      <c r="O69" s="60" t="n"/>
      <c r="P69" s="62" t="n"/>
      <c r="Q69" s="62" t="n"/>
      <c r="R69" s="60" t="n"/>
      <c r="S69" s="59" t="n"/>
      <c r="T69" s="60" t="n"/>
      <c r="U69" s="59" t="n"/>
      <c r="V69" s="45">
        <f>IF(OR($A69="",$T69="",$T69="No Issue"),"",IF($T69="Resolved",IF($U69="","",$U69-$A69),TODAY()-$A69))</f>
        <v/>
      </c>
      <c r="W69" s="47">
        <f>IF(AND($C69&lt;&gt;"",$C69='Store History'!$C$4,OR('Store History'!$C$5="",$F69='Store History'!$C$5)),1,0)</f>
        <v/>
      </c>
      <c r="X69" s="47">
        <f>IF($W69=1,SUM($W69:$W$1005),"")</f>
        <v/>
      </c>
    </row>
    <row r="70">
      <c r="A70" s="59" t="n"/>
      <c r="B70" s="60" t="n"/>
      <c r="C70" s="60" t="n"/>
      <c r="D70" s="45">
        <f>IF($C70="","",IFERROR(INDEX('Chain Program'!$B$6:$B$120,MATCH($C70,'Chain Program'!$A$6:$A$120,0)),"Unknown ID"))</f>
        <v/>
      </c>
      <c r="E70" s="45">
        <f>IF($C70="","",IFERROR(INDEX('Chain Program'!$D$6:$D$120,MATCH($C70,'Chain Program'!$A$6:$A$120,0)),"Unknown ID"))</f>
        <v/>
      </c>
      <c r="F70" s="60" t="n"/>
      <c r="G70" s="60" t="n"/>
      <c r="H70" s="56">
        <f>IF(OR($C70="",$A70=""),"",IF(COUNTIFS('Promo Calendar'!$A$6:$A$400,$C70,'Promo Calendar'!$D$6:$D$400,IF($G70="","All",$G70),'Promo Calendar'!$I$6:$I$400,"&lt;="&amp;$A70,'Promo Calendar'!$J$6:$J$400,"&gt;="&amp;$A70,'Promo Calendar'!$G$6:$G$400,"&gt;0")&gt;0,_xlfn.MINIFS('Promo Calendar'!$G$6:$G$400,'Promo Calendar'!$A$6:$A$400,$C70,'Promo Calendar'!$D$6:$D$400,IF($G70="","All",$G70),'Promo Calendar'!$I$6:$I$400,"&lt;="&amp;$A70,'Promo Calendar'!$J$6:$J$400,"&gt;="&amp;$A70,'Promo Calendar'!$G$6:$G$400,"&gt;0"),IF(COUNTIFS('Promo Calendar'!$A$6:$A$400,$C70,'Promo Calendar'!$D$6:$D$400,"All",'Promo Calendar'!$I$6:$I$400,"&lt;="&amp;$A70,'Promo Calendar'!$J$6:$J$400,"&gt;="&amp;$A70,'Promo Calendar'!$G$6:$G$400,"&gt;0")&gt;0,_xlfn.MINIFS('Promo Calendar'!$G$6:$G$400,'Promo Calendar'!$A$6:$A$400,$C70,'Promo Calendar'!$D$6:$D$400,"All",'Promo Calendar'!$I$6:$I$400,"&lt;="&amp;$A70,'Promo Calendar'!$J$6:$J$400,"&gt;="&amp;$A70,'Promo Calendar'!$G$6:$G$400,"&gt;0"),IFERROR(IF(INDEX('Chain Program'!$M$6:$M$120,MATCH($C70,'Chain Program'!$A$6:$A$120,0))="","Not set",INDEX('Chain Program'!$M$6:$M$120,MATCH($C70,'Chain Program'!$A$6:$A$120,0))),"Not set"))))</f>
        <v/>
      </c>
      <c r="I70" s="61" t="n"/>
      <c r="J70" s="45">
        <f>IF($I70="","",IF(NOT(ISNUMBER($H70)),"No plan price",IF(ABS($I70-$H70)&lt;0.005,"Match",IF($I70&gt;$H70,"Over plan","Under plan"))))</f>
        <v/>
      </c>
      <c r="K70" s="60" t="n"/>
      <c r="L70" s="60" t="n"/>
      <c r="M70" s="60" t="n"/>
      <c r="N70" s="60" t="n"/>
      <c r="O70" s="60" t="n"/>
      <c r="P70" s="62" t="n"/>
      <c r="Q70" s="62" t="n"/>
      <c r="R70" s="60" t="n"/>
      <c r="S70" s="59" t="n"/>
      <c r="T70" s="60" t="n"/>
      <c r="U70" s="59" t="n"/>
      <c r="V70" s="45">
        <f>IF(OR($A70="",$T70="",$T70="No Issue"),"",IF($T70="Resolved",IF($U70="","",$U70-$A70),TODAY()-$A70))</f>
        <v/>
      </c>
      <c r="W70" s="47">
        <f>IF(AND($C70&lt;&gt;"",$C70='Store History'!$C$4,OR('Store History'!$C$5="",$F70='Store History'!$C$5)),1,0)</f>
        <v/>
      </c>
      <c r="X70" s="47">
        <f>IF($W70=1,SUM($W70:$W$1005),"")</f>
        <v/>
      </c>
    </row>
    <row r="71">
      <c r="A71" s="59" t="n"/>
      <c r="B71" s="60" t="n"/>
      <c r="C71" s="60" t="n"/>
      <c r="D71" s="45">
        <f>IF($C71="","",IFERROR(INDEX('Chain Program'!$B$6:$B$120,MATCH($C71,'Chain Program'!$A$6:$A$120,0)),"Unknown ID"))</f>
        <v/>
      </c>
      <c r="E71" s="45">
        <f>IF($C71="","",IFERROR(INDEX('Chain Program'!$D$6:$D$120,MATCH($C71,'Chain Program'!$A$6:$A$120,0)),"Unknown ID"))</f>
        <v/>
      </c>
      <c r="F71" s="60" t="n"/>
      <c r="G71" s="60" t="n"/>
      <c r="H71" s="56">
        <f>IF(OR($C71="",$A71=""),"",IF(COUNTIFS('Promo Calendar'!$A$6:$A$400,$C71,'Promo Calendar'!$D$6:$D$400,IF($G71="","All",$G71),'Promo Calendar'!$I$6:$I$400,"&lt;="&amp;$A71,'Promo Calendar'!$J$6:$J$400,"&gt;="&amp;$A71,'Promo Calendar'!$G$6:$G$400,"&gt;0")&gt;0,_xlfn.MINIFS('Promo Calendar'!$G$6:$G$400,'Promo Calendar'!$A$6:$A$400,$C71,'Promo Calendar'!$D$6:$D$400,IF($G71="","All",$G71),'Promo Calendar'!$I$6:$I$400,"&lt;="&amp;$A71,'Promo Calendar'!$J$6:$J$400,"&gt;="&amp;$A71,'Promo Calendar'!$G$6:$G$400,"&gt;0"),IF(COUNTIFS('Promo Calendar'!$A$6:$A$400,$C71,'Promo Calendar'!$D$6:$D$400,"All",'Promo Calendar'!$I$6:$I$400,"&lt;="&amp;$A71,'Promo Calendar'!$J$6:$J$400,"&gt;="&amp;$A71,'Promo Calendar'!$G$6:$G$400,"&gt;0")&gt;0,_xlfn.MINIFS('Promo Calendar'!$G$6:$G$400,'Promo Calendar'!$A$6:$A$400,$C71,'Promo Calendar'!$D$6:$D$400,"All",'Promo Calendar'!$I$6:$I$400,"&lt;="&amp;$A71,'Promo Calendar'!$J$6:$J$400,"&gt;="&amp;$A71,'Promo Calendar'!$G$6:$G$400,"&gt;0"),IFERROR(IF(INDEX('Chain Program'!$M$6:$M$120,MATCH($C71,'Chain Program'!$A$6:$A$120,0))="","Not set",INDEX('Chain Program'!$M$6:$M$120,MATCH($C71,'Chain Program'!$A$6:$A$120,0))),"Not set"))))</f>
        <v/>
      </c>
      <c r="I71" s="61" t="n"/>
      <c r="J71" s="45">
        <f>IF($I71="","",IF(NOT(ISNUMBER($H71)),"No plan price",IF(ABS($I71-$H71)&lt;0.005,"Match",IF($I71&gt;$H71,"Over plan","Under plan"))))</f>
        <v/>
      </c>
      <c r="K71" s="60" t="n"/>
      <c r="L71" s="60" t="n"/>
      <c r="M71" s="60" t="n"/>
      <c r="N71" s="60" t="n"/>
      <c r="O71" s="60" t="n"/>
      <c r="P71" s="62" t="n"/>
      <c r="Q71" s="62" t="n"/>
      <c r="R71" s="60" t="n"/>
      <c r="S71" s="59" t="n"/>
      <c r="T71" s="60" t="n"/>
      <c r="U71" s="59" t="n"/>
      <c r="V71" s="45">
        <f>IF(OR($A71="",$T71="",$T71="No Issue"),"",IF($T71="Resolved",IF($U71="","",$U71-$A71),TODAY()-$A71))</f>
        <v/>
      </c>
      <c r="W71" s="47">
        <f>IF(AND($C71&lt;&gt;"",$C71='Store History'!$C$4,OR('Store History'!$C$5="",$F71='Store History'!$C$5)),1,0)</f>
        <v/>
      </c>
      <c r="X71" s="47">
        <f>IF($W71=1,SUM($W71:$W$1005),"")</f>
        <v/>
      </c>
    </row>
    <row r="72">
      <c r="A72" s="59" t="n"/>
      <c r="B72" s="60" t="n"/>
      <c r="C72" s="60" t="n"/>
      <c r="D72" s="45">
        <f>IF($C72="","",IFERROR(INDEX('Chain Program'!$B$6:$B$120,MATCH($C72,'Chain Program'!$A$6:$A$120,0)),"Unknown ID"))</f>
        <v/>
      </c>
      <c r="E72" s="45">
        <f>IF($C72="","",IFERROR(INDEX('Chain Program'!$D$6:$D$120,MATCH($C72,'Chain Program'!$A$6:$A$120,0)),"Unknown ID"))</f>
        <v/>
      </c>
      <c r="F72" s="60" t="n"/>
      <c r="G72" s="60" t="n"/>
      <c r="H72" s="56">
        <f>IF(OR($C72="",$A72=""),"",IF(COUNTIFS('Promo Calendar'!$A$6:$A$400,$C72,'Promo Calendar'!$D$6:$D$400,IF($G72="","All",$G72),'Promo Calendar'!$I$6:$I$400,"&lt;="&amp;$A72,'Promo Calendar'!$J$6:$J$400,"&gt;="&amp;$A72,'Promo Calendar'!$G$6:$G$400,"&gt;0")&gt;0,_xlfn.MINIFS('Promo Calendar'!$G$6:$G$400,'Promo Calendar'!$A$6:$A$400,$C72,'Promo Calendar'!$D$6:$D$400,IF($G72="","All",$G72),'Promo Calendar'!$I$6:$I$400,"&lt;="&amp;$A72,'Promo Calendar'!$J$6:$J$400,"&gt;="&amp;$A72,'Promo Calendar'!$G$6:$G$400,"&gt;0"),IF(COUNTIFS('Promo Calendar'!$A$6:$A$400,$C72,'Promo Calendar'!$D$6:$D$400,"All",'Promo Calendar'!$I$6:$I$400,"&lt;="&amp;$A72,'Promo Calendar'!$J$6:$J$400,"&gt;="&amp;$A72,'Promo Calendar'!$G$6:$G$400,"&gt;0")&gt;0,_xlfn.MINIFS('Promo Calendar'!$G$6:$G$400,'Promo Calendar'!$A$6:$A$400,$C72,'Promo Calendar'!$D$6:$D$400,"All",'Promo Calendar'!$I$6:$I$400,"&lt;="&amp;$A72,'Promo Calendar'!$J$6:$J$400,"&gt;="&amp;$A72,'Promo Calendar'!$G$6:$G$400,"&gt;0"),IFERROR(IF(INDEX('Chain Program'!$M$6:$M$120,MATCH($C72,'Chain Program'!$A$6:$A$120,0))="","Not set",INDEX('Chain Program'!$M$6:$M$120,MATCH($C72,'Chain Program'!$A$6:$A$120,0))),"Not set"))))</f>
        <v/>
      </c>
      <c r="I72" s="61" t="n"/>
      <c r="J72" s="45">
        <f>IF($I72="","",IF(NOT(ISNUMBER($H72)),"No plan price",IF(ABS($I72-$H72)&lt;0.005,"Match",IF($I72&gt;$H72,"Over plan","Under plan"))))</f>
        <v/>
      </c>
      <c r="K72" s="60" t="n"/>
      <c r="L72" s="60" t="n"/>
      <c r="M72" s="60" t="n"/>
      <c r="N72" s="60" t="n"/>
      <c r="O72" s="60" t="n"/>
      <c r="P72" s="62" t="n"/>
      <c r="Q72" s="62" t="n"/>
      <c r="R72" s="60" t="n"/>
      <c r="S72" s="59" t="n"/>
      <c r="T72" s="60" t="n"/>
      <c r="U72" s="59" t="n"/>
      <c r="V72" s="45">
        <f>IF(OR($A72="",$T72="",$T72="No Issue"),"",IF($T72="Resolved",IF($U72="","",$U72-$A72),TODAY()-$A72))</f>
        <v/>
      </c>
      <c r="W72" s="47">
        <f>IF(AND($C72&lt;&gt;"",$C72='Store History'!$C$4,OR('Store History'!$C$5="",$F72='Store History'!$C$5)),1,0)</f>
        <v/>
      </c>
      <c r="X72" s="47">
        <f>IF($W72=1,SUM($W72:$W$1005),"")</f>
        <v/>
      </c>
    </row>
    <row r="73">
      <c r="A73" s="59" t="n"/>
      <c r="B73" s="60" t="n"/>
      <c r="C73" s="60" t="n"/>
      <c r="D73" s="45">
        <f>IF($C73="","",IFERROR(INDEX('Chain Program'!$B$6:$B$120,MATCH($C73,'Chain Program'!$A$6:$A$120,0)),"Unknown ID"))</f>
        <v/>
      </c>
      <c r="E73" s="45">
        <f>IF($C73="","",IFERROR(INDEX('Chain Program'!$D$6:$D$120,MATCH($C73,'Chain Program'!$A$6:$A$120,0)),"Unknown ID"))</f>
        <v/>
      </c>
      <c r="F73" s="60" t="n"/>
      <c r="G73" s="60" t="n"/>
      <c r="H73" s="56">
        <f>IF(OR($C73="",$A73=""),"",IF(COUNTIFS('Promo Calendar'!$A$6:$A$400,$C73,'Promo Calendar'!$D$6:$D$400,IF($G73="","All",$G73),'Promo Calendar'!$I$6:$I$400,"&lt;="&amp;$A73,'Promo Calendar'!$J$6:$J$400,"&gt;="&amp;$A73,'Promo Calendar'!$G$6:$G$400,"&gt;0")&gt;0,_xlfn.MINIFS('Promo Calendar'!$G$6:$G$400,'Promo Calendar'!$A$6:$A$400,$C73,'Promo Calendar'!$D$6:$D$400,IF($G73="","All",$G73),'Promo Calendar'!$I$6:$I$400,"&lt;="&amp;$A73,'Promo Calendar'!$J$6:$J$400,"&gt;="&amp;$A73,'Promo Calendar'!$G$6:$G$400,"&gt;0"),IF(COUNTIFS('Promo Calendar'!$A$6:$A$400,$C73,'Promo Calendar'!$D$6:$D$400,"All",'Promo Calendar'!$I$6:$I$400,"&lt;="&amp;$A73,'Promo Calendar'!$J$6:$J$400,"&gt;="&amp;$A73,'Promo Calendar'!$G$6:$G$400,"&gt;0")&gt;0,_xlfn.MINIFS('Promo Calendar'!$G$6:$G$400,'Promo Calendar'!$A$6:$A$400,$C73,'Promo Calendar'!$D$6:$D$400,"All",'Promo Calendar'!$I$6:$I$400,"&lt;="&amp;$A73,'Promo Calendar'!$J$6:$J$400,"&gt;="&amp;$A73,'Promo Calendar'!$G$6:$G$400,"&gt;0"),IFERROR(IF(INDEX('Chain Program'!$M$6:$M$120,MATCH($C73,'Chain Program'!$A$6:$A$120,0))="","Not set",INDEX('Chain Program'!$M$6:$M$120,MATCH($C73,'Chain Program'!$A$6:$A$120,0))),"Not set"))))</f>
        <v/>
      </c>
      <c r="I73" s="61" t="n"/>
      <c r="J73" s="45">
        <f>IF($I73="","",IF(NOT(ISNUMBER($H73)),"No plan price",IF(ABS($I73-$H73)&lt;0.005,"Match",IF($I73&gt;$H73,"Over plan","Under plan"))))</f>
        <v/>
      </c>
      <c r="K73" s="60" t="n"/>
      <c r="L73" s="60" t="n"/>
      <c r="M73" s="60" t="n"/>
      <c r="N73" s="60" t="n"/>
      <c r="O73" s="60" t="n"/>
      <c r="P73" s="62" t="n"/>
      <c r="Q73" s="62" t="n"/>
      <c r="R73" s="60" t="n"/>
      <c r="S73" s="59" t="n"/>
      <c r="T73" s="60" t="n"/>
      <c r="U73" s="59" t="n"/>
      <c r="V73" s="45">
        <f>IF(OR($A73="",$T73="",$T73="No Issue"),"",IF($T73="Resolved",IF($U73="","",$U73-$A73),TODAY()-$A73))</f>
        <v/>
      </c>
      <c r="W73" s="47">
        <f>IF(AND($C73&lt;&gt;"",$C73='Store History'!$C$4,OR('Store History'!$C$5="",$F73='Store History'!$C$5)),1,0)</f>
        <v/>
      </c>
      <c r="X73" s="47">
        <f>IF($W73=1,SUM($W73:$W$1005),"")</f>
        <v/>
      </c>
    </row>
    <row r="74">
      <c r="A74" s="59" t="n"/>
      <c r="B74" s="60" t="n"/>
      <c r="C74" s="60" t="n"/>
      <c r="D74" s="45">
        <f>IF($C74="","",IFERROR(INDEX('Chain Program'!$B$6:$B$120,MATCH($C74,'Chain Program'!$A$6:$A$120,0)),"Unknown ID"))</f>
        <v/>
      </c>
      <c r="E74" s="45">
        <f>IF($C74="","",IFERROR(INDEX('Chain Program'!$D$6:$D$120,MATCH($C74,'Chain Program'!$A$6:$A$120,0)),"Unknown ID"))</f>
        <v/>
      </c>
      <c r="F74" s="60" t="n"/>
      <c r="G74" s="60" t="n"/>
      <c r="H74" s="56">
        <f>IF(OR($C74="",$A74=""),"",IF(COUNTIFS('Promo Calendar'!$A$6:$A$400,$C74,'Promo Calendar'!$D$6:$D$400,IF($G74="","All",$G74),'Promo Calendar'!$I$6:$I$400,"&lt;="&amp;$A74,'Promo Calendar'!$J$6:$J$400,"&gt;="&amp;$A74,'Promo Calendar'!$G$6:$G$400,"&gt;0")&gt;0,_xlfn.MINIFS('Promo Calendar'!$G$6:$G$400,'Promo Calendar'!$A$6:$A$400,$C74,'Promo Calendar'!$D$6:$D$400,IF($G74="","All",$G74),'Promo Calendar'!$I$6:$I$400,"&lt;="&amp;$A74,'Promo Calendar'!$J$6:$J$400,"&gt;="&amp;$A74,'Promo Calendar'!$G$6:$G$400,"&gt;0"),IF(COUNTIFS('Promo Calendar'!$A$6:$A$400,$C74,'Promo Calendar'!$D$6:$D$400,"All",'Promo Calendar'!$I$6:$I$400,"&lt;="&amp;$A74,'Promo Calendar'!$J$6:$J$400,"&gt;="&amp;$A74,'Promo Calendar'!$G$6:$G$400,"&gt;0")&gt;0,_xlfn.MINIFS('Promo Calendar'!$G$6:$G$400,'Promo Calendar'!$A$6:$A$400,$C74,'Promo Calendar'!$D$6:$D$400,"All",'Promo Calendar'!$I$6:$I$400,"&lt;="&amp;$A74,'Promo Calendar'!$J$6:$J$400,"&gt;="&amp;$A74,'Promo Calendar'!$G$6:$G$400,"&gt;0"),IFERROR(IF(INDEX('Chain Program'!$M$6:$M$120,MATCH($C74,'Chain Program'!$A$6:$A$120,0))="","Not set",INDEX('Chain Program'!$M$6:$M$120,MATCH($C74,'Chain Program'!$A$6:$A$120,0))),"Not set"))))</f>
        <v/>
      </c>
      <c r="I74" s="61" t="n"/>
      <c r="J74" s="45">
        <f>IF($I74="","",IF(NOT(ISNUMBER($H74)),"No plan price",IF(ABS($I74-$H74)&lt;0.005,"Match",IF($I74&gt;$H74,"Over plan","Under plan"))))</f>
        <v/>
      </c>
      <c r="K74" s="60" t="n"/>
      <c r="L74" s="60" t="n"/>
      <c r="M74" s="60" t="n"/>
      <c r="N74" s="60" t="n"/>
      <c r="O74" s="60" t="n"/>
      <c r="P74" s="62" t="n"/>
      <c r="Q74" s="62" t="n"/>
      <c r="R74" s="60" t="n"/>
      <c r="S74" s="59" t="n"/>
      <c r="T74" s="60" t="n"/>
      <c r="U74" s="59" t="n"/>
      <c r="V74" s="45">
        <f>IF(OR($A74="",$T74="",$T74="No Issue"),"",IF($T74="Resolved",IF($U74="","",$U74-$A74),TODAY()-$A74))</f>
        <v/>
      </c>
      <c r="W74" s="47">
        <f>IF(AND($C74&lt;&gt;"",$C74='Store History'!$C$4,OR('Store History'!$C$5="",$F74='Store History'!$C$5)),1,0)</f>
        <v/>
      </c>
      <c r="X74" s="47">
        <f>IF($W74=1,SUM($W74:$W$1005),"")</f>
        <v/>
      </c>
    </row>
    <row r="75">
      <c r="A75" s="59" t="n"/>
      <c r="B75" s="60" t="n"/>
      <c r="C75" s="60" t="n"/>
      <c r="D75" s="45">
        <f>IF($C75="","",IFERROR(INDEX('Chain Program'!$B$6:$B$120,MATCH($C75,'Chain Program'!$A$6:$A$120,0)),"Unknown ID"))</f>
        <v/>
      </c>
      <c r="E75" s="45">
        <f>IF($C75="","",IFERROR(INDEX('Chain Program'!$D$6:$D$120,MATCH($C75,'Chain Program'!$A$6:$A$120,0)),"Unknown ID"))</f>
        <v/>
      </c>
      <c r="F75" s="60" t="n"/>
      <c r="G75" s="60" t="n"/>
      <c r="H75" s="56">
        <f>IF(OR($C75="",$A75=""),"",IF(COUNTIFS('Promo Calendar'!$A$6:$A$400,$C75,'Promo Calendar'!$D$6:$D$400,IF($G75="","All",$G75),'Promo Calendar'!$I$6:$I$400,"&lt;="&amp;$A75,'Promo Calendar'!$J$6:$J$400,"&gt;="&amp;$A75,'Promo Calendar'!$G$6:$G$400,"&gt;0")&gt;0,_xlfn.MINIFS('Promo Calendar'!$G$6:$G$400,'Promo Calendar'!$A$6:$A$400,$C75,'Promo Calendar'!$D$6:$D$400,IF($G75="","All",$G75),'Promo Calendar'!$I$6:$I$400,"&lt;="&amp;$A75,'Promo Calendar'!$J$6:$J$400,"&gt;="&amp;$A75,'Promo Calendar'!$G$6:$G$400,"&gt;0"),IF(COUNTIFS('Promo Calendar'!$A$6:$A$400,$C75,'Promo Calendar'!$D$6:$D$400,"All",'Promo Calendar'!$I$6:$I$400,"&lt;="&amp;$A75,'Promo Calendar'!$J$6:$J$400,"&gt;="&amp;$A75,'Promo Calendar'!$G$6:$G$400,"&gt;0")&gt;0,_xlfn.MINIFS('Promo Calendar'!$G$6:$G$400,'Promo Calendar'!$A$6:$A$400,$C75,'Promo Calendar'!$D$6:$D$400,"All",'Promo Calendar'!$I$6:$I$400,"&lt;="&amp;$A75,'Promo Calendar'!$J$6:$J$400,"&gt;="&amp;$A75,'Promo Calendar'!$G$6:$G$400,"&gt;0"),IFERROR(IF(INDEX('Chain Program'!$M$6:$M$120,MATCH($C75,'Chain Program'!$A$6:$A$120,0))="","Not set",INDEX('Chain Program'!$M$6:$M$120,MATCH($C75,'Chain Program'!$A$6:$A$120,0))),"Not set"))))</f>
        <v/>
      </c>
      <c r="I75" s="61" t="n"/>
      <c r="J75" s="45">
        <f>IF($I75="","",IF(NOT(ISNUMBER($H75)),"No plan price",IF(ABS($I75-$H75)&lt;0.005,"Match",IF($I75&gt;$H75,"Over plan","Under plan"))))</f>
        <v/>
      </c>
      <c r="K75" s="60" t="n"/>
      <c r="L75" s="60" t="n"/>
      <c r="M75" s="60" t="n"/>
      <c r="N75" s="60" t="n"/>
      <c r="O75" s="60" t="n"/>
      <c r="P75" s="62" t="n"/>
      <c r="Q75" s="62" t="n"/>
      <c r="R75" s="60" t="n"/>
      <c r="S75" s="59" t="n"/>
      <c r="T75" s="60" t="n"/>
      <c r="U75" s="59" t="n"/>
      <c r="V75" s="45">
        <f>IF(OR($A75="",$T75="",$T75="No Issue"),"",IF($T75="Resolved",IF($U75="","",$U75-$A75),TODAY()-$A75))</f>
        <v/>
      </c>
      <c r="W75" s="47">
        <f>IF(AND($C75&lt;&gt;"",$C75='Store History'!$C$4,OR('Store History'!$C$5="",$F75='Store History'!$C$5)),1,0)</f>
        <v/>
      </c>
      <c r="X75" s="47">
        <f>IF($W75=1,SUM($W75:$W$1005),"")</f>
        <v/>
      </c>
    </row>
    <row r="76">
      <c r="A76" s="59" t="n"/>
      <c r="B76" s="60" t="n"/>
      <c r="C76" s="60" t="n"/>
      <c r="D76" s="45">
        <f>IF($C76="","",IFERROR(INDEX('Chain Program'!$B$6:$B$120,MATCH($C76,'Chain Program'!$A$6:$A$120,0)),"Unknown ID"))</f>
        <v/>
      </c>
      <c r="E76" s="45">
        <f>IF($C76="","",IFERROR(INDEX('Chain Program'!$D$6:$D$120,MATCH($C76,'Chain Program'!$A$6:$A$120,0)),"Unknown ID"))</f>
        <v/>
      </c>
      <c r="F76" s="60" t="n"/>
      <c r="G76" s="60" t="n"/>
      <c r="H76" s="56">
        <f>IF(OR($C76="",$A76=""),"",IF(COUNTIFS('Promo Calendar'!$A$6:$A$400,$C76,'Promo Calendar'!$D$6:$D$400,IF($G76="","All",$G76),'Promo Calendar'!$I$6:$I$400,"&lt;="&amp;$A76,'Promo Calendar'!$J$6:$J$400,"&gt;="&amp;$A76,'Promo Calendar'!$G$6:$G$400,"&gt;0")&gt;0,_xlfn.MINIFS('Promo Calendar'!$G$6:$G$400,'Promo Calendar'!$A$6:$A$400,$C76,'Promo Calendar'!$D$6:$D$400,IF($G76="","All",$G76),'Promo Calendar'!$I$6:$I$400,"&lt;="&amp;$A76,'Promo Calendar'!$J$6:$J$400,"&gt;="&amp;$A76,'Promo Calendar'!$G$6:$G$400,"&gt;0"),IF(COUNTIFS('Promo Calendar'!$A$6:$A$400,$C76,'Promo Calendar'!$D$6:$D$400,"All",'Promo Calendar'!$I$6:$I$400,"&lt;="&amp;$A76,'Promo Calendar'!$J$6:$J$400,"&gt;="&amp;$A76,'Promo Calendar'!$G$6:$G$400,"&gt;0")&gt;0,_xlfn.MINIFS('Promo Calendar'!$G$6:$G$400,'Promo Calendar'!$A$6:$A$400,$C76,'Promo Calendar'!$D$6:$D$400,"All",'Promo Calendar'!$I$6:$I$400,"&lt;="&amp;$A76,'Promo Calendar'!$J$6:$J$400,"&gt;="&amp;$A76,'Promo Calendar'!$G$6:$G$400,"&gt;0"),IFERROR(IF(INDEX('Chain Program'!$M$6:$M$120,MATCH($C76,'Chain Program'!$A$6:$A$120,0))="","Not set",INDEX('Chain Program'!$M$6:$M$120,MATCH($C76,'Chain Program'!$A$6:$A$120,0))),"Not set"))))</f>
        <v/>
      </c>
      <c r="I76" s="61" t="n"/>
      <c r="J76" s="45">
        <f>IF($I76="","",IF(NOT(ISNUMBER($H76)),"No plan price",IF(ABS($I76-$H76)&lt;0.005,"Match",IF($I76&gt;$H76,"Over plan","Under plan"))))</f>
        <v/>
      </c>
      <c r="K76" s="60" t="n"/>
      <c r="L76" s="60" t="n"/>
      <c r="M76" s="60" t="n"/>
      <c r="N76" s="60" t="n"/>
      <c r="O76" s="60" t="n"/>
      <c r="P76" s="62" t="n"/>
      <c r="Q76" s="62" t="n"/>
      <c r="R76" s="60" t="n"/>
      <c r="S76" s="59" t="n"/>
      <c r="T76" s="60" t="n"/>
      <c r="U76" s="59" t="n"/>
      <c r="V76" s="45">
        <f>IF(OR($A76="",$T76="",$T76="No Issue"),"",IF($T76="Resolved",IF($U76="","",$U76-$A76),TODAY()-$A76))</f>
        <v/>
      </c>
      <c r="W76" s="47">
        <f>IF(AND($C76&lt;&gt;"",$C76='Store History'!$C$4,OR('Store History'!$C$5="",$F76='Store History'!$C$5)),1,0)</f>
        <v/>
      </c>
      <c r="X76" s="47">
        <f>IF($W76=1,SUM($W76:$W$1005),"")</f>
        <v/>
      </c>
    </row>
    <row r="77">
      <c r="A77" s="59" t="n"/>
      <c r="B77" s="60" t="n"/>
      <c r="C77" s="60" t="n"/>
      <c r="D77" s="45">
        <f>IF($C77="","",IFERROR(INDEX('Chain Program'!$B$6:$B$120,MATCH($C77,'Chain Program'!$A$6:$A$120,0)),"Unknown ID"))</f>
        <v/>
      </c>
      <c r="E77" s="45">
        <f>IF($C77="","",IFERROR(INDEX('Chain Program'!$D$6:$D$120,MATCH($C77,'Chain Program'!$A$6:$A$120,0)),"Unknown ID"))</f>
        <v/>
      </c>
      <c r="F77" s="60" t="n"/>
      <c r="G77" s="60" t="n"/>
      <c r="H77" s="56">
        <f>IF(OR($C77="",$A77=""),"",IF(COUNTIFS('Promo Calendar'!$A$6:$A$400,$C77,'Promo Calendar'!$D$6:$D$400,IF($G77="","All",$G77),'Promo Calendar'!$I$6:$I$400,"&lt;="&amp;$A77,'Promo Calendar'!$J$6:$J$400,"&gt;="&amp;$A77,'Promo Calendar'!$G$6:$G$400,"&gt;0")&gt;0,_xlfn.MINIFS('Promo Calendar'!$G$6:$G$400,'Promo Calendar'!$A$6:$A$400,$C77,'Promo Calendar'!$D$6:$D$400,IF($G77="","All",$G77),'Promo Calendar'!$I$6:$I$400,"&lt;="&amp;$A77,'Promo Calendar'!$J$6:$J$400,"&gt;="&amp;$A77,'Promo Calendar'!$G$6:$G$400,"&gt;0"),IF(COUNTIFS('Promo Calendar'!$A$6:$A$400,$C77,'Promo Calendar'!$D$6:$D$400,"All",'Promo Calendar'!$I$6:$I$400,"&lt;="&amp;$A77,'Promo Calendar'!$J$6:$J$400,"&gt;="&amp;$A77,'Promo Calendar'!$G$6:$G$400,"&gt;0")&gt;0,_xlfn.MINIFS('Promo Calendar'!$G$6:$G$400,'Promo Calendar'!$A$6:$A$400,$C77,'Promo Calendar'!$D$6:$D$400,"All",'Promo Calendar'!$I$6:$I$400,"&lt;="&amp;$A77,'Promo Calendar'!$J$6:$J$400,"&gt;="&amp;$A77,'Promo Calendar'!$G$6:$G$400,"&gt;0"),IFERROR(IF(INDEX('Chain Program'!$M$6:$M$120,MATCH($C77,'Chain Program'!$A$6:$A$120,0))="","Not set",INDEX('Chain Program'!$M$6:$M$120,MATCH($C77,'Chain Program'!$A$6:$A$120,0))),"Not set"))))</f>
        <v/>
      </c>
      <c r="I77" s="61" t="n"/>
      <c r="J77" s="45">
        <f>IF($I77="","",IF(NOT(ISNUMBER($H77)),"No plan price",IF(ABS($I77-$H77)&lt;0.005,"Match",IF($I77&gt;$H77,"Over plan","Under plan"))))</f>
        <v/>
      </c>
      <c r="K77" s="60" t="n"/>
      <c r="L77" s="60" t="n"/>
      <c r="M77" s="60" t="n"/>
      <c r="N77" s="60" t="n"/>
      <c r="O77" s="60" t="n"/>
      <c r="P77" s="62" t="n"/>
      <c r="Q77" s="62" t="n"/>
      <c r="R77" s="60" t="n"/>
      <c r="S77" s="59" t="n"/>
      <c r="T77" s="60" t="n"/>
      <c r="U77" s="59" t="n"/>
      <c r="V77" s="45">
        <f>IF(OR($A77="",$T77="",$T77="No Issue"),"",IF($T77="Resolved",IF($U77="","",$U77-$A77),TODAY()-$A77))</f>
        <v/>
      </c>
      <c r="W77" s="47">
        <f>IF(AND($C77&lt;&gt;"",$C77='Store History'!$C$4,OR('Store History'!$C$5="",$F77='Store History'!$C$5)),1,0)</f>
        <v/>
      </c>
      <c r="X77" s="47">
        <f>IF($W77=1,SUM($W77:$W$1005),"")</f>
        <v/>
      </c>
    </row>
    <row r="78">
      <c r="A78" s="59" t="n"/>
      <c r="B78" s="60" t="n"/>
      <c r="C78" s="60" t="n"/>
      <c r="D78" s="45">
        <f>IF($C78="","",IFERROR(INDEX('Chain Program'!$B$6:$B$120,MATCH($C78,'Chain Program'!$A$6:$A$120,0)),"Unknown ID"))</f>
        <v/>
      </c>
      <c r="E78" s="45">
        <f>IF($C78="","",IFERROR(INDEX('Chain Program'!$D$6:$D$120,MATCH($C78,'Chain Program'!$A$6:$A$120,0)),"Unknown ID"))</f>
        <v/>
      </c>
      <c r="F78" s="60" t="n"/>
      <c r="G78" s="60" t="n"/>
      <c r="H78" s="56">
        <f>IF(OR($C78="",$A78=""),"",IF(COUNTIFS('Promo Calendar'!$A$6:$A$400,$C78,'Promo Calendar'!$D$6:$D$400,IF($G78="","All",$G78),'Promo Calendar'!$I$6:$I$400,"&lt;="&amp;$A78,'Promo Calendar'!$J$6:$J$400,"&gt;="&amp;$A78,'Promo Calendar'!$G$6:$G$400,"&gt;0")&gt;0,_xlfn.MINIFS('Promo Calendar'!$G$6:$G$400,'Promo Calendar'!$A$6:$A$400,$C78,'Promo Calendar'!$D$6:$D$400,IF($G78="","All",$G78),'Promo Calendar'!$I$6:$I$400,"&lt;="&amp;$A78,'Promo Calendar'!$J$6:$J$400,"&gt;="&amp;$A78,'Promo Calendar'!$G$6:$G$400,"&gt;0"),IF(COUNTIFS('Promo Calendar'!$A$6:$A$400,$C78,'Promo Calendar'!$D$6:$D$400,"All",'Promo Calendar'!$I$6:$I$400,"&lt;="&amp;$A78,'Promo Calendar'!$J$6:$J$400,"&gt;="&amp;$A78,'Promo Calendar'!$G$6:$G$400,"&gt;0")&gt;0,_xlfn.MINIFS('Promo Calendar'!$G$6:$G$400,'Promo Calendar'!$A$6:$A$400,$C78,'Promo Calendar'!$D$6:$D$400,"All",'Promo Calendar'!$I$6:$I$400,"&lt;="&amp;$A78,'Promo Calendar'!$J$6:$J$400,"&gt;="&amp;$A78,'Promo Calendar'!$G$6:$G$400,"&gt;0"),IFERROR(IF(INDEX('Chain Program'!$M$6:$M$120,MATCH($C78,'Chain Program'!$A$6:$A$120,0))="","Not set",INDEX('Chain Program'!$M$6:$M$120,MATCH($C78,'Chain Program'!$A$6:$A$120,0))),"Not set"))))</f>
        <v/>
      </c>
      <c r="I78" s="61" t="n"/>
      <c r="J78" s="45">
        <f>IF($I78="","",IF(NOT(ISNUMBER($H78)),"No plan price",IF(ABS($I78-$H78)&lt;0.005,"Match",IF($I78&gt;$H78,"Over plan","Under plan"))))</f>
        <v/>
      </c>
      <c r="K78" s="60" t="n"/>
      <c r="L78" s="60" t="n"/>
      <c r="M78" s="60" t="n"/>
      <c r="N78" s="60" t="n"/>
      <c r="O78" s="60" t="n"/>
      <c r="P78" s="62" t="n"/>
      <c r="Q78" s="62" t="n"/>
      <c r="R78" s="60" t="n"/>
      <c r="S78" s="59" t="n"/>
      <c r="T78" s="60" t="n"/>
      <c r="U78" s="59" t="n"/>
      <c r="V78" s="45">
        <f>IF(OR($A78="",$T78="",$T78="No Issue"),"",IF($T78="Resolved",IF($U78="","",$U78-$A78),TODAY()-$A78))</f>
        <v/>
      </c>
      <c r="W78" s="47">
        <f>IF(AND($C78&lt;&gt;"",$C78='Store History'!$C$4,OR('Store History'!$C$5="",$F78='Store History'!$C$5)),1,0)</f>
        <v/>
      </c>
      <c r="X78" s="47">
        <f>IF($W78=1,SUM($W78:$W$1005),"")</f>
        <v/>
      </c>
    </row>
    <row r="79">
      <c r="A79" s="59" t="n"/>
      <c r="B79" s="60" t="n"/>
      <c r="C79" s="60" t="n"/>
      <c r="D79" s="45">
        <f>IF($C79="","",IFERROR(INDEX('Chain Program'!$B$6:$B$120,MATCH($C79,'Chain Program'!$A$6:$A$120,0)),"Unknown ID"))</f>
        <v/>
      </c>
      <c r="E79" s="45">
        <f>IF($C79="","",IFERROR(INDEX('Chain Program'!$D$6:$D$120,MATCH($C79,'Chain Program'!$A$6:$A$120,0)),"Unknown ID"))</f>
        <v/>
      </c>
      <c r="F79" s="60" t="n"/>
      <c r="G79" s="60" t="n"/>
      <c r="H79" s="56">
        <f>IF(OR($C79="",$A79=""),"",IF(COUNTIFS('Promo Calendar'!$A$6:$A$400,$C79,'Promo Calendar'!$D$6:$D$400,IF($G79="","All",$G79),'Promo Calendar'!$I$6:$I$400,"&lt;="&amp;$A79,'Promo Calendar'!$J$6:$J$400,"&gt;="&amp;$A79,'Promo Calendar'!$G$6:$G$400,"&gt;0")&gt;0,_xlfn.MINIFS('Promo Calendar'!$G$6:$G$400,'Promo Calendar'!$A$6:$A$400,$C79,'Promo Calendar'!$D$6:$D$400,IF($G79="","All",$G79),'Promo Calendar'!$I$6:$I$400,"&lt;="&amp;$A79,'Promo Calendar'!$J$6:$J$400,"&gt;="&amp;$A79,'Promo Calendar'!$G$6:$G$400,"&gt;0"),IF(COUNTIFS('Promo Calendar'!$A$6:$A$400,$C79,'Promo Calendar'!$D$6:$D$400,"All",'Promo Calendar'!$I$6:$I$400,"&lt;="&amp;$A79,'Promo Calendar'!$J$6:$J$400,"&gt;="&amp;$A79,'Promo Calendar'!$G$6:$G$400,"&gt;0")&gt;0,_xlfn.MINIFS('Promo Calendar'!$G$6:$G$400,'Promo Calendar'!$A$6:$A$400,$C79,'Promo Calendar'!$D$6:$D$400,"All",'Promo Calendar'!$I$6:$I$400,"&lt;="&amp;$A79,'Promo Calendar'!$J$6:$J$400,"&gt;="&amp;$A79,'Promo Calendar'!$G$6:$G$400,"&gt;0"),IFERROR(IF(INDEX('Chain Program'!$M$6:$M$120,MATCH($C79,'Chain Program'!$A$6:$A$120,0))="","Not set",INDEX('Chain Program'!$M$6:$M$120,MATCH($C79,'Chain Program'!$A$6:$A$120,0))),"Not set"))))</f>
        <v/>
      </c>
      <c r="I79" s="61" t="n"/>
      <c r="J79" s="45">
        <f>IF($I79="","",IF(NOT(ISNUMBER($H79)),"No plan price",IF(ABS($I79-$H79)&lt;0.005,"Match",IF($I79&gt;$H79,"Over plan","Under plan"))))</f>
        <v/>
      </c>
      <c r="K79" s="60" t="n"/>
      <c r="L79" s="60" t="n"/>
      <c r="M79" s="60" t="n"/>
      <c r="N79" s="60" t="n"/>
      <c r="O79" s="60" t="n"/>
      <c r="P79" s="62" t="n"/>
      <c r="Q79" s="62" t="n"/>
      <c r="R79" s="60" t="n"/>
      <c r="S79" s="59" t="n"/>
      <c r="T79" s="60" t="n"/>
      <c r="U79" s="59" t="n"/>
      <c r="V79" s="45">
        <f>IF(OR($A79="",$T79="",$T79="No Issue"),"",IF($T79="Resolved",IF($U79="","",$U79-$A79),TODAY()-$A79))</f>
        <v/>
      </c>
      <c r="W79" s="47">
        <f>IF(AND($C79&lt;&gt;"",$C79='Store History'!$C$4,OR('Store History'!$C$5="",$F79='Store History'!$C$5)),1,0)</f>
        <v/>
      </c>
      <c r="X79" s="47">
        <f>IF($W79=1,SUM($W79:$W$1005),"")</f>
        <v/>
      </c>
    </row>
    <row r="80">
      <c r="A80" s="59" t="n"/>
      <c r="B80" s="60" t="n"/>
      <c r="C80" s="60" t="n"/>
      <c r="D80" s="45">
        <f>IF($C80="","",IFERROR(INDEX('Chain Program'!$B$6:$B$120,MATCH($C80,'Chain Program'!$A$6:$A$120,0)),"Unknown ID"))</f>
        <v/>
      </c>
      <c r="E80" s="45">
        <f>IF($C80="","",IFERROR(INDEX('Chain Program'!$D$6:$D$120,MATCH($C80,'Chain Program'!$A$6:$A$120,0)),"Unknown ID"))</f>
        <v/>
      </c>
      <c r="F80" s="60" t="n"/>
      <c r="G80" s="60" t="n"/>
      <c r="H80" s="56">
        <f>IF(OR($C80="",$A80=""),"",IF(COUNTIFS('Promo Calendar'!$A$6:$A$400,$C80,'Promo Calendar'!$D$6:$D$400,IF($G80="","All",$G80),'Promo Calendar'!$I$6:$I$400,"&lt;="&amp;$A80,'Promo Calendar'!$J$6:$J$400,"&gt;="&amp;$A80,'Promo Calendar'!$G$6:$G$400,"&gt;0")&gt;0,_xlfn.MINIFS('Promo Calendar'!$G$6:$G$400,'Promo Calendar'!$A$6:$A$400,$C80,'Promo Calendar'!$D$6:$D$400,IF($G80="","All",$G80),'Promo Calendar'!$I$6:$I$400,"&lt;="&amp;$A80,'Promo Calendar'!$J$6:$J$400,"&gt;="&amp;$A80,'Promo Calendar'!$G$6:$G$400,"&gt;0"),IF(COUNTIFS('Promo Calendar'!$A$6:$A$400,$C80,'Promo Calendar'!$D$6:$D$400,"All",'Promo Calendar'!$I$6:$I$400,"&lt;="&amp;$A80,'Promo Calendar'!$J$6:$J$400,"&gt;="&amp;$A80,'Promo Calendar'!$G$6:$G$400,"&gt;0")&gt;0,_xlfn.MINIFS('Promo Calendar'!$G$6:$G$400,'Promo Calendar'!$A$6:$A$400,$C80,'Promo Calendar'!$D$6:$D$400,"All",'Promo Calendar'!$I$6:$I$400,"&lt;="&amp;$A80,'Promo Calendar'!$J$6:$J$400,"&gt;="&amp;$A80,'Promo Calendar'!$G$6:$G$400,"&gt;0"),IFERROR(IF(INDEX('Chain Program'!$M$6:$M$120,MATCH($C80,'Chain Program'!$A$6:$A$120,0))="","Not set",INDEX('Chain Program'!$M$6:$M$120,MATCH($C80,'Chain Program'!$A$6:$A$120,0))),"Not set"))))</f>
        <v/>
      </c>
      <c r="I80" s="61" t="n"/>
      <c r="J80" s="45">
        <f>IF($I80="","",IF(NOT(ISNUMBER($H80)),"No plan price",IF(ABS($I80-$H80)&lt;0.005,"Match",IF($I80&gt;$H80,"Over plan","Under plan"))))</f>
        <v/>
      </c>
      <c r="K80" s="60" t="n"/>
      <c r="L80" s="60" t="n"/>
      <c r="M80" s="60" t="n"/>
      <c r="N80" s="60" t="n"/>
      <c r="O80" s="60" t="n"/>
      <c r="P80" s="62" t="n"/>
      <c r="Q80" s="62" t="n"/>
      <c r="R80" s="60" t="n"/>
      <c r="S80" s="59" t="n"/>
      <c r="T80" s="60" t="n"/>
      <c r="U80" s="59" t="n"/>
      <c r="V80" s="45">
        <f>IF(OR($A80="",$T80="",$T80="No Issue"),"",IF($T80="Resolved",IF($U80="","",$U80-$A80),TODAY()-$A80))</f>
        <v/>
      </c>
      <c r="W80" s="47">
        <f>IF(AND($C80&lt;&gt;"",$C80='Store History'!$C$4,OR('Store History'!$C$5="",$F80='Store History'!$C$5)),1,0)</f>
        <v/>
      </c>
      <c r="X80" s="47">
        <f>IF($W80=1,SUM($W80:$W$1005),"")</f>
        <v/>
      </c>
    </row>
    <row r="81">
      <c r="A81" s="59" t="n"/>
      <c r="B81" s="60" t="n"/>
      <c r="C81" s="60" t="n"/>
      <c r="D81" s="45">
        <f>IF($C81="","",IFERROR(INDEX('Chain Program'!$B$6:$B$120,MATCH($C81,'Chain Program'!$A$6:$A$120,0)),"Unknown ID"))</f>
        <v/>
      </c>
      <c r="E81" s="45">
        <f>IF($C81="","",IFERROR(INDEX('Chain Program'!$D$6:$D$120,MATCH($C81,'Chain Program'!$A$6:$A$120,0)),"Unknown ID"))</f>
        <v/>
      </c>
      <c r="F81" s="60" t="n"/>
      <c r="G81" s="60" t="n"/>
      <c r="H81" s="56">
        <f>IF(OR($C81="",$A81=""),"",IF(COUNTIFS('Promo Calendar'!$A$6:$A$400,$C81,'Promo Calendar'!$D$6:$D$400,IF($G81="","All",$G81),'Promo Calendar'!$I$6:$I$400,"&lt;="&amp;$A81,'Promo Calendar'!$J$6:$J$400,"&gt;="&amp;$A81,'Promo Calendar'!$G$6:$G$400,"&gt;0")&gt;0,_xlfn.MINIFS('Promo Calendar'!$G$6:$G$400,'Promo Calendar'!$A$6:$A$400,$C81,'Promo Calendar'!$D$6:$D$400,IF($G81="","All",$G81),'Promo Calendar'!$I$6:$I$400,"&lt;="&amp;$A81,'Promo Calendar'!$J$6:$J$400,"&gt;="&amp;$A81,'Promo Calendar'!$G$6:$G$400,"&gt;0"),IF(COUNTIFS('Promo Calendar'!$A$6:$A$400,$C81,'Promo Calendar'!$D$6:$D$400,"All",'Promo Calendar'!$I$6:$I$400,"&lt;="&amp;$A81,'Promo Calendar'!$J$6:$J$400,"&gt;="&amp;$A81,'Promo Calendar'!$G$6:$G$400,"&gt;0")&gt;0,_xlfn.MINIFS('Promo Calendar'!$G$6:$G$400,'Promo Calendar'!$A$6:$A$400,$C81,'Promo Calendar'!$D$6:$D$400,"All",'Promo Calendar'!$I$6:$I$400,"&lt;="&amp;$A81,'Promo Calendar'!$J$6:$J$400,"&gt;="&amp;$A81,'Promo Calendar'!$G$6:$G$400,"&gt;0"),IFERROR(IF(INDEX('Chain Program'!$M$6:$M$120,MATCH($C81,'Chain Program'!$A$6:$A$120,0))="","Not set",INDEX('Chain Program'!$M$6:$M$120,MATCH($C81,'Chain Program'!$A$6:$A$120,0))),"Not set"))))</f>
        <v/>
      </c>
      <c r="I81" s="61" t="n"/>
      <c r="J81" s="45">
        <f>IF($I81="","",IF(NOT(ISNUMBER($H81)),"No plan price",IF(ABS($I81-$H81)&lt;0.005,"Match",IF($I81&gt;$H81,"Over plan","Under plan"))))</f>
        <v/>
      </c>
      <c r="K81" s="60" t="n"/>
      <c r="L81" s="60" t="n"/>
      <c r="M81" s="60" t="n"/>
      <c r="N81" s="60" t="n"/>
      <c r="O81" s="60" t="n"/>
      <c r="P81" s="62" t="n"/>
      <c r="Q81" s="62" t="n"/>
      <c r="R81" s="60" t="n"/>
      <c r="S81" s="59" t="n"/>
      <c r="T81" s="60" t="n"/>
      <c r="U81" s="59" t="n"/>
      <c r="V81" s="45">
        <f>IF(OR($A81="",$T81="",$T81="No Issue"),"",IF($T81="Resolved",IF($U81="","",$U81-$A81),TODAY()-$A81))</f>
        <v/>
      </c>
      <c r="W81" s="47">
        <f>IF(AND($C81&lt;&gt;"",$C81='Store History'!$C$4,OR('Store History'!$C$5="",$F81='Store History'!$C$5)),1,0)</f>
        <v/>
      </c>
      <c r="X81" s="47">
        <f>IF($W81=1,SUM($W81:$W$1005),"")</f>
        <v/>
      </c>
    </row>
    <row r="82">
      <c r="A82" s="59" t="n"/>
      <c r="B82" s="60" t="n"/>
      <c r="C82" s="60" t="n"/>
      <c r="D82" s="45">
        <f>IF($C82="","",IFERROR(INDEX('Chain Program'!$B$6:$B$120,MATCH($C82,'Chain Program'!$A$6:$A$120,0)),"Unknown ID"))</f>
        <v/>
      </c>
      <c r="E82" s="45">
        <f>IF($C82="","",IFERROR(INDEX('Chain Program'!$D$6:$D$120,MATCH($C82,'Chain Program'!$A$6:$A$120,0)),"Unknown ID"))</f>
        <v/>
      </c>
      <c r="F82" s="60" t="n"/>
      <c r="G82" s="60" t="n"/>
      <c r="H82" s="56">
        <f>IF(OR($C82="",$A82=""),"",IF(COUNTIFS('Promo Calendar'!$A$6:$A$400,$C82,'Promo Calendar'!$D$6:$D$400,IF($G82="","All",$G82),'Promo Calendar'!$I$6:$I$400,"&lt;="&amp;$A82,'Promo Calendar'!$J$6:$J$400,"&gt;="&amp;$A82,'Promo Calendar'!$G$6:$G$400,"&gt;0")&gt;0,_xlfn.MINIFS('Promo Calendar'!$G$6:$G$400,'Promo Calendar'!$A$6:$A$400,$C82,'Promo Calendar'!$D$6:$D$400,IF($G82="","All",$G82),'Promo Calendar'!$I$6:$I$400,"&lt;="&amp;$A82,'Promo Calendar'!$J$6:$J$400,"&gt;="&amp;$A82,'Promo Calendar'!$G$6:$G$400,"&gt;0"),IF(COUNTIFS('Promo Calendar'!$A$6:$A$400,$C82,'Promo Calendar'!$D$6:$D$400,"All",'Promo Calendar'!$I$6:$I$400,"&lt;="&amp;$A82,'Promo Calendar'!$J$6:$J$400,"&gt;="&amp;$A82,'Promo Calendar'!$G$6:$G$400,"&gt;0")&gt;0,_xlfn.MINIFS('Promo Calendar'!$G$6:$G$400,'Promo Calendar'!$A$6:$A$400,$C82,'Promo Calendar'!$D$6:$D$400,"All",'Promo Calendar'!$I$6:$I$400,"&lt;="&amp;$A82,'Promo Calendar'!$J$6:$J$400,"&gt;="&amp;$A82,'Promo Calendar'!$G$6:$G$400,"&gt;0"),IFERROR(IF(INDEX('Chain Program'!$M$6:$M$120,MATCH($C82,'Chain Program'!$A$6:$A$120,0))="","Not set",INDEX('Chain Program'!$M$6:$M$120,MATCH($C82,'Chain Program'!$A$6:$A$120,0))),"Not set"))))</f>
        <v/>
      </c>
      <c r="I82" s="61" t="n"/>
      <c r="J82" s="45">
        <f>IF($I82="","",IF(NOT(ISNUMBER($H82)),"No plan price",IF(ABS($I82-$H82)&lt;0.005,"Match",IF($I82&gt;$H82,"Over plan","Under plan"))))</f>
        <v/>
      </c>
      <c r="K82" s="60" t="n"/>
      <c r="L82" s="60" t="n"/>
      <c r="M82" s="60" t="n"/>
      <c r="N82" s="60" t="n"/>
      <c r="O82" s="60" t="n"/>
      <c r="P82" s="62" t="n"/>
      <c r="Q82" s="62" t="n"/>
      <c r="R82" s="60" t="n"/>
      <c r="S82" s="59" t="n"/>
      <c r="T82" s="60" t="n"/>
      <c r="U82" s="59" t="n"/>
      <c r="V82" s="45">
        <f>IF(OR($A82="",$T82="",$T82="No Issue"),"",IF($T82="Resolved",IF($U82="","",$U82-$A82),TODAY()-$A82))</f>
        <v/>
      </c>
      <c r="W82" s="47">
        <f>IF(AND($C82&lt;&gt;"",$C82='Store History'!$C$4,OR('Store History'!$C$5="",$F82='Store History'!$C$5)),1,0)</f>
        <v/>
      </c>
      <c r="X82" s="47">
        <f>IF($W82=1,SUM($W82:$W$1005),"")</f>
        <v/>
      </c>
    </row>
    <row r="83">
      <c r="A83" s="59" t="n"/>
      <c r="B83" s="60" t="n"/>
      <c r="C83" s="60" t="n"/>
      <c r="D83" s="45">
        <f>IF($C83="","",IFERROR(INDEX('Chain Program'!$B$6:$B$120,MATCH($C83,'Chain Program'!$A$6:$A$120,0)),"Unknown ID"))</f>
        <v/>
      </c>
      <c r="E83" s="45">
        <f>IF($C83="","",IFERROR(INDEX('Chain Program'!$D$6:$D$120,MATCH($C83,'Chain Program'!$A$6:$A$120,0)),"Unknown ID"))</f>
        <v/>
      </c>
      <c r="F83" s="60" t="n"/>
      <c r="G83" s="60" t="n"/>
      <c r="H83" s="56">
        <f>IF(OR($C83="",$A83=""),"",IF(COUNTIFS('Promo Calendar'!$A$6:$A$400,$C83,'Promo Calendar'!$D$6:$D$400,IF($G83="","All",$G83),'Promo Calendar'!$I$6:$I$400,"&lt;="&amp;$A83,'Promo Calendar'!$J$6:$J$400,"&gt;="&amp;$A83,'Promo Calendar'!$G$6:$G$400,"&gt;0")&gt;0,_xlfn.MINIFS('Promo Calendar'!$G$6:$G$400,'Promo Calendar'!$A$6:$A$400,$C83,'Promo Calendar'!$D$6:$D$400,IF($G83="","All",$G83),'Promo Calendar'!$I$6:$I$400,"&lt;="&amp;$A83,'Promo Calendar'!$J$6:$J$400,"&gt;="&amp;$A83,'Promo Calendar'!$G$6:$G$400,"&gt;0"),IF(COUNTIFS('Promo Calendar'!$A$6:$A$400,$C83,'Promo Calendar'!$D$6:$D$400,"All",'Promo Calendar'!$I$6:$I$400,"&lt;="&amp;$A83,'Promo Calendar'!$J$6:$J$400,"&gt;="&amp;$A83,'Promo Calendar'!$G$6:$G$400,"&gt;0")&gt;0,_xlfn.MINIFS('Promo Calendar'!$G$6:$G$400,'Promo Calendar'!$A$6:$A$400,$C83,'Promo Calendar'!$D$6:$D$400,"All",'Promo Calendar'!$I$6:$I$400,"&lt;="&amp;$A83,'Promo Calendar'!$J$6:$J$400,"&gt;="&amp;$A83,'Promo Calendar'!$G$6:$G$400,"&gt;0"),IFERROR(IF(INDEX('Chain Program'!$M$6:$M$120,MATCH($C83,'Chain Program'!$A$6:$A$120,0))="","Not set",INDEX('Chain Program'!$M$6:$M$120,MATCH($C83,'Chain Program'!$A$6:$A$120,0))),"Not set"))))</f>
        <v/>
      </c>
      <c r="I83" s="61" t="n"/>
      <c r="J83" s="45">
        <f>IF($I83="","",IF(NOT(ISNUMBER($H83)),"No plan price",IF(ABS($I83-$H83)&lt;0.005,"Match",IF($I83&gt;$H83,"Over plan","Under plan"))))</f>
        <v/>
      </c>
      <c r="K83" s="60" t="n"/>
      <c r="L83" s="60" t="n"/>
      <c r="M83" s="60" t="n"/>
      <c r="N83" s="60" t="n"/>
      <c r="O83" s="60" t="n"/>
      <c r="P83" s="62" t="n"/>
      <c r="Q83" s="62" t="n"/>
      <c r="R83" s="60" t="n"/>
      <c r="S83" s="59" t="n"/>
      <c r="T83" s="60" t="n"/>
      <c r="U83" s="59" t="n"/>
      <c r="V83" s="45">
        <f>IF(OR($A83="",$T83="",$T83="No Issue"),"",IF($T83="Resolved",IF($U83="","",$U83-$A83),TODAY()-$A83))</f>
        <v/>
      </c>
      <c r="W83" s="47">
        <f>IF(AND($C83&lt;&gt;"",$C83='Store History'!$C$4,OR('Store History'!$C$5="",$F83='Store History'!$C$5)),1,0)</f>
        <v/>
      </c>
      <c r="X83" s="47">
        <f>IF($W83=1,SUM($W83:$W$1005),"")</f>
        <v/>
      </c>
    </row>
    <row r="84">
      <c r="A84" s="59" t="n"/>
      <c r="B84" s="60" t="n"/>
      <c r="C84" s="60" t="n"/>
      <c r="D84" s="45">
        <f>IF($C84="","",IFERROR(INDEX('Chain Program'!$B$6:$B$120,MATCH($C84,'Chain Program'!$A$6:$A$120,0)),"Unknown ID"))</f>
        <v/>
      </c>
      <c r="E84" s="45">
        <f>IF($C84="","",IFERROR(INDEX('Chain Program'!$D$6:$D$120,MATCH($C84,'Chain Program'!$A$6:$A$120,0)),"Unknown ID"))</f>
        <v/>
      </c>
      <c r="F84" s="60" t="n"/>
      <c r="G84" s="60" t="n"/>
      <c r="H84" s="56">
        <f>IF(OR($C84="",$A84=""),"",IF(COUNTIFS('Promo Calendar'!$A$6:$A$400,$C84,'Promo Calendar'!$D$6:$D$400,IF($G84="","All",$G84),'Promo Calendar'!$I$6:$I$400,"&lt;="&amp;$A84,'Promo Calendar'!$J$6:$J$400,"&gt;="&amp;$A84,'Promo Calendar'!$G$6:$G$400,"&gt;0")&gt;0,_xlfn.MINIFS('Promo Calendar'!$G$6:$G$400,'Promo Calendar'!$A$6:$A$400,$C84,'Promo Calendar'!$D$6:$D$400,IF($G84="","All",$G84),'Promo Calendar'!$I$6:$I$400,"&lt;="&amp;$A84,'Promo Calendar'!$J$6:$J$400,"&gt;="&amp;$A84,'Promo Calendar'!$G$6:$G$400,"&gt;0"),IF(COUNTIFS('Promo Calendar'!$A$6:$A$400,$C84,'Promo Calendar'!$D$6:$D$400,"All",'Promo Calendar'!$I$6:$I$400,"&lt;="&amp;$A84,'Promo Calendar'!$J$6:$J$400,"&gt;="&amp;$A84,'Promo Calendar'!$G$6:$G$400,"&gt;0")&gt;0,_xlfn.MINIFS('Promo Calendar'!$G$6:$G$400,'Promo Calendar'!$A$6:$A$400,$C84,'Promo Calendar'!$D$6:$D$400,"All",'Promo Calendar'!$I$6:$I$400,"&lt;="&amp;$A84,'Promo Calendar'!$J$6:$J$400,"&gt;="&amp;$A84,'Promo Calendar'!$G$6:$G$400,"&gt;0"),IFERROR(IF(INDEX('Chain Program'!$M$6:$M$120,MATCH($C84,'Chain Program'!$A$6:$A$120,0))="","Not set",INDEX('Chain Program'!$M$6:$M$120,MATCH($C84,'Chain Program'!$A$6:$A$120,0))),"Not set"))))</f>
        <v/>
      </c>
      <c r="I84" s="61" t="n"/>
      <c r="J84" s="45">
        <f>IF($I84="","",IF(NOT(ISNUMBER($H84)),"No plan price",IF(ABS($I84-$H84)&lt;0.005,"Match",IF($I84&gt;$H84,"Over plan","Under plan"))))</f>
        <v/>
      </c>
      <c r="K84" s="60" t="n"/>
      <c r="L84" s="60" t="n"/>
      <c r="M84" s="60" t="n"/>
      <c r="N84" s="60" t="n"/>
      <c r="O84" s="60" t="n"/>
      <c r="P84" s="62" t="n"/>
      <c r="Q84" s="62" t="n"/>
      <c r="R84" s="60" t="n"/>
      <c r="S84" s="59" t="n"/>
      <c r="T84" s="60" t="n"/>
      <c r="U84" s="59" t="n"/>
      <c r="V84" s="45">
        <f>IF(OR($A84="",$T84="",$T84="No Issue"),"",IF($T84="Resolved",IF($U84="","",$U84-$A84),TODAY()-$A84))</f>
        <v/>
      </c>
      <c r="W84" s="47">
        <f>IF(AND($C84&lt;&gt;"",$C84='Store History'!$C$4,OR('Store History'!$C$5="",$F84='Store History'!$C$5)),1,0)</f>
        <v/>
      </c>
      <c r="X84" s="47">
        <f>IF($W84=1,SUM($W84:$W$1005),"")</f>
        <v/>
      </c>
    </row>
    <row r="85">
      <c r="A85" s="59" t="n"/>
      <c r="B85" s="60" t="n"/>
      <c r="C85" s="60" t="n"/>
      <c r="D85" s="45">
        <f>IF($C85="","",IFERROR(INDEX('Chain Program'!$B$6:$B$120,MATCH($C85,'Chain Program'!$A$6:$A$120,0)),"Unknown ID"))</f>
        <v/>
      </c>
      <c r="E85" s="45">
        <f>IF($C85="","",IFERROR(INDEX('Chain Program'!$D$6:$D$120,MATCH($C85,'Chain Program'!$A$6:$A$120,0)),"Unknown ID"))</f>
        <v/>
      </c>
      <c r="F85" s="60" t="n"/>
      <c r="G85" s="60" t="n"/>
      <c r="H85" s="56">
        <f>IF(OR($C85="",$A85=""),"",IF(COUNTIFS('Promo Calendar'!$A$6:$A$400,$C85,'Promo Calendar'!$D$6:$D$400,IF($G85="","All",$G85),'Promo Calendar'!$I$6:$I$400,"&lt;="&amp;$A85,'Promo Calendar'!$J$6:$J$400,"&gt;="&amp;$A85,'Promo Calendar'!$G$6:$G$400,"&gt;0")&gt;0,_xlfn.MINIFS('Promo Calendar'!$G$6:$G$400,'Promo Calendar'!$A$6:$A$400,$C85,'Promo Calendar'!$D$6:$D$400,IF($G85="","All",$G85),'Promo Calendar'!$I$6:$I$400,"&lt;="&amp;$A85,'Promo Calendar'!$J$6:$J$400,"&gt;="&amp;$A85,'Promo Calendar'!$G$6:$G$400,"&gt;0"),IF(COUNTIFS('Promo Calendar'!$A$6:$A$400,$C85,'Promo Calendar'!$D$6:$D$400,"All",'Promo Calendar'!$I$6:$I$400,"&lt;="&amp;$A85,'Promo Calendar'!$J$6:$J$400,"&gt;="&amp;$A85,'Promo Calendar'!$G$6:$G$400,"&gt;0")&gt;0,_xlfn.MINIFS('Promo Calendar'!$G$6:$G$400,'Promo Calendar'!$A$6:$A$400,$C85,'Promo Calendar'!$D$6:$D$400,"All",'Promo Calendar'!$I$6:$I$400,"&lt;="&amp;$A85,'Promo Calendar'!$J$6:$J$400,"&gt;="&amp;$A85,'Promo Calendar'!$G$6:$G$400,"&gt;0"),IFERROR(IF(INDEX('Chain Program'!$M$6:$M$120,MATCH($C85,'Chain Program'!$A$6:$A$120,0))="","Not set",INDEX('Chain Program'!$M$6:$M$120,MATCH($C85,'Chain Program'!$A$6:$A$120,0))),"Not set"))))</f>
        <v/>
      </c>
      <c r="I85" s="61" t="n"/>
      <c r="J85" s="45">
        <f>IF($I85="","",IF(NOT(ISNUMBER($H85)),"No plan price",IF(ABS($I85-$H85)&lt;0.005,"Match",IF($I85&gt;$H85,"Over plan","Under plan"))))</f>
        <v/>
      </c>
      <c r="K85" s="60" t="n"/>
      <c r="L85" s="60" t="n"/>
      <c r="M85" s="60" t="n"/>
      <c r="N85" s="60" t="n"/>
      <c r="O85" s="60" t="n"/>
      <c r="P85" s="62" t="n"/>
      <c r="Q85" s="62" t="n"/>
      <c r="R85" s="60" t="n"/>
      <c r="S85" s="59" t="n"/>
      <c r="T85" s="60" t="n"/>
      <c r="U85" s="59" t="n"/>
      <c r="V85" s="45">
        <f>IF(OR($A85="",$T85="",$T85="No Issue"),"",IF($T85="Resolved",IF($U85="","",$U85-$A85),TODAY()-$A85))</f>
        <v/>
      </c>
      <c r="W85" s="47">
        <f>IF(AND($C85&lt;&gt;"",$C85='Store History'!$C$4,OR('Store History'!$C$5="",$F85='Store History'!$C$5)),1,0)</f>
        <v/>
      </c>
      <c r="X85" s="47">
        <f>IF($W85=1,SUM($W85:$W$1005),"")</f>
        <v/>
      </c>
    </row>
    <row r="86">
      <c r="A86" s="59" t="n"/>
      <c r="B86" s="60" t="n"/>
      <c r="C86" s="60" t="n"/>
      <c r="D86" s="45">
        <f>IF($C86="","",IFERROR(INDEX('Chain Program'!$B$6:$B$120,MATCH($C86,'Chain Program'!$A$6:$A$120,0)),"Unknown ID"))</f>
        <v/>
      </c>
      <c r="E86" s="45">
        <f>IF($C86="","",IFERROR(INDEX('Chain Program'!$D$6:$D$120,MATCH($C86,'Chain Program'!$A$6:$A$120,0)),"Unknown ID"))</f>
        <v/>
      </c>
      <c r="F86" s="60" t="n"/>
      <c r="G86" s="60" t="n"/>
      <c r="H86" s="56">
        <f>IF(OR($C86="",$A86=""),"",IF(COUNTIFS('Promo Calendar'!$A$6:$A$400,$C86,'Promo Calendar'!$D$6:$D$400,IF($G86="","All",$G86),'Promo Calendar'!$I$6:$I$400,"&lt;="&amp;$A86,'Promo Calendar'!$J$6:$J$400,"&gt;="&amp;$A86,'Promo Calendar'!$G$6:$G$400,"&gt;0")&gt;0,_xlfn.MINIFS('Promo Calendar'!$G$6:$G$400,'Promo Calendar'!$A$6:$A$400,$C86,'Promo Calendar'!$D$6:$D$400,IF($G86="","All",$G86),'Promo Calendar'!$I$6:$I$400,"&lt;="&amp;$A86,'Promo Calendar'!$J$6:$J$400,"&gt;="&amp;$A86,'Promo Calendar'!$G$6:$G$400,"&gt;0"),IF(COUNTIFS('Promo Calendar'!$A$6:$A$400,$C86,'Promo Calendar'!$D$6:$D$400,"All",'Promo Calendar'!$I$6:$I$400,"&lt;="&amp;$A86,'Promo Calendar'!$J$6:$J$400,"&gt;="&amp;$A86,'Promo Calendar'!$G$6:$G$400,"&gt;0")&gt;0,_xlfn.MINIFS('Promo Calendar'!$G$6:$G$400,'Promo Calendar'!$A$6:$A$400,$C86,'Promo Calendar'!$D$6:$D$400,"All",'Promo Calendar'!$I$6:$I$400,"&lt;="&amp;$A86,'Promo Calendar'!$J$6:$J$400,"&gt;="&amp;$A86,'Promo Calendar'!$G$6:$G$400,"&gt;0"),IFERROR(IF(INDEX('Chain Program'!$M$6:$M$120,MATCH($C86,'Chain Program'!$A$6:$A$120,0))="","Not set",INDEX('Chain Program'!$M$6:$M$120,MATCH($C86,'Chain Program'!$A$6:$A$120,0))),"Not set"))))</f>
        <v/>
      </c>
      <c r="I86" s="61" t="n"/>
      <c r="J86" s="45">
        <f>IF($I86="","",IF(NOT(ISNUMBER($H86)),"No plan price",IF(ABS($I86-$H86)&lt;0.005,"Match",IF($I86&gt;$H86,"Over plan","Under plan"))))</f>
        <v/>
      </c>
      <c r="K86" s="60" t="n"/>
      <c r="L86" s="60" t="n"/>
      <c r="M86" s="60" t="n"/>
      <c r="N86" s="60" t="n"/>
      <c r="O86" s="60" t="n"/>
      <c r="P86" s="62" t="n"/>
      <c r="Q86" s="62" t="n"/>
      <c r="R86" s="60" t="n"/>
      <c r="S86" s="59" t="n"/>
      <c r="T86" s="60" t="n"/>
      <c r="U86" s="59" t="n"/>
      <c r="V86" s="45">
        <f>IF(OR($A86="",$T86="",$T86="No Issue"),"",IF($T86="Resolved",IF($U86="","",$U86-$A86),TODAY()-$A86))</f>
        <v/>
      </c>
      <c r="W86" s="47">
        <f>IF(AND($C86&lt;&gt;"",$C86='Store History'!$C$4,OR('Store History'!$C$5="",$F86='Store History'!$C$5)),1,0)</f>
        <v/>
      </c>
      <c r="X86" s="47">
        <f>IF($W86=1,SUM($W86:$W$1005),"")</f>
        <v/>
      </c>
    </row>
    <row r="87">
      <c r="A87" s="59" t="n"/>
      <c r="B87" s="60" t="n"/>
      <c r="C87" s="60" t="n"/>
      <c r="D87" s="45">
        <f>IF($C87="","",IFERROR(INDEX('Chain Program'!$B$6:$B$120,MATCH($C87,'Chain Program'!$A$6:$A$120,0)),"Unknown ID"))</f>
        <v/>
      </c>
      <c r="E87" s="45">
        <f>IF($C87="","",IFERROR(INDEX('Chain Program'!$D$6:$D$120,MATCH($C87,'Chain Program'!$A$6:$A$120,0)),"Unknown ID"))</f>
        <v/>
      </c>
      <c r="F87" s="60" t="n"/>
      <c r="G87" s="60" t="n"/>
      <c r="H87" s="56">
        <f>IF(OR($C87="",$A87=""),"",IF(COUNTIFS('Promo Calendar'!$A$6:$A$400,$C87,'Promo Calendar'!$D$6:$D$400,IF($G87="","All",$G87),'Promo Calendar'!$I$6:$I$400,"&lt;="&amp;$A87,'Promo Calendar'!$J$6:$J$400,"&gt;="&amp;$A87,'Promo Calendar'!$G$6:$G$400,"&gt;0")&gt;0,_xlfn.MINIFS('Promo Calendar'!$G$6:$G$400,'Promo Calendar'!$A$6:$A$400,$C87,'Promo Calendar'!$D$6:$D$400,IF($G87="","All",$G87),'Promo Calendar'!$I$6:$I$400,"&lt;="&amp;$A87,'Promo Calendar'!$J$6:$J$400,"&gt;="&amp;$A87,'Promo Calendar'!$G$6:$G$400,"&gt;0"),IF(COUNTIFS('Promo Calendar'!$A$6:$A$400,$C87,'Promo Calendar'!$D$6:$D$400,"All",'Promo Calendar'!$I$6:$I$400,"&lt;="&amp;$A87,'Promo Calendar'!$J$6:$J$400,"&gt;="&amp;$A87,'Promo Calendar'!$G$6:$G$400,"&gt;0")&gt;0,_xlfn.MINIFS('Promo Calendar'!$G$6:$G$400,'Promo Calendar'!$A$6:$A$400,$C87,'Promo Calendar'!$D$6:$D$400,"All",'Promo Calendar'!$I$6:$I$400,"&lt;="&amp;$A87,'Promo Calendar'!$J$6:$J$400,"&gt;="&amp;$A87,'Promo Calendar'!$G$6:$G$400,"&gt;0"),IFERROR(IF(INDEX('Chain Program'!$M$6:$M$120,MATCH($C87,'Chain Program'!$A$6:$A$120,0))="","Not set",INDEX('Chain Program'!$M$6:$M$120,MATCH($C87,'Chain Program'!$A$6:$A$120,0))),"Not set"))))</f>
        <v/>
      </c>
      <c r="I87" s="61" t="n"/>
      <c r="J87" s="45">
        <f>IF($I87="","",IF(NOT(ISNUMBER($H87)),"No plan price",IF(ABS($I87-$H87)&lt;0.005,"Match",IF($I87&gt;$H87,"Over plan","Under plan"))))</f>
        <v/>
      </c>
      <c r="K87" s="60" t="n"/>
      <c r="L87" s="60" t="n"/>
      <c r="M87" s="60" t="n"/>
      <c r="N87" s="60" t="n"/>
      <c r="O87" s="60" t="n"/>
      <c r="P87" s="62" t="n"/>
      <c r="Q87" s="62" t="n"/>
      <c r="R87" s="60" t="n"/>
      <c r="S87" s="59" t="n"/>
      <c r="T87" s="60" t="n"/>
      <c r="U87" s="59" t="n"/>
      <c r="V87" s="45">
        <f>IF(OR($A87="",$T87="",$T87="No Issue"),"",IF($T87="Resolved",IF($U87="","",$U87-$A87),TODAY()-$A87))</f>
        <v/>
      </c>
      <c r="W87" s="47">
        <f>IF(AND($C87&lt;&gt;"",$C87='Store History'!$C$4,OR('Store History'!$C$5="",$F87='Store History'!$C$5)),1,0)</f>
        <v/>
      </c>
      <c r="X87" s="47">
        <f>IF($W87=1,SUM($W87:$W$1005),"")</f>
        <v/>
      </c>
    </row>
    <row r="88">
      <c r="A88" s="59" t="n"/>
      <c r="B88" s="60" t="n"/>
      <c r="C88" s="60" t="n"/>
      <c r="D88" s="45">
        <f>IF($C88="","",IFERROR(INDEX('Chain Program'!$B$6:$B$120,MATCH($C88,'Chain Program'!$A$6:$A$120,0)),"Unknown ID"))</f>
        <v/>
      </c>
      <c r="E88" s="45">
        <f>IF($C88="","",IFERROR(INDEX('Chain Program'!$D$6:$D$120,MATCH($C88,'Chain Program'!$A$6:$A$120,0)),"Unknown ID"))</f>
        <v/>
      </c>
      <c r="F88" s="60" t="n"/>
      <c r="G88" s="60" t="n"/>
      <c r="H88" s="56">
        <f>IF(OR($C88="",$A88=""),"",IF(COUNTIFS('Promo Calendar'!$A$6:$A$400,$C88,'Promo Calendar'!$D$6:$D$400,IF($G88="","All",$G88),'Promo Calendar'!$I$6:$I$400,"&lt;="&amp;$A88,'Promo Calendar'!$J$6:$J$400,"&gt;="&amp;$A88,'Promo Calendar'!$G$6:$G$400,"&gt;0")&gt;0,_xlfn.MINIFS('Promo Calendar'!$G$6:$G$400,'Promo Calendar'!$A$6:$A$400,$C88,'Promo Calendar'!$D$6:$D$400,IF($G88="","All",$G88),'Promo Calendar'!$I$6:$I$400,"&lt;="&amp;$A88,'Promo Calendar'!$J$6:$J$400,"&gt;="&amp;$A88,'Promo Calendar'!$G$6:$G$400,"&gt;0"),IF(COUNTIFS('Promo Calendar'!$A$6:$A$400,$C88,'Promo Calendar'!$D$6:$D$400,"All",'Promo Calendar'!$I$6:$I$400,"&lt;="&amp;$A88,'Promo Calendar'!$J$6:$J$400,"&gt;="&amp;$A88,'Promo Calendar'!$G$6:$G$400,"&gt;0")&gt;0,_xlfn.MINIFS('Promo Calendar'!$G$6:$G$400,'Promo Calendar'!$A$6:$A$400,$C88,'Promo Calendar'!$D$6:$D$400,"All",'Promo Calendar'!$I$6:$I$400,"&lt;="&amp;$A88,'Promo Calendar'!$J$6:$J$400,"&gt;="&amp;$A88,'Promo Calendar'!$G$6:$G$400,"&gt;0"),IFERROR(IF(INDEX('Chain Program'!$M$6:$M$120,MATCH($C88,'Chain Program'!$A$6:$A$120,0))="","Not set",INDEX('Chain Program'!$M$6:$M$120,MATCH($C88,'Chain Program'!$A$6:$A$120,0))),"Not set"))))</f>
        <v/>
      </c>
      <c r="I88" s="61" t="n"/>
      <c r="J88" s="45">
        <f>IF($I88="","",IF(NOT(ISNUMBER($H88)),"No plan price",IF(ABS($I88-$H88)&lt;0.005,"Match",IF($I88&gt;$H88,"Over plan","Under plan"))))</f>
        <v/>
      </c>
      <c r="K88" s="60" t="n"/>
      <c r="L88" s="60" t="n"/>
      <c r="M88" s="60" t="n"/>
      <c r="N88" s="60" t="n"/>
      <c r="O88" s="60" t="n"/>
      <c r="P88" s="62" t="n"/>
      <c r="Q88" s="62" t="n"/>
      <c r="R88" s="60" t="n"/>
      <c r="S88" s="59" t="n"/>
      <c r="T88" s="60" t="n"/>
      <c r="U88" s="59" t="n"/>
      <c r="V88" s="45">
        <f>IF(OR($A88="",$T88="",$T88="No Issue"),"",IF($T88="Resolved",IF($U88="","",$U88-$A88),TODAY()-$A88))</f>
        <v/>
      </c>
      <c r="W88" s="47">
        <f>IF(AND($C88&lt;&gt;"",$C88='Store History'!$C$4,OR('Store History'!$C$5="",$F88='Store History'!$C$5)),1,0)</f>
        <v/>
      </c>
      <c r="X88" s="47">
        <f>IF($W88=1,SUM($W88:$W$1005),"")</f>
        <v/>
      </c>
    </row>
    <row r="89">
      <c r="A89" s="59" t="n"/>
      <c r="B89" s="60" t="n"/>
      <c r="C89" s="60" t="n"/>
      <c r="D89" s="45">
        <f>IF($C89="","",IFERROR(INDEX('Chain Program'!$B$6:$B$120,MATCH($C89,'Chain Program'!$A$6:$A$120,0)),"Unknown ID"))</f>
        <v/>
      </c>
      <c r="E89" s="45">
        <f>IF($C89="","",IFERROR(INDEX('Chain Program'!$D$6:$D$120,MATCH($C89,'Chain Program'!$A$6:$A$120,0)),"Unknown ID"))</f>
        <v/>
      </c>
      <c r="F89" s="60" t="n"/>
      <c r="G89" s="60" t="n"/>
      <c r="H89" s="56">
        <f>IF(OR($C89="",$A89=""),"",IF(COUNTIFS('Promo Calendar'!$A$6:$A$400,$C89,'Promo Calendar'!$D$6:$D$400,IF($G89="","All",$G89),'Promo Calendar'!$I$6:$I$400,"&lt;="&amp;$A89,'Promo Calendar'!$J$6:$J$400,"&gt;="&amp;$A89,'Promo Calendar'!$G$6:$G$400,"&gt;0")&gt;0,_xlfn.MINIFS('Promo Calendar'!$G$6:$G$400,'Promo Calendar'!$A$6:$A$400,$C89,'Promo Calendar'!$D$6:$D$400,IF($G89="","All",$G89),'Promo Calendar'!$I$6:$I$400,"&lt;="&amp;$A89,'Promo Calendar'!$J$6:$J$400,"&gt;="&amp;$A89,'Promo Calendar'!$G$6:$G$400,"&gt;0"),IF(COUNTIFS('Promo Calendar'!$A$6:$A$400,$C89,'Promo Calendar'!$D$6:$D$400,"All",'Promo Calendar'!$I$6:$I$400,"&lt;="&amp;$A89,'Promo Calendar'!$J$6:$J$400,"&gt;="&amp;$A89,'Promo Calendar'!$G$6:$G$400,"&gt;0")&gt;0,_xlfn.MINIFS('Promo Calendar'!$G$6:$G$400,'Promo Calendar'!$A$6:$A$400,$C89,'Promo Calendar'!$D$6:$D$400,"All",'Promo Calendar'!$I$6:$I$400,"&lt;="&amp;$A89,'Promo Calendar'!$J$6:$J$400,"&gt;="&amp;$A89,'Promo Calendar'!$G$6:$G$400,"&gt;0"),IFERROR(IF(INDEX('Chain Program'!$M$6:$M$120,MATCH($C89,'Chain Program'!$A$6:$A$120,0))="","Not set",INDEX('Chain Program'!$M$6:$M$120,MATCH($C89,'Chain Program'!$A$6:$A$120,0))),"Not set"))))</f>
        <v/>
      </c>
      <c r="I89" s="61" t="n"/>
      <c r="J89" s="45">
        <f>IF($I89="","",IF(NOT(ISNUMBER($H89)),"No plan price",IF(ABS($I89-$H89)&lt;0.005,"Match",IF($I89&gt;$H89,"Over plan","Under plan"))))</f>
        <v/>
      </c>
      <c r="K89" s="60" t="n"/>
      <c r="L89" s="60" t="n"/>
      <c r="M89" s="60" t="n"/>
      <c r="N89" s="60" t="n"/>
      <c r="O89" s="60" t="n"/>
      <c r="P89" s="62" t="n"/>
      <c r="Q89" s="62" t="n"/>
      <c r="R89" s="60" t="n"/>
      <c r="S89" s="59" t="n"/>
      <c r="T89" s="60" t="n"/>
      <c r="U89" s="59" t="n"/>
      <c r="V89" s="45">
        <f>IF(OR($A89="",$T89="",$T89="No Issue"),"",IF($T89="Resolved",IF($U89="","",$U89-$A89),TODAY()-$A89))</f>
        <v/>
      </c>
      <c r="W89" s="47">
        <f>IF(AND($C89&lt;&gt;"",$C89='Store History'!$C$4,OR('Store History'!$C$5="",$F89='Store History'!$C$5)),1,0)</f>
        <v/>
      </c>
      <c r="X89" s="47">
        <f>IF($W89=1,SUM($W89:$W$1005),"")</f>
        <v/>
      </c>
    </row>
    <row r="90">
      <c r="A90" s="59" t="n"/>
      <c r="B90" s="60" t="n"/>
      <c r="C90" s="60" t="n"/>
      <c r="D90" s="45">
        <f>IF($C90="","",IFERROR(INDEX('Chain Program'!$B$6:$B$120,MATCH($C90,'Chain Program'!$A$6:$A$120,0)),"Unknown ID"))</f>
        <v/>
      </c>
      <c r="E90" s="45">
        <f>IF($C90="","",IFERROR(INDEX('Chain Program'!$D$6:$D$120,MATCH($C90,'Chain Program'!$A$6:$A$120,0)),"Unknown ID"))</f>
        <v/>
      </c>
      <c r="F90" s="60" t="n"/>
      <c r="G90" s="60" t="n"/>
      <c r="H90" s="56">
        <f>IF(OR($C90="",$A90=""),"",IF(COUNTIFS('Promo Calendar'!$A$6:$A$400,$C90,'Promo Calendar'!$D$6:$D$400,IF($G90="","All",$G90),'Promo Calendar'!$I$6:$I$400,"&lt;="&amp;$A90,'Promo Calendar'!$J$6:$J$400,"&gt;="&amp;$A90,'Promo Calendar'!$G$6:$G$400,"&gt;0")&gt;0,_xlfn.MINIFS('Promo Calendar'!$G$6:$G$400,'Promo Calendar'!$A$6:$A$400,$C90,'Promo Calendar'!$D$6:$D$400,IF($G90="","All",$G90),'Promo Calendar'!$I$6:$I$400,"&lt;="&amp;$A90,'Promo Calendar'!$J$6:$J$400,"&gt;="&amp;$A90,'Promo Calendar'!$G$6:$G$400,"&gt;0"),IF(COUNTIFS('Promo Calendar'!$A$6:$A$400,$C90,'Promo Calendar'!$D$6:$D$400,"All",'Promo Calendar'!$I$6:$I$400,"&lt;="&amp;$A90,'Promo Calendar'!$J$6:$J$400,"&gt;="&amp;$A90,'Promo Calendar'!$G$6:$G$400,"&gt;0")&gt;0,_xlfn.MINIFS('Promo Calendar'!$G$6:$G$400,'Promo Calendar'!$A$6:$A$400,$C90,'Promo Calendar'!$D$6:$D$400,"All",'Promo Calendar'!$I$6:$I$400,"&lt;="&amp;$A90,'Promo Calendar'!$J$6:$J$400,"&gt;="&amp;$A90,'Promo Calendar'!$G$6:$G$400,"&gt;0"),IFERROR(IF(INDEX('Chain Program'!$M$6:$M$120,MATCH($C90,'Chain Program'!$A$6:$A$120,0))="","Not set",INDEX('Chain Program'!$M$6:$M$120,MATCH($C90,'Chain Program'!$A$6:$A$120,0))),"Not set"))))</f>
        <v/>
      </c>
      <c r="I90" s="61" t="n"/>
      <c r="J90" s="45">
        <f>IF($I90="","",IF(NOT(ISNUMBER($H90)),"No plan price",IF(ABS($I90-$H90)&lt;0.005,"Match",IF($I90&gt;$H90,"Over plan","Under plan"))))</f>
        <v/>
      </c>
      <c r="K90" s="60" t="n"/>
      <c r="L90" s="60" t="n"/>
      <c r="M90" s="60" t="n"/>
      <c r="N90" s="60" t="n"/>
      <c r="O90" s="60" t="n"/>
      <c r="P90" s="62" t="n"/>
      <c r="Q90" s="62" t="n"/>
      <c r="R90" s="60" t="n"/>
      <c r="S90" s="59" t="n"/>
      <c r="T90" s="60" t="n"/>
      <c r="U90" s="59" t="n"/>
      <c r="V90" s="45">
        <f>IF(OR($A90="",$T90="",$T90="No Issue"),"",IF($T90="Resolved",IF($U90="","",$U90-$A90),TODAY()-$A90))</f>
        <v/>
      </c>
      <c r="W90" s="47">
        <f>IF(AND($C90&lt;&gt;"",$C90='Store History'!$C$4,OR('Store History'!$C$5="",$F90='Store History'!$C$5)),1,0)</f>
        <v/>
      </c>
      <c r="X90" s="47">
        <f>IF($W90=1,SUM($W90:$W$1005),"")</f>
        <v/>
      </c>
    </row>
    <row r="91">
      <c r="A91" s="59" t="n"/>
      <c r="B91" s="60" t="n"/>
      <c r="C91" s="60" t="n"/>
      <c r="D91" s="45">
        <f>IF($C91="","",IFERROR(INDEX('Chain Program'!$B$6:$B$120,MATCH($C91,'Chain Program'!$A$6:$A$120,0)),"Unknown ID"))</f>
        <v/>
      </c>
      <c r="E91" s="45">
        <f>IF($C91="","",IFERROR(INDEX('Chain Program'!$D$6:$D$120,MATCH($C91,'Chain Program'!$A$6:$A$120,0)),"Unknown ID"))</f>
        <v/>
      </c>
      <c r="F91" s="60" t="n"/>
      <c r="G91" s="60" t="n"/>
      <c r="H91" s="56">
        <f>IF(OR($C91="",$A91=""),"",IF(COUNTIFS('Promo Calendar'!$A$6:$A$400,$C91,'Promo Calendar'!$D$6:$D$400,IF($G91="","All",$G91),'Promo Calendar'!$I$6:$I$400,"&lt;="&amp;$A91,'Promo Calendar'!$J$6:$J$400,"&gt;="&amp;$A91,'Promo Calendar'!$G$6:$G$400,"&gt;0")&gt;0,_xlfn.MINIFS('Promo Calendar'!$G$6:$G$400,'Promo Calendar'!$A$6:$A$400,$C91,'Promo Calendar'!$D$6:$D$400,IF($G91="","All",$G91),'Promo Calendar'!$I$6:$I$400,"&lt;="&amp;$A91,'Promo Calendar'!$J$6:$J$400,"&gt;="&amp;$A91,'Promo Calendar'!$G$6:$G$400,"&gt;0"),IF(COUNTIFS('Promo Calendar'!$A$6:$A$400,$C91,'Promo Calendar'!$D$6:$D$400,"All",'Promo Calendar'!$I$6:$I$400,"&lt;="&amp;$A91,'Promo Calendar'!$J$6:$J$400,"&gt;="&amp;$A91,'Promo Calendar'!$G$6:$G$400,"&gt;0")&gt;0,_xlfn.MINIFS('Promo Calendar'!$G$6:$G$400,'Promo Calendar'!$A$6:$A$400,$C91,'Promo Calendar'!$D$6:$D$400,"All",'Promo Calendar'!$I$6:$I$400,"&lt;="&amp;$A91,'Promo Calendar'!$J$6:$J$400,"&gt;="&amp;$A91,'Promo Calendar'!$G$6:$G$400,"&gt;0"),IFERROR(IF(INDEX('Chain Program'!$M$6:$M$120,MATCH($C91,'Chain Program'!$A$6:$A$120,0))="","Not set",INDEX('Chain Program'!$M$6:$M$120,MATCH($C91,'Chain Program'!$A$6:$A$120,0))),"Not set"))))</f>
        <v/>
      </c>
      <c r="I91" s="61" t="n"/>
      <c r="J91" s="45">
        <f>IF($I91="","",IF(NOT(ISNUMBER($H91)),"No plan price",IF(ABS($I91-$H91)&lt;0.005,"Match",IF($I91&gt;$H91,"Over plan","Under plan"))))</f>
        <v/>
      </c>
      <c r="K91" s="60" t="n"/>
      <c r="L91" s="60" t="n"/>
      <c r="M91" s="60" t="n"/>
      <c r="N91" s="60" t="n"/>
      <c r="O91" s="60" t="n"/>
      <c r="P91" s="62" t="n"/>
      <c r="Q91" s="62" t="n"/>
      <c r="R91" s="60" t="n"/>
      <c r="S91" s="59" t="n"/>
      <c r="T91" s="60" t="n"/>
      <c r="U91" s="59" t="n"/>
      <c r="V91" s="45">
        <f>IF(OR($A91="",$T91="",$T91="No Issue"),"",IF($T91="Resolved",IF($U91="","",$U91-$A91),TODAY()-$A91))</f>
        <v/>
      </c>
      <c r="W91" s="47">
        <f>IF(AND($C91&lt;&gt;"",$C91='Store History'!$C$4,OR('Store History'!$C$5="",$F91='Store History'!$C$5)),1,0)</f>
        <v/>
      </c>
      <c r="X91" s="47">
        <f>IF($W91=1,SUM($W91:$W$1005),"")</f>
        <v/>
      </c>
    </row>
    <row r="92">
      <c r="A92" s="59" t="n"/>
      <c r="B92" s="60" t="n"/>
      <c r="C92" s="60" t="n"/>
      <c r="D92" s="45">
        <f>IF($C92="","",IFERROR(INDEX('Chain Program'!$B$6:$B$120,MATCH($C92,'Chain Program'!$A$6:$A$120,0)),"Unknown ID"))</f>
        <v/>
      </c>
      <c r="E92" s="45">
        <f>IF($C92="","",IFERROR(INDEX('Chain Program'!$D$6:$D$120,MATCH($C92,'Chain Program'!$A$6:$A$120,0)),"Unknown ID"))</f>
        <v/>
      </c>
      <c r="F92" s="60" t="n"/>
      <c r="G92" s="60" t="n"/>
      <c r="H92" s="56">
        <f>IF(OR($C92="",$A92=""),"",IF(COUNTIFS('Promo Calendar'!$A$6:$A$400,$C92,'Promo Calendar'!$D$6:$D$400,IF($G92="","All",$G92),'Promo Calendar'!$I$6:$I$400,"&lt;="&amp;$A92,'Promo Calendar'!$J$6:$J$400,"&gt;="&amp;$A92,'Promo Calendar'!$G$6:$G$400,"&gt;0")&gt;0,_xlfn.MINIFS('Promo Calendar'!$G$6:$G$400,'Promo Calendar'!$A$6:$A$400,$C92,'Promo Calendar'!$D$6:$D$400,IF($G92="","All",$G92),'Promo Calendar'!$I$6:$I$400,"&lt;="&amp;$A92,'Promo Calendar'!$J$6:$J$400,"&gt;="&amp;$A92,'Promo Calendar'!$G$6:$G$400,"&gt;0"),IF(COUNTIFS('Promo Calendar'!$A$6:$A$400,$C92,'Promo Calendar'!$D$6:$D$400,"All",'Promo Calendar'!$I$6:$I$400,"&lt;="&amp;$A92,'Promo Calendar'!$J$6:$J$400,"&gt;="&amp;$A92,'Promo Calendar'!$G$6:$G$400,"&gt;0")&gt;0,_xlfn.MINIFS('Promo Calendar'!$G$6:$G$400,'Promo Calendar'!$A$6:$A$400,$C92,'Promo Calendar'!$D$6:$D$400,"All",'Promo Calendar'!$I$6:$I$400,"&lt;="&amp;$A92,'Promo Calendar'!$J$6:$J$400,"&gt;="&amp;$A92,'Promo Calendar'!$G$6:$G$400,"&gt;0"),IFERROR(IF(INDEX('Chain Program'!$M$6:$M$120,MATCH($C92,'Chain Program'!$A$6:$A$120,0))="","Not set",INDEX('Chain Program'!$M$6:$M$120,MATCH($C92,'Chain Program'!$A$6:$A$120,0))),"Not set"))))</f>
        <v/>
      </c>
      <c r="I92" s="61" t="n"/>
      <c r="J92" s="45">
        <f>IF($I92="","",IF(NOT(ISNUMBER($H92)),"No plan price",IF(ABS($I92-$H92)&lt;0.005,"Match",IF($I92&gt;$H92,"Over plan","Under plan"))))</f>
        <v/>
      </c>
      <c r="K92" s="60" t="n"/>
      <c r="L92" s="60" t="n"/>
      <c r="M92" s="60" t="n"/>
      <c r="N92" s="60" t="n"/>
      <c r="O92" s="60" t="n"/>
      <c r="P92" s="62" t="n"/>
      <c r="Q92" s="62" t="n"/>
      <c r="R92" s="60" t="n"/>
      <c r="S92" s="59" t="n"/>
      <c r="T92" s="60" t="n"/>
      <c r="U92" s="59" t="n"/>
      <c r="V92" s="45">
        <f>IF(OR($A92="",$T92="",$T92="No Issue"),"",IF($T92="Resolved",IF($U92="","",$U92-$A92),TODAY()-$A92))</f>
        <v/>
      </c>
      <c r="W92" s="47">
        <f>IF(AND($C92&lt;&gt;"",$C92='Store History'!$C$4,OR('Store History'!$C$5="",$F92='Store History'!$C$5)),1,0)</f>
        <v/>
      </c>
      <c r="X92" s="47">
        <f>IF($W92=1,SUM($W92:$W$1005),"")</f>
        <v/>
      </c>
    </row>
    <row r="93">
      <c r="A93" s="59" t="n"/>
      <c r="B93" s="60" t="n"/>
      <c r="C93" s="60" t="n"/>
      <c r="D93" s="45">
        <f>IF($C93="","",IFERROR(INDEX('Chain Program'!$B$6:$B$120,MATCH($C93,'Chain Program'!$A$6:$A$120,0)),"Unknown ID"))</f>
        <v/>
      </c>
      <c r="E93" s="45">
        <f>IF($C93="","",IFERROR(INDEX('Chain Program'!$D$6:$D$120,MATCH($C93,'Chain Program'!$A$6:$A$120,0)),"Unknown ID"))</f>
        <v/>
      </c>
      <c r="F93" s="60" t="n"/>
      <c r="G93" s="60" t="n"/>
      <c r="H93" s="56">
        <f>IF(OR($C93="",$A93=""),"",IF(COUNTIFS('Promo Calendar'!$A$6:$A$400,$C93,'Promo Calendar'!$D$6:$D$400,IF($G93="","All",$G93),'Promo Calendar'!$I$6:$I$400,"&lt;="&amp;$A93,'Promo Calendar'!$J$6:$J$400,"&gt;="&amp;$A93,'Promo Calendar'!$G$6:$G$400,"&gt;0")&gt;0,_xlfn.MINIFS('Promo Calendar'!$G$6:$G$400,'Promo Calendar'!$A$6:$A$400,$C93,'Promo Calendar'!$D$6:$D$400,IF($G93="","All",$G93),'Promo Calendar'!$I$6:$I$400,"&lt;="&amp;$A93,'Promo Calendar'!$J$6:$J$400,"&gt;="&amp;$A93,'Promo Calendar'!$G$6:$G$400,"&gt;0"),IF(COUNTIFS('Promo Calendar'!$A$6:$A$400,$C93,'Promo Calendar'!$D$6:$D$400,"All",'Promo Calendar'!$I$6:$I$400,"&lt;="&amp;$A93,'Promo Calendar'!$J$6:$J$400,"&gt;="&amp;$A93,'Promo Calendar'!$G$6:$G$400,"&gt;0")&gt;0,_xlfn.MINIFS('Promo Calendar'!$G$6:$G$400,'Promo Calendar'!$A$6:$A$400,$C93,'Promo Calendar'!$D$6:$D$400,"All",'Promo Calendar'!$I$6:$I$400,"&lt;="&amp;$A93,'Promo Calendar'!$J$6:$J$400,"&gt;="&amp;$A93,'Promo Calendar'!$G$6:$G$400,"&gt;0"),IFERROR(IF(INDEX('Chain Program'!$M$6:$M$120,MATCH($C93,'Chain Program'!$A$6:$A$120,0))="","Not set",INDEX('Chain Program'!$M$6:$M$120,MATCH($C93,'Chain Program'!$A$6:$A$120,0))),"Not set"))))</f>
        <v/>
      </c>
      <c r="I93" s="61" t="n"/>
      <c r="J93" s="45">
        <f>IF($I93="","",IF(NOT(ISNUMBER($H93)),"No plan price",IF(ABS($I93-$H93)&lt;0.005,"Match",IF($I93&gt;$H93,"Over plan","Under plan"))))</f>
        <v/>
      </c>
      <c r="K93" s="60" t="n"/>
      <c r="L93" s="60" t="n"/>
      <c r="M93" s="60" t="n"/>
      <c r="N93" s="60" t="n"/>
      <c r="O93" s="60" t="n"/>
      <c r="P93" s="62" t="n"/>
      <c r="Q93" s="62" t="n"/>
      <c r="R93" s="60" t="n"/>
      <c r="S93" s="59" t="n"/>
      <c r="T93" s="60" t="n"/>
      <c r="U93" s="59" t="n"/>
      <c r="V93" s="45">
        <f>IF(OR($A93="",$T93="",$T93="No Issue"),"",IF($T93="Resolved",IF($U93="","",$U93-$A93),TODAY()-$A93))</f>
        <v/>
      </c>
      <c r="W93" s="47">
        <f>IF(AND($C93&lt;&gt;"",$C93='Store History'!$C$4,OR('Store History'!$C$5="",$F93='Store History'!$C$5)),1,0)</f>
        <v/>
      </c>
      <c r="X93" s="47">
        <f>IF($W93=1,SUM($W93:$W$1005),"")</f>
        <v/>
      </c>
    </row>
    <row r="94">
      <c r="A94" s="59" t="n"/>
      <c r="B94" s="60" t="n"/>
      <c r="C94" s="60" t="n"/>
      <c r="D94" s="45">
        <f>IF($C94="","",IFERROR(INDEX('Chain Program'!$B$6:$B$120,MATCH($C94,'Chain Program'!$A$6:$A$120,0)),"Unknown ID"))</f>
        <v/>
      </c>
      <c r="E94" s="45">
        <f>IF($C94="","",IFERROR(INDEX('Chain Program'!$D$6:$D$120,MATCH($C94,'Chain Program'!$A$6:$A$120,0)),"Unknown ID"))</f>
        <v/>
      </c>
      <c r="F94" s="60" t="n"/>
      <c r="G94" s="60" t="n"/>
      <c r="H94" s="56">
        <f>IF(OR($C94="",$A94=""),"",IF(COUNTIFS('Promo Calendar'!$A$6:$A$400,$C94,'Promo Calendar'!$D$6:$D$400,IF($G94="","All",$G94),'Promo Calendar'!$I$6:$I$400,"&lt;="&amp;$A94,'Promo Calendar'!$J$6:$J$400,"&gt;="&amp;$A94,'Promo Calendar'!$G$6:$G$400,"&gt;0")&gt;0,_xlfn.MINIFS('Promo Calendar'!$G$6:$G$400,'Promo Calendar'!$A$6:$A$400,$C94,'Promo Calendar'!$D$6:$D$400,IF($G94="","All",$G94),'Promo Calendar'!$I$6:$I$400,"&lt;="&amp;$A94,'Promo Calendar'!$J$6:$J$400,"&gt;="&amp;$A94,'Promo Calendar'!$G$6:$G$400,"&gt;0"),IF(COUNTIFS('Promo Calendar'!$A$6:$A$400,$C94,'Promo Calendar'!$D$6:$D$400,"All",'Promo Calendar'!$I$6:$I$400,"&lt;="&amp;$A94,'Promo Calendar'!$J$6:$J$400,"&gt;="&amp;$A94,'Promo Calendar'!$G$6:$G$400,"&gt;0")&gt;0,_xlfn.MINIFS('Promo Calendar'!$G$6:$G$400,'Promo Calendar'!$A$6:$A$400,$C94,'Promo Calendar'!$D$6:$D$400,"All",'Promo Calendar'!$I$6:$I$400,"&lt;="&amp;$A94,'Promo Calendar'!$J$6:$J$400,"&gt;="&amp;$A94,'Promo Calendar'!$G$6:$G$400,"&gt;0"),IFERROR(IF(INDEX('Chain Program'!$M$6:$M$120,MATCH($C94,'Chain Program'!$A$6:$A$120,0))="","Not set",INDEX('Chain Program'!$M$6:$M$120,MATCH($C94,'Chain Program'!$A$6:$A$120,0))),"Not set"))))</f>
        <v/>
      </c>
      <c r="I94" s="61" t="n"/>
      <c r="J94" s="45">
        <f>IF($I94="","",IF(NOT(ISNUMBER($H94)),"No plan price",IF(ABS($I94-$H94)&lt;0.005,"Match",IF($I94&gt;$H94,"Over plan","Under plan"))))</f>
        <v/>
      </c>
      <c r="K94" s="60" t="n"/>
      <c r="L94" s="60" t="n"/>
      <c r="M94" s="60" t="n"/>
      <c r="N94" s="60" t="n"/>
      <c r="O94" s="60" t="n"/>
      <c r="P94" s="62" t="n"/>
      <c r="Q94" s="62" t="n"/>
      <c r="R94" s="60" t="n"/>
      <c r="S94" s="59" t="n"/>
      <c r="T94" s="60" t="n"/>
      <c r="U94" s="59" t="n"/>
      <c r="V94" s="45">
        <f>IF(OR($A94="",$T94="",$T94="No Issue"),"",IF($T94="Resolved",IF($U94="","",$U94-$A94),TODAY()-$A94))</f>
        <v/>
      </c>
      <c r="W94" s="47">
        <f>IF(AND($C94&lt;&gt;"",$C94='Store History'!$C$4,OR('Store History'!$C$5="",$F94='Store History'!$C$5)),1,0)</f>
        <v/>
      </c>
      <c r="X94" s="47">
        <f>IF($W94=1,SUM($W94:$W$1005),"")</f>
        <v/>
      </c>
    </row>
    <row r="95">
      <c r="A95" s="59" t="n"/>
      <c r="B95" s="60" t="n"/>
      <c r="C95" s="60" t="n"/>
      <c r="D95" s="45">
        <f>IF($C95="","",IFERROR(INDEX('Chain Program'!$B$6:$B$120,MATCH($C95,'Chain Program'!$A$6:$A$120,0)),"Unknown ID"))</f>
        <v/>
      </c>
      <c r="E95" s="45">
        <f>IF($C95="","",IFERROR(INDEX('Chain Program'!$D$6:$D$120,MATCH($C95,'Chain Program'!$A$6:$A$120,0)),"Unknown ID"))</f>
        <v/>
      </c>
      <c r="F95" s="60" t="n"/>
      <c r="G95" s="60" t="n"/>
      <c r="H95" s="56">
        <f>IF(OR($C95="",$A95=""),"",IF(COUNTIFS('Promo Calendar'!$A$6:$A$400,$C95,'Promo Calendar'!$D$6:$D$400,IF($G95="","All",$G95),'Promo Calendar'!$I$6:$I$400,"&lt;="&amp;$A95,'Promo Calendar'!$J$6:$J$400,"&gt;="&amp;$A95,'Promo Calendar'!$G$6:$G$400,"&gt;0")&gt;0,_xlfn.MINIFS('Promo Calendar'!$G$6:$G$400,'Promo Calendar'!$A$6:$A$400,$C95,'Promo Calendar'!$D$6:$D$400,IF($G95="","All",$G95),'Promo Calendar'!$I$6:$I$400,"&lt;="&amp;$A95,'Promo Calendar'!$J$6:$J$400,"&gt;="&amp;$A95,'Promo Calendar'!$G$6:$G$400,"&gt;0"),IF(COUNTIFS('Promo Calendar'!$A$6:$A$400,$C95,'Promo Calendar'!$D$6:$D$400,"All",'Promo Calendar'!$I$6:$I$400,"&lt;="&amp;$A95,'Promo Calendar'!$J$6:$J$400,"&gt;="&amp;$A95,'Promo Calendar'!$G$6:$G$400,"&gt;0")&gt;0,_xlfn.MINIFS('Promo Calendar'!$G$6:$G$400,'Promo Calendar'!$A$6:$A$400,$C95,'Promo Calendar'!$D$6:$D$400,"All",'Promo Calendar'!$I$6:$I$400,"&lt;="&amp;$A95,'Promo Calendar'!$J$6:$J$400,"&gt;="&amp;$A95,'Promo Calendar'!$G$6:$G$400,"&gt;0"),IFERROR(IF(INDEX('Chain Program'!$M$6:$M$120,MATCH($C95,'Chain Program'!$A$6:$A$120,0))="","Not set",INDEX('Chain Program'!$M$6:$M$120,MATCH($C95,'Chain Program'!$A$6:$A$120,0))),"Not set"))))</f>
        <v/>
      </c>
      <c r="I95" s="61" t="n"/>
      <c r="J95" s="45">
        <f>IF($I95="","",IF(NOT(ISNUMBER($H95)),"No plan price",IF(ABS($I95-$H95)&lt;0.005,"Match",IF($I95&gt;$H95,"Over plan","Under plan"))))</f>
        <v/>
      </c>
      <c r="K95" s="60" t="n"/>
      <c r="L95" s="60" t="n"/>
      <c r="M95" s="60" t="n"/>
      <c r="N95" s="60" t="n"/>
      <c r="O95" s="60" t="n"/>
      <c r="P95" s="62" t="n"/>
      <c r="Q95" s="62" t="n"/>
      <c r="R95" s="60" t="n"/>
      <c r="S95" s="59" t="n"/>
      <c r="T95" s="60" t="n"/>
      <c r="U95" s="59" t="n"/>
      <c r="V95" s="45">
        <f>IF(OR($A95="",$T95="",$T95="No Issue"),"",IF($T95="Resolved",IF($U95="","",$U95-$A95),TODAY()-$A95))</f>
        <v/>
      </c>
      <c r="W95" s="47">
        <f>IF(AND($C95&lt;&gt;"",$C95='Store History'!$C$4,OR('Store History'!$C$5="",$F95='Store History'!$C$5)),1,0)</f>
        <v/>
      </c>
      <c r="X95" s="47">
        <f>IF($W95=1,SUM($W95:$W$1005),"")</f>
        <v/>
      </c>
    </row>
    <row r="96">
      <c r="A96" s="59" t="n"/>
      <c r="B96" s="60" t="n"/>
      <c r="C96" s="60" t="n"/>
      <c r="D96" s="45">
        <f>IF($C96="","",IFERROR(INDEX('Chain Program'!$B$6:$B$120,MATCH($C96,'Chain Program'!$A$6:$A$120,0)),"Unknown ID"))</f>
        <v/>
      </c>
      <c r="E96" s="45">
        <f>IF($C96="","",IFERROR(INDEX('Chain Program'!$D$6:$D$120,MATCH($C96,'Chain Program'!$A$6:$A$120,0)),"Unknown ID"))</f>
        <v/>
      </c>
      <c r="F96" s="60" t="n"/>
      <c r="G96" s="60" t="n"/>
      <c r="H96" s="56">
        <f>IF(OR($C96="",$A96=""),"",IF(COUNTIFS('Promo Calendar'!$A$6:$A$400,$C96,'Promo Calendar'!$D$6:$D$400,IF($G96="","All",$G96),'Promo Calendar'!$I$6:$I$400,"&lt;="&amp;$A96,'Promo Calendar'!$J$6:$J$400,"&gt;="&amp;$A96,'Promo Calendar'!$G$6:$G$400,"&gt;0")&gt;0,_xlfn.MINIFS('Promo Calendar'!$G$6:$G$400,'Promo Calendar'!$A$6:$A$400,$C96,'Promo Calendar'!$D$6:$D$400,IF($G96="","All",$G96),'Promo Calendar'!$I$6:$I$400,"&lt;="&amp;$A96,'Promo Calendar'!$J$6:$J$400,"&gt;="&amp;$A96,'Promo Calendar'!$G$6:$G$400,"&gt;0"),IF(COUNTIFS('Promo Calendar'!$A$6:$A$400,$C96,'Promo Calendar'!$D$6:$D$400,"All",'Promo Calendar'!$I$6:$I$400,"&lt;="&amp;$A96,'Promo Calendar'!$J$6:$J$400,"&gt;="&amp;$A96,'Promo Calendar'!$G$6:$G$400,"&gt;0")&gt;0,_xlfn.MINIFS('Promo Calendar'!$G$6:$G$400,'Promo Calendar'!$A$6:$A$400,$C96,'Promo Calendar'!$D$6:$D$400,"All",'Promo Calendar'!$I$6:$I$400,"&lt;="&amp;$A96,'Promo Calendar'!$J$6:$J$400,"&gt;="&amp;$A96,'Promo Calendar'!$G$6:$G$400,"&gt;0"),IFERROR(IF(INDEX('Chain Program'!$M$6:$M$120,MATCH($C96,'Chain Program'!$A$6:$A$120,0))="","Not set",INDEX('Chain Program'!$M$6:$M$120,MATCH($C96,'Chain Program'!$A$6:$A$120,0))),"Not set"))))</f>
        <v/>
      </c>
      <c r="I96" s="61" t="n"/>
      <c r="J96" s="45">
        <f>IF($I96="","",IF(NOT(ISNUMBER($H96)),"No plan price",IF(ABS($I96-$H96)&lt;0.005,"Match",IF($I96&gt;$H96,"Over plan","Under plan"))))</f>
        <v/>
      </c>
      <c r="K96" s="60" t="n"/>
      <c r="L96" s="60" t="n"/>
      <c r="M96" s="60" t="n"/>
      <c r="N96" s="60" t="n"/>
      <c r="O96" s="60" t="n"/>
      <c r="P96" s="62" t="n"/>
      <c r="Q96" s="62" t="n"/>
      <c r="R96" s="60" t="n"/>
      <c r="S96" s="59" t="n"/>
      <c r="T96" s="60" t="n"/>
      <c r="U96" s="59" t="n"/>
      <c r="V96" s="45">
        <f>IF(OR($A96="",$T96="",$T96="No Issue"),"",IF($T96="Resolved",IF($U96="","",$U96-$A96),TODAY()-$A96))</f>
        <v/>
      </c>
      <c r="W96" s="47">
        <f>IF(AND($C96&lt;&gt;"",$C96='Store History'!$C$4,OR('Store History'!$C$5="",$F96='Store History'!$C$5)),1,0)</f>
        <v/>
      </c>
      <c r="X96" s="47">
        <f>IF($W96=1,SUM($W96:$W$1005),"")</f>
        <v/>
      </c>
    </row>
    <row r="97">
      <c r="A97" s="59" t="n"/>
      <c r="B97" s="60" t="n"/>
      <c r="C97" s="60" t="n"/>
      <c r="D97" s="45">
        <f>IF($C97="","",IFERROR(INDEX('Chain Program'!$B$6:$B$120,MATCH($C97,'Chain Program'!$A$6:$A$120,0)),"Unknown ID"))</f>
        <v/>
      </c>
      <c r="E97" s="45">
        <f>IF($C97="","",IFERROR(INDEX('Chain Program'!$D$6:$D$120,MATCH($C97,'Chain Program'!$A$6:$A$120,0)),"Unknown ID"))</f>
        <v/>
      </c>
      <c r="F97" s="60" t="n"/>
      <c r="G97" s="60" t="n"/>
      <c r="H97" s="56">
        <f>IF(OR($C97="",$A97=""),"",IF(COUNTIFS('Promo Calendar'!$A$6:$A$400,$C97,'Promo Calendar'!$D$6:$D$400,IF($G97="","All",$G97),'Promo Calendar'!$I$6:$I$400,"&lt;="&amp;$A97,'Promo Calendar'!$J$6:$J$400,"&gt;="&amp;$A97,'Promo Calendar'!$G$6:$G$400,"&gt;0")&gt;0,_xlfn.MINIFS('Promo Calendar'!$G$6:$G$400,'Promo Calendar'!$A$6:$A$400,$C97,'Promo Calendar'!$D$6:$D$400,IF($G97="","All",$G97),'Promo Calendar'!$I$6:$I$400,"&lt;="&amp;$A97,'Promo Calendar'!$J$6:$J$400,"&gt;="&amp;$A97,'Promo Calendar'!$G$6:$G$400,"&gt;0"),IF(COUNTIFS('Promo Calendar'!$A$6:$A$400,$C97,'Promo Calendar'!$D$6:$D$400,"All",'Promo Calendar'!$I$6:$I$400,"&lt;="&amp;$A97,'Promo Calendar'!$J$6:$J$400,"&gt;="&amp;$A97,'Promo Calendar'!$G$6:$G$400,"&gt;0")&gt;0,_xlfn.MINIFS('Promo Calendar'!$G$6:$G$400,'Promo Calendar'!$A$6:$A$400,$C97,'Promo Calendar'!$D$6:$D$400,"All",'Promo Calendar'!$I$6:$I$400,"&lt;="&amp;$A97,'Promo Calendar'!$J$6:$J$400,"&gt;="&amp;$A97,'Promo Calendar'!$G$6:$G$400,"&gt;0"),IFERROR(IF(INDEX('Chain Program'!$M$6:$M$120,MATCH($C97,'Chain Program'!$A$6:$A$120,0))="","Not set",INDEX('Chain Program'!$M$6:$M$120,MATCH($C97,'Chain Program'!$A$6:$A$120,0))),"Not set"))))</f>
        <v/>
      </c>
      <c r="I97" s="61" t="n"/>
      <c r="J97" s="45">
        <f>IF($I97="","",IF(NOT(ISNUMBER($H97)),"No plan price",IF(ABS($I97-$H97)&lt;0.005,"Match",IF($I97&gt;$H97,"Over plan","Under plan"))))</f>
        <v/>
      </c>
      <c r="K97" s="60" t="n"/>
      <c r="L97" s="60" t="n"/>
      <c r="M97" s="60" t="n"/>
      <c r="N97" s="60" t="n"/>
      <c r="O97" s="60" t="n"/>
      <c r="P97" s="62" t="n"/>
      <c r="Q97" s="62" t="n"/>
      <c r="R97" s="60" t="n"/>
      <c r="S97" s="59" t="n"/>
      <c r="T97" s="60" t="n"/>
      <c r="U97" s="59" t="n"/>
      <c r="V97" s="45">
        <f>IF(OR($A97="",$T97="",$T97="No Issue"),"",IF($T97="Resolved",IF($U97="","",$U97-$A97),TODAY()-$A97))</f>
        <v/>
      </c>
      <c r="W97" s="47">
        <f>IF(AND($C97&lt;&gt;"",$C97='Store History'!$C$4,OR('Store History'!$C$5="",$F97='Store History'!$C$5)),1,0)</f>
        <v/>
      </c>
      <c r="X97" s="47">
        <f>IF($W97=1,SUM($W97:$W$1005),"")</f>
        <v/>
      </c>
    </row>
    <row r="98">
      <c r="A98" s="59" t="n"/>
      <c r="B98" s="60" t="n"/>
      <c r="C98" s="60" t="n"/>
      <c r="D98" s="45">
        <f>IF($C98="","",IFERROR(INDEX('Chain Program'!$B$6:$B$120,MATCH($C98,'Chain Program'!$A$6:$A$120,0)),"Unknown ID"))</f>
        <v/>
      </c>
      <c r="E98" s="45">
        <f>IF($C98="","",IFERROR(INDEX('Chain Program'!$D$6:$D$120,MATCH($C98,'Chain Program'!$A$6:$A$120,0)),"Unknown ID"))</f>
        <v/>
      </c>
      <c r="F98" s="60" t="n"/>
      <c r="G98" s="60" t="n"/>
      <c r="H98" s="56">
        <f>IF(OR($C98="",$A98=""),"",IF(COUNTIFS('Promo Calendar'!$A$6:$A$400,$C98,'Promo Calendar'!$D$6:$D$400,IF($G98="","All",$G98),'Promo Calendar'!$I$6:$I$400,"&lt;="&amp;$A98,'Promo Calendar'!$J$6:$J$400,"&gt;="&amp;$A98,'Promo Calendar'!$G$6:$G$400,"&gt;0")&gt;0,_xlfn.MINIFS('Promo Calendar'!$G$6:$G$400,'Promo Calendar'!$A$6:$A$400,$C98,'Promo Calendar'!$D$6:$D$400,IF($G98="","All",$G98),'Promo Calendar'!$I$6:$I$400,"&lt;="&amp;$A98,'Promo Calendar'!$J$6:$J$400,"&gt;="&amp;$A98,'Promo Calendar'!$G$6:$G$400,"&gt;0"),IF(COUNTIFS('Promo Calendar'!$A$6:$A$400,$C98,'Promo Calendar'!$D$6:$D$400,"All",'Promo Calendar'!$I$6:$I$400,"&lt;="&amp;$A98,'Promo Calendar'!$J$6:$J$400,"&gt;="&amp;$A98,'Promo Calendar'!$G$6:$G$400,"&gt;0")&gt;0,_xlfn.MINIFS('Promo Calendar'!$G$6:$G$400,'Promo Calendar'!$A$6:$A$400,$C98,'Promo Calendar'!$D$6:$D$400,"All",'Promo Calendar'!$I$6:$I$400,"&lt;="&amp;$A98,'Promo Calendar'!$J$6:$J$400,"&gt;="&amp;$A98,'Promo Calendar'!$G$6:$G$400,"&gt;0"),IFERROR(IF(INDEX('Chain Program'!$M$6:$M$120,MATCH($C98,'Chain Program'!$A$6:$A$120,0))="","Not set",INDEX('Chain Program'!$M$6:$M$120,MATCH($C98,'Chain Program'!$A$6:$A$120,0))),"Not set"))))</f>
        <v/>
      </c>
      <c r="I98" s="61" t="n"/>
      <c r="J98" s="45">
        <f>IF($I98="","",IF(NOT(ISNUMBER($H98)),"No plan price",IF(ABS($I98-$H98)&lt;0.005,"Match",IF($I98&gt;$H98,"Over plan","Under plan"))))</f>
        <v/>
      </c>
      <c r="K98" s="60" t="n"/>
      <c r="L98" s="60" t="n"/>
      <c r="M98" s="60" t="n"/>
      <c r="N98" s="60" t="n"/>
      <c r="O98" s="60" t="n"/>
      <c r="P98" s="62" t="n"/>
      <c r="Q98" s="62" t="n"/>
      <c r="R98" s="60" t="n"/>
      <c r="S98" s="59" t="n"/>
      <c r="T98" s="60" t="n"/>
      <c r="U98" s="59" t="n"/>
      <c r="V98" s="45">
        <f>IF(OR($A98="",$T98="",$T98="No Issue"),"",IF($T98="Resolved",IF($U98="","",$U98-$A98),TODAY()-$A98))</f>
        <v/>
      </c>
      <c r="W98" s="47">
        <f>IF(AND($C98&lt;&gt;"",$C98='Store History'!$C$4,OR('Store History'!$C$5="",$F98='Store History'!$C$5)),1,0)</f>
        <v/>
      </c>
      <c r="X98" s="47">
        <f>IF($W98=1,SUM($W98:$W$1005),"")</f>
        <v/>
      </c>
    </row>
    <row r="99">
      <c r="A99" s="59" t="n"/>
      <c r="B99" s="60" t="n"/>
      <c r="C99" s="60" t="n"/>
      <c r="D99" s="45">
        <f>IF($C99="","",IFERROR(INDEX('Chain Program'!$B$6:$B$120,MATCH($C99,'Chain Program'!$A$6:$A$120,0)),"Unknown ID"))</f>
        <v/>
      </c>
      <c r="E99" s="45">
        <f>IF($C99="","",IFERROR(INDEX('Chain Program'!$D$6:$D$120,MATCH($C99,'Chain Program'!$A$6:$A$120,0)),"Unknown ID"))</f>
        <v/>
      </c>
      <c r="F99" s="60" t="n"/>
      <c r="G99" s="60" t="n"/>
      <c r="H99" s="56">
        <f>IF(OR($C99="",$A99=""),"",IF(COUNTIFS('Promo Calendar'!$A$6:$A$400,$C99,'Promo Calendar'!$D$6:$D$400,IF($G99="","All",$G99),'Promo Calendar'!$I$6:$I$400,"&lt;="&amp;$A99,'Promo Calendar'!$J$6:$J$400,"&gt;="&amp;$A99,'Promo Calendar'!$G$6:$G$400,"&gt;0")&gt;0,_xlfn.MINIFS('Promo Calendar'!$G$6:$G$400,'Promo Calendar'!$A$6:$A$400,$C99,'Promo Calendar'!$D$6:$D$400,IF($G99="","All",$G99),'Promo Calendar'!$I$6:$I$400,"&lt;="&amp;$A99,'Promo Calendar'!$J$6:$J$400,"&gt;="&amp;$A99,'Promo Calendar'!$G$6:$G$400,"&gt;0"),IF(COUNTIFS('Promo Calendar'!$A$6:$A$400,$C99,'Promo Calendar'!$D$6:$D$400,"All",'Promo Calendar'!$I$6:$I$400,"&lt;="&amp;$A99,'Promo Calendar'!$J$6:$J$400,"&gt;="&amp;$A99,'Promo Calendar'!$G$6:$G$400,"&gt;0")&gt;0,_xlfn.MINIFS('Promo Calendar'!$G$6:$G$400,'Promo Calendar'!$A$6:$A$400,$C99,'Promo Calendar'!$D$6:$D$400,"All",'Promo Calendar'!$I$6:$I$400,"&lt;="&amp;$A99,'Promo Calendar'!$J$6:$J$400,"&gt;="&amp;$A99,'Promo Calendar'!$G$6:$G$400,"&gt;0"),IFERROR(IF(INDEX('Chain Program'!$M$6:$M$120,MATCH($C99,'Chain Program'!$A$6:$A$120,0))="","Not set",INDEX('Chain Program'!$M$6:$M$120,MATCH($C99,'Chain Program'!$A$6:$A$120,0))),"Not set"))))</f>
        <v/>
      </c>
      <c r="I99" s="61" t="n"/>
      <c r="J99" s="45">
        <f>IF($I99="","",IF(NOT(ISNUMBER($H99)),"No plan price",IF(ABS($I99-$H99)&lt;0.005,"Match",IF($I99&gt;$H99,"Over plan","Under plan"))))</f>
        <v/>
      </c>
      <c r="K99" s="60" t="n"/>
      <c r="L99" s="60" t="n"/>
      <c r="M99" s="60" t="n"/>
      <c r="N99" s="60" t="n"/>
      <c r="O99" s="60" t="n"/>
      <c r="P99" s="62" t="n"/>
      <c r="Q99" s="62" t="n"/>
      <c r="R99" s="60" t="n"/>
      <c r="S99" s="59" t="n"/>
      <c r="T99" s="60" t="n"/>
      <c r="U99" s="59" t="n"/>
      <c r="V99" s="45">
        <f>IF(OR($A99="",$T99="",$T99="No Issue"),"",IF($T99="Resolved",IF($U99="","",$U99-$A99),TODAY()-$A99))</f>
        <v/>
      </c>
      <c r="W99" s="47">
        <f>IF(AND($C99&lt;&gt;"",$C99='Store History'!$C$4,OR('Store History'!$C$5="",$F99='Store History'!$C$5)),1,0)</f>
        <v/>
      </c>
      <c r="X99" s="47">
        <f>IF($W99=1,SUM($W99:$W$1005),"")</f>
        <v/>
      </c>
    </row>
    <row r="100">
      <c r="A100" s="59" t="n"/>
      <c r="B100" s="60" t="n"/>
      <c r="C100" s="60" t="n"/>
      <c r="D100" s="45">
        <f>IF($C100="","",IFERROR(INDEX('Chain Program'!$B$6:$B$120,MATCH($C100,'Chain Program'!$A$6:$A$120,0)),"Unknown ID"))</f>
        <v/>
      </c>
      <c r="E100" s="45">
        <f>IF($C100="","",IFERROR(INDEX('Chain Program'!$D$6:$D$120,MATCH($C100,'Chain Program'!$A$6:$A$120,0)),"Unknown ID"))</f>
        <v/>
      </c>
      <c r="F100" s="60" t="n"/>
      <c r="G100" s="60" t="n"/>
      <c r="H100" s="56">
        <f>IF(OR($C100="",$A100=""),"",IF(COUNTIFS('Promo Calendar'!$A$6:$A$400,$C100,'Promo Calendar'!$D$6:$D$400,IF($G100="","All",$G100),'Promo Calendar'!$I$6:$I$400,"&lt;="&amp;$A100,'Promo Calendar'!$J$6:$J$400,"&gt;="&amp;$A100,'Promo Calendar'!$G$6:$G$400,"&gt;0")&gt;0,_xlfn.MINIFS('Promo Calendar'!$G$6:$G$400,'Promo Calendar'!$A$6:$A$400,$C100,'Promo Calendar'!$D$6:$D$400,IF($G100="","All",$G100),'Promo Calendar'!$I$6:$I$400,"&lt;="&amp;$A100,'Promo Calendar'!$J$6:$J$400,"&gt;="&amp;$A100,'Promo Calendar'!$G$6:$G$400,"&gt;0"),IF(COUNTIFS('Promo Calendar'!$A$6:$A$400,$C100,'Promo Calendar'!$D$6:$D$400,"All",'Promo Calendar'!$I$6:$I$400,"&lt;="&amp;$A100,'Promo Calendar'!$J$6:$J$400,"&gt;="&amp;$A100,'Promo Calendar'!$G$6:$G$400,"&gt;0")&gt;0,_xlfn.MINIFS('Promo Calendar'!$G$6:$G$400,'Promo Calendar'!$A$6:$A$400,$C100,'Promo Calendar'!$D$6:$D$400,"All",'Promo Calendar'!$I$6:$I$400,"&lt;="&amp;$A100,'Promo Calendar'!$J$6:$J$400,"&gt;="&amp;$A100,'Promo Calendar'!$G$6:$G$400,"&gt;0"),IFERROR(IF(INDEX('Chain Program'!$M$6:$M$120,MATCH($C100,'Chain Program'!$A$6:$A$120,0))="","Not set",INDEX('Chain Program'!$M$6:$M$120,MATCH($C100,'Chain Program'!$A$6:$A$120,0))),"Not set"))))</f>
        <v/>
      </c>
      <c r="I100" s="61" t="n"/>
      <c r="J100" s="45">
        <f>IF($I100="","",IF(NOT(ISNUMBER($H100)),"No plan price",IF(ABS($I100-$H100)&lt;0.005,"Match",IF($I100&gt;$H100,"Over plan","Under plan"))))</f>
        <v/>
      </c>
      <c r="K100" s="60" t="n"/>
      <c r="L100" s="60" t="n"/>
      <c r="M100" s="60" t="n"/>
      <c r="N100" s="60" t="n"/>
      <c r="O100" s="60" t="n"/>
      <c r="P100" s="62" t="n"/>
      <c r="Q100" s="62" t="n"/>
      <c r="R100" s="60" t="n"/>
      <c r="S100" s="59" t="n"/>
      <c r="T100" s="60" t="n"/>
      <c r="U100" s="59" t="n"/>
      <c r="V100" s="45">
        <f>IF(OR($A100="",$T100="",$T100="No Issue"),"",IF($T100="Resolved",IF($U100="","",$U100-$A100),TODAY()-$A100))</f>
        <v/>
      </c>
      <c r="W100" s="47">
        <f>IF(AND($C100&lt;&gt;"",$C100='Store History'!$C$4,OR('Store History'!$C$5="",$F100='Store History'!$C$5)),1,0)</f>
        <v/>
      </c>
      <c r="X100" s="47">
        <f>IF($W100=1,SUM($W100:$W$1005),"")</f>
        <v/>
      </c>
    </row>
    <row r="101">
      <c r="A101" s="59" t="n"/>
      <c r="B101" s="60" t="n"/>
      <c r="C101" s="60" t="n"/>
      <c r="D101" s="45">
        <f>IF($C101="","",IFERROR(INDEX('Chain Program'!$B$6:$B$120,MATCH($C101,'Chain Program'!$A$6:$A$120,0)),"Unknown ID"))</f>
        <v/>
      </c>
      <c r="E101" s="45">
        <f>IF($C101="","",IFERROR(INDEX('Chain Program'!$D$6:$D$120,MATCH($C101,'Chain Program'!$A$6:$A$120,0)),"Unknown ID"))</f>
        <v/>
      </c>
      <c r="F101" s="60" t="n"/>
      <c r="G101" s="60" t="n"/>
      <c r="H101" s="56">
        <f>IF(OR($C101="",$A101=""),"",IF(COUNTIFS('Promo Calendar'!$A$6:$A$400,$C101,'Promo Calendar'!$D$6:$D$400,IF($G101="","All",$G101),'Promo Calendar'!$I$6:$I$400,"&lt;="&amp;$A101,'Promo Calendar'!$J$6:$J$400,"&gt;="&amp;$A101,'Promo Calendar'!$G$6:$G$400,"&gt;0")&gt;0,_xlfn.MINIFS('Promo Calendar'!$G$6:$G$400,'Promo Calendar'!$A$6:$A$400,$C101,'Promo Calendar'!$D$6:$D$400,IF($G101="","All",$G101),'Promo Calendar'!$I$6:$I$400,"&lt;="&amp;$A101,'Promo Calendar'!$J$6:$J$400,"&gt;="&amp;$A101,'Promo Calendar'!$G$6:$G$400,"&gt;0"),IF(COUNTIFS('Promo Calendar'!$A$6:$A$400,$C101,'Promo Calendar'!$D$6:$D$400,"All",'Promo Calendar'!$I$6:$I$400,"&lt;="&amp;$A101,'Promo Calendar'!$J$6:$J$400,"&gt;="&amp;$A101,'Promo Calendar'!$G$6:$G$400,"&gt;0")&gt;0,_xlfn.MINIFS('Promo Calendar'!$G$6:$G$400,'Promo Calendar'!$A$6:$A$400,$C101,'Promo Calendar'!$D$6:$D$400,"All",'Promo Calendar'!$I$6:$I$400,"&lt;="&amp;$A101,'Promo Calendar'!$J$6:$J$400,"&gt;="&amp;$A101,'Promo Calendar'!$G$6:$G$400,"&gt;0"),IFERROR(IF(INDEX('Chain Program'!$M$6:$M$120,MATCH($C101,'Chain Program'!$A$6:$A$120,0))="","Not set",INDEX('Chain Program'!$M$6:$M$120,MATCH($C101,'Chain Program'!$A$6:$A$120,0))),"Not set"))))</f>
        <v/>
      </c>
      <c r="I101" s="61" t="n"/>
      <c r="J101" s="45">
        <f>IF($I101="","",IF(NOT(ISNUMBER($H101)),"No plan price",IF(ABS($I101-$H101)&lt;0.005,"Match",IF($I101&gt;$H101,"Over plan","Under plan"))))</f>
        <v/>
      </c>
      <c r="K101" s="60" t="n"/>
      <c r="L101" s="60" t="n"/>
      <c r="M101" s="60" t="n"/>
      <c r="N101" s="60" t="n"/>
      <c r="O101" s="60" t="n"/>
      <c r="P101" s="62" t="n"/>
      <c r="Q101" s="62" t="n"/>
      <c r="R101" s="60" t="n"/>
      <c r="S101" s="59" t="n"/>
      <c r="T101" s="60" t="n"/>
      <c r="U101" s="59" t="n"/>
      <c r="V101" s="45">
        <f>IF(OR($A101="",$T101="",$T101="No Issue"),"",IF($T101="Resolved",IF($U101="","",$U101-$A101),TODAY()-$A101))</f>
        <v/>
      </c>
      <c r="W101" s="47">
        <f>IF(AND($C101&lt;&gt;"",$C101='Store History'!$C$4,OR('Store History'!$C$5="",$F101='Store History'!$C$5)),1,0)</f>
        <v/>
      </c>
      <c r="X101" s="47">
        <f>IF($W101=1,SUM($W101:$W$1005),"")</f>
        <v/>
      </c>
    </row>
    <row r="102">
      <c r="A102" s="59" t="n"/>
      <c r="B102" s="60" t="n"/>
      <c r="C102" s="60" t="n"/>
      <c r="D102" s="45">
        <f>IF($C102="","",IFERROR(INDEX('Chain Program'!$B$6:$B$120,MATCH($C102,'Chain Program'!$A$6:$A$120,0)),"Unknown ID"))</f>
        <v/>
      </c>
      <c r="E102" s="45">
        <f>IF($C102="","",IFERROR(INDEX('Chain Program'!$D$6:$D$120,MATCH($C102,'Chain Program'!$A$6:$A$120,0)),"Unknown ID"))</f>
        <v/>
      </c>
      <c r="F102" s="60" t="n"/>
      <c r="G102" s="60" t="n"/>
      <c r="H102" s="56">
        <f>IF(OR($C102="",$A102=""),"",IF(COUNTIFS('Promo Calendar'!$A$6:$A$400,$C102,'Promo Calendar'!$D$6:$D$400,IF($G102="","All",$G102),'Promo Calendar'!$I$6:$I$400,"&lt;="&amp;$A102,'Promo Calendar'!$J$6:$J$400,"&gt;="&amp;$A102,'Promo Calendar'!$G$6:$G$400,"&gt;0")&gt;0,_xlfn.MINIFS('Promo Calendar'!$G$6:$G$400,'Promo Calendar'!$A$6:$A$400,$C102,'Promo Calendar'!$D$6:$D$400,IF($G102="","All",$G102),'Promo Calendar'!$I$6:$I$400,"&lt;="&amp;$A102,'Promo Calendar'!$J$6:$J$400,"&gt;="&amp;$A102,'Promo Calendar'!$G$6:$G$400,"&gt;0"),IF(COUNTIFS('Promo Calendar'!$A$6:$A$400,$C102,'Promo Calendar'!$D$6:$D$400,"All",'Promo Calendar'!$I$6:$I$400,"&lt;="&amp;$A102,'Promo Calendar'!$J$6:$J$400,"&gt;="&amp;$A102,'Promo Calendar'!$G$6:$G$400,"&gt;0")&gt;0,_xlfn.MINIFS('Promo Calendar'!$G$6:$G$400,'Promo Calendar'!$A$6:$A$400,$C102,'Promo Calendar'!$D$6:$D$400,"All",'Promo Calendar'!$I$6:$I$400,"&lt;="&amp;$A102,'Promo Calendar'!$J$6:$J$400,"&gt;="&amp;$A102,'Promo Calendar'!$G$6:$G$400,"&gt;0"),IFERROR(IF(INDEX('Chain Program'!$M$6:$M$120,MATCH($C102,'Chain Program'!$A$6:$A$120,0))="","Not set",INDEX('Chain Program'!$M$6:$M$120,MATCH($C102,'Chain Program'!$A$6:$A$120,0))),"Not set"))))</f>
        <v/>
      </c>
      <c r="I102" s="61" t="n"/>
      <c r="J102" s="45">
        <f>IF($I102="","",IF(NOT(ISNUMBER($H102)),"No plan price",IF(ABS($I102-$H102)&lt;0.005,"Match",IF($I102&gt;$H102,"Over plan","Under plan"))))</f>
        <v/>
      </c>
      <c r="K102" s="60" t="n"/>
      <c r="L102" s="60" t="n"/>
      <c r="M102" s="60" t="n"/>
      <c r="N102" s="60" t="n"/>
      <c r="O102" s="60" t="n"/>
      <c r="P102" s="62" t="n"/>
      <c r="Q102" s="62" t="n"/>
      <c r="R102" s="60" t="n"/>
      <c r="S102" s="59" t="n"/>
      <c r="T102" s="60" t="n"/>
      <c r="U102" s="59" t="n"/>
      <c r="V102" s="45">
        <f>IF(OR($A102="",$T102="",$T102="No Issue"),"",IF($T102="Resolved",IF($U102="","",$U102-$A102),TODAY()-$A102))</f>
        <v/>
      </c>
      <c r="W102" s="47">
        <f>IF(AND($C102&lt;&gt;"",$C102='Store History'!$C$4,OR('Store History'!$C$5="",$F102='Store History'!$C$5)),1,0)</f>
        <v/>
      </c>
      <c r="X102" s="47">
        <f>IF($W102=1,SUM($W102:$W$1005),"")</f>
        <v/>
      </c>
    </row>
    <row r="103">
      <c r="A103" s="59" t="n"/>
      <c r="B103" s="60" t="n"/>
      <c r="C103" s="60" t="n"/>
      <c r="D103" s="45">
        <f>IF($C103="","",IFERROR(INDEX('Chain Program'!$B$6:$B$120,MATCH($C103,'Chain Program'!$A$6:$A$120,0)),"Unknown ID"))</f>
        <v/>
      </c>
      <c r="E103" s="45">
        <f>IF($C103="","",IFERROR(INDEX('Chain Program'!$D$6:$D$120,MATCH($C103,'Chain Program'!$A$6:$A$120,0)),"Unknown ID"))</f>
        <v/>
      </c>
      <c r="F103" s="60" t="n"/>
      <c r="G103" s="60" t="n"/>
      <c r="H103" s="56">
        <f>IF(OR($C103="",$A103=""),"",IF(COUNTIFS('Promo Calendar'!$A$6:$A$400,$C103,'Promo Calendar'!$D$6:$D$400,IF($G103="","All",$G103),'Promo Calendar'!$I$6:$I$400,"&lt;="&amp;$A103,'Promo Calendar'!$J$6:$J$400,"&gt;="&amp;$A103,'Promo Calendar'!$G$6:$G$400,"&gt;0")&gt;0,_xlfn.MINIFS('Promo Calendar'!$G$6:$G$400,'Promo Calendar'!$A$6:$A$400,$C103,'Promo Calendar'!$D$6:$D$400,IF($G103="","All",$G103),'Promo Calendar'!$I$6:$I$400,"&lt;="&amp;$A103,'Promo Calendar'!$J$6:$J$400,"&gt;="&amp;$A103,'Promo Calendar'!$G$6:$G$400,"&gt;0"),IF(COUNTIFS('Promo Calendar'!$A$6:$A$400,$C103,'Promo Calendar'!$D$6:$D$400,"All",'Promo Calendar'!$I$6:$I$400,"&lt;="&amp;$A103,'Promo Calendar'!$J$6:$J$400,"&gt;="&amp;$A103,'Promo Calendar'!$G$6:$G$400,"&gt;0")&gt;0,_xlfn.MINIFS('Promo Calendar'!$G$6:$G$400,'Promo Calendar'!$A$6:$A$400,$C103,'Promo Calendar'!$D$6:$D$400,"All",'Promo Calendar'!$I$6:$I$400,"&lt;="&amp;$A103,'Promo Calendar'!$J$6:$J$400,"&gt;="&amp;$A103,'Promo Calendar'!$G$6:$G$400,"&gt;0"),IFERROR(IF(INDEX('Chain Program'!$M$6:$M$120,MATCH($C103,'Chain Program'!$A$6:$A$120,0))="","Not set",INDEX('Chain Program'!$M$6:$M$120,MATCH($C103,'Chain Program'!$A$6:$A$120,0))),"Not set"))))</f>
        <v/>
      </c>
      <c r="I103" s="61" t="n"/>
      <c r="J103" s="45">
        <f>IF($I103="","",IF(NOT(ISNUMBER($H103)),"No plan price",IF(ABS($I103-$H103)&lt;0.005,"Match",IF($I103&gt;$H103,"Over plan","Under plan"))))</f>
        <v/>
      </c>
      <c r="K103" s="60" t="n"/>
      <c r="L103" s="60" t="n"/>
      <c r="M103" s="60" t="n"/>
      <c r="N103" s="60" t="n"/>
      <c r="O103" s="60" t="n"/>
      <c r="P103" s="62" t="n"/>
      <c r="Q103" s="62" t="n"/>
      <c r="R103" s="60" t="n"/>
      <c r="S103" s="59" t="n"/>
      <c r="T103" s="60" t="n"/>
      <c r="U103" s="59" t="n"/>
      <c r="V103" s="45">
        <f>IF(OR($A103="",$T103="",$T103="No Issue"),"",IF($T103="Resolved",IF($U103="","",$U103-$A103),TODAY()-$A103))</f>
        <v/>
      </c>
      <c r="W103" s="47">
        <f>IF(AND($C103&lt;&gt;"",$C103='Store History'!$C$4,OR('Store History'!$C$5="",$F103='Store History'!$C$5)),1,0)</f>
        <v/>
      </c>
      <c r="X103" s="47">
        <f>IF($W103=1,SUM($W103:$W$1005),"")</f>
        <v/>
      </c>
    </row>
    <row r="104">
      <c r="A104" s="59" t="n"/>
      <c r="B104" s="60" t="n"/>
      <c r="C104" s="60" t="n"/>
      <c r="D104" s="45">
        <f>IF($C104="","",IFERROR(INDEX('Chain Program'!$B$6:$B$120,MATCH($C104,'Chain Program'!$A$6:$A$120,0)),"Unknown ID"))</f>
        <v/>
      </c>
      <c r="E104" s="45">
        <f>IF($C104="","",IFERROR(INDEX('Chain Program'!$D$6:$D$120,MATCH($C104,'Chain Program'!$A$6:$A$120,0)),"Unknown ID"))</f>
        <v/>
      </c>
      <c r="F104" s="60" t="n"/>
      <c r="G104" s="60" t="n"/>
      <c r="H104" s="56">
        <f>IF(OR($C104="",$A104=""),"",IF(COUNTIFS('Promo Calendar'!$A$6:$A$400,$C104,'Promo Calendar'!$D$6:$D$400,IF($G104="","All",$G104),'Promo Calendar'!$I$6:$I$400,"&lt;="&amp;$A104,'Promo Calendar'!$J$6:$J$400,"&gt;="&amp;$A104,'Promo Calendar'!$G$6:$G$400,"&gt;0")&gt;0,_xlfn.MINIFS('Promo Calendar'!$G$6:$G$400,'Promo Calendar'!$A$6:$A$400,$C104,'Promo Calendar'!$D$6:$D$400,IF($G104="","All",$G104),'Promo Calendar'!$I$6:$I$400,"&lt;="&amp;$A104,'Promo Calendar'!$J$6:$J$400,"&gt;="&amp;$A104,'Promo Calendar'!$G$6:$G$400,"&gt;0"),IF(COUNTIFS('Promo Calendar'!$A$6:$A$400,$C104,'Promo Calendar'!$D$6:$D$400,"All",'Promo Calendar'!$I$6:$I$400,"&lt;="&amp;$A104,'Promo Calendar'!$J$6:$J$400,"&gt;="&amp;$A104,'Promo Calendar'!$G$6:$G$400,"&gt;0")&gt;0,_xlfn.MINIFS('Promo Calendar'!$G$6:$G$400,'Promo Calendar'!$A$6:$A$400,$C104,'Promo Calendar'!$D$6:$D$400,"All",'Promo Calendar'!$I$6:$I$400,"&lt;="&amp;$A104,'Promo Calendar'!$J$6:$J$400,"&gt;="&amp;$A104,'Promo Calendar'!$G$6:$G$400,"&gt;0"),IFERROR(IF(INDEX('Chain Program'!$M$6:$M$120,MATCH($C104,'Chain Program'!$A$6:$A$120,0))="","Not set",INDEX('Chain Program'!$M$6:$M$120,MATCH($C104,'Chain Program'!$A$6:$A$120,0))),"Not set"))))</f>
        <v/>
      </c>
      <c r="I104" s="61" t="n"/>
      <c r="J104" s="45">
        <f>IF($I104="","",IF(NOT(ISNUMBER($H104)),"No plan price",IF(ABS($I104-$H104)&lt;0.005,"Match",IF($I104&gt;$H104,"Over plan","Under plan"))))</f>
        <v/>
      </c>
      <c r="K104" s="60" t="n"/>
      <c r="L104" s="60" t="n"/>
      <c r="M104" s="60" t="n"/>
      <c r="N104" s="60" t="n"/>
      <c r="O104" s="60" t="n"/>
      <c r="P104" s="62" t="n"/>
      <c r="Q104" s="62" t="n"/>
      <c r="R104" s="60" t="n"/>
      <c r="S104" s="59" t="n"/>
      <c r="T104" s="60" t="n"/>
      <c r="U104" s="59" t="n"/>
      <c r="V104" s="45">
        <f>IF(OR($A104="",$T104="",$T104="No Issue"),"",IF($T104="Resolved",IF($U104="","",$U104-$A104),TODAY()-$A104))</f>
        <v/>
      </c>
      <c r="W104" s="47">
        <f>IF(AND($C104&lt;&gt;"",$C104='Store History'!$C$4,OR('Store History'!$C$5="",$F104='Store History'!$C$5)),1,0)</f>
        <v/>
      </c>
      <c r="X104" s="47">
        <f>IF($W104=1,SUM($W104:$W$1005),"")</f>
        <v/>
      </c>
    </row>
    <row r="105">
      <c r="A105" s="59" t="n"/>
      <c r="B105" s="60" t="n"/>
      <c r="C105" s="60" t="n"/>
      <c r="D105" s="45">
        <f>IF($C105="","",IFERROR(INDEX('Chain Program'!$B$6:$B$120,MATCH($C105,'Chain Program'!$A$6:$A$120,0)),"Unknown ID"))</f>
        <v/>
      </c>
      <c r="E105" s="45">
        <f>IF($C105="","",IFERROR(INDEX('Chain Program'!$D$6:$D$120,MATCH($C105,'Chain Program'!$A$6:$A$120,0)),"Unknown ID"))</f>
        <v/>
      </c>
      <c r="F105" s="60" t="n"/>
      <c r="G105" s="60" t="n"/>
      <c r="H105" s="56">
        <f>IF(OR($C105="",$A105=""),"",IF(COUNTIFS('Promo Calendar'!$A$6:$A$400,$C105,'Promo Calendar'!$D$6:$D$400,IF($G105="","All",$G105),'Promo Calendar'!$I$6:$I$400,"&lt;="&amp;$A105,'Promo Calendar'!$J$6:$J$400,"&gt;="&amp;$A105,'Promo Calendar'!$G$6:$G$400,"&gt;0")&gt;0,_xlfn.MINIFS('Promo Calendar'!$G$6:$G$400,'Promo Calendar'!$A$6:$A$400,$C105,'Promo Calendar'!$D$6:$D$400,IF($G105="","All",$G105),'Promo Calendar'!$I$6:$I$400,"&lt;="&amp;$A105,'Promo Calendar'!$J$6:$J$400,"&gt;="&amp;$A105,'Promo Calendar'!$G$6:$G$400,"&gt;0"),IF(COUNTIFS('Promo Calendar'!$A$6:$A$400,$C105,'Promo Calendar'!$D$6:$D$400,"All",'Promo Calendar'!$I$6:$I$400,"&lt;="&amp;$A105,'Promo Calendar'!$J$6:$J$400,"&gt;="&amp;$A105,'Promo Calendar'!$G$6:$G$400,"&gt;0")&gt;0,_xlfn.MINIFS('Promo Calendar'!$G$6:$G$400,'Promo Calendar'!$A$6:$A$400,$C105,'Promo Calendar'!$D$6:$D$400,"All",'Promo Calendar'!$I$6:$I$400,"&lt;="&amp;$A105,'Promo Calendar'!$J$6:$J$400,"&gt;="&amp;$A105,'Promo Calendar'!$G$6:$G$400,"&gt;0"),IFERROR(IF(INDEX('Chain Program'!$M$6:$M$120,MATCH($C105,'Chain Program'!$A$6:$A$120,0))="","Not set",INDEX('Chain Program'!$M$6:$M$120,MATCH($C105,'Chain Program'!$A$6:$A$120,0))),"Not set"))))</f>
        <v/>
      </c>
      <c r="I105" s="61" t="n"/>
      <c r="J105" s="45">
        <f>IF($I105="","",IF(NOT(ISNUMBER($H105)),"No plan price",IF(ABS($I105-$H105)&lt;0.005,"Match",IF($I105&gt;$H105,"Over plan","Under plan"))))</f>
        <v/>
      </c>
      <c r="K105" s="60" t="n"/>
      <c r="L105" s="60" t="n"/>
      <c r="M105" s="60" t="n"/>
      <c r="N105" s="60" t="n"/>
      <c r="O105" s="60" t="n"/>
      <c r="P105" s="62" t="n"/>
      <c r="Q105" s="62" t="n"/>
      <c r="R105" s="60" t="n"/>
      <c r="S105" s="59" t="n"/>
      <c r="T105" s="60" t="n"/>
      <c r="U105" s="59" t="n"/>
      <c r="V105" s="45">
        <f>IF(OR($A105="",$T105="",$T105="No Issue"),"",IF($T105="Resolved",IF($U105="","",$U105-$A105),TODAY()-$A105))</f>
        <v/>
      </c>
      <c r="W105" s="47">
        <f>IF(AND($C105&lt;&gt;"",$C105='Store History'!$C$4,OR('Store History'!$C$5="",$F105='Store History'!$C$5)),1,0)</f>
        <v/>
      </c>
      <c r="X105" s="47">
        <f>IF($W105=1,SUM($W105:$W$1005),"")</f>
        <v/>
      </c>
    </row>
    <row r="106">
      <c r="A106" s="59" t="n"/>
      <c r="B106" s="60" t="n"/>
      <c r="C106" s="60" t="n"/>
      <c r="D106" s="45">
        <f>IF($C106="","",IFERROR(INDEX('Chain Program'!$B$6:$B$120,MATCH($C106,'Chain Program'!$A$6:$A$120,0)),"Unknown ID"))</f>
        <v/>
      </c>
      <c r="E106" s="45">
        <f>IF($C106="","",IFERROR(INDEX('Chain Program'!$D$6:$D$120,MATCH($C106,'Chain Program'!$A$6:$A$120,0)),"Unknown ID"))</f>
        <v/>
      </c>
      <c r="F106" s="60" t="n"/>
      <c r="G106" s="60" t="n"/>
      <c r="H106" s="56">
        <f>IF(OR($C106="",$A106=""),"",IF(COUNTIFS('Promo Calendar'!$A$6:$A$400,$C106,'Promo Calendar'!$D$6:$D$400,IF($G106="","All",$G106),'Promo Calendar'!$I$6:$I$400,"&lt;="&amp;$A106,'Promo Calendar'!$J$6:$J$400,"&gt;="&amp;$A106,'Promo Calendar'!$G$6:$G$400,"&gt;0")&gt;0,_xlfn.MINIFS('Promo Calendar'!$G$6:$G$400,'Promo Calendar'!$A$6:$A$400,$C106,'Promo Calendar'!$D$6:$D$400,IF($G106="","All",$G106),'Promo Calendar'!$I$6:$I$400,"&lt;="&amp;$A106,'Promo Calendar'!$J$6:$J$400,"&gt;="&amp;$A106,'Promo Calendar'!$G$6:$G$400,"&gt;0"),IF(COUNTIFS('Promo Calendar'!$A$6:$A$400,$C106,'Promo Calendar'!$D$6:$D$400,"All",'Promo Calendar'!$I$6:$I$400,"&lt;="&amp;$A106,'Promo Calendar'!$J$6:$J$400,"&gt;="&amp;$A106,'Promo Calendar'!$G$6:$G$400,"&gt;0")&gt;0,_xlfn.MINIFS('Promo Calendar'!$G$6:$G$400,'Promo Calendar'!$A$6:$A$400,$C106,'Promo Calendar'!$D$6:$D$400,"All",'Promo Calendar'!$I$6:$I$400,"&lt;="&amp;$A106,'Promo Calendar'!$J$6:$J$400,"&gt;="&amp;$A106,'Promo Calendar'!$G$6:$G$400,"&gt;0"),IFERROR(IF(INDEX('Chain Program'!$M$6:$M$120,MATCH($C106,'Chain Program'!$A$6:$A$120,0))="","Not set",INDEX('Chain Program'!$M$6:$M$120,MATCH($C106,'Chain Program'!$A$6:$A$120,0))),"Not set"))))</f>
        <v/>
      </c>
      <c r="I106" s="61" t="n"/>
      <c r="J106" s="45">
        <f>IF($I106="","",IF(NOT(ISNUMBER($H106)),"No plan price",IF(ABS($I106-$H106)&lt;0.005,"Match",IF($I106&gt;$H106,"Over plan","Under plan"))))</f>
        <v/>
      </c>
      <c r="K106" s="60" t="n"/>
      <c r="L106" s="60" t="n"/>
      <c r="M106" s="60" t="n"/>
      <c r="N106" s="60" t="n"/>
      <c r="O106" s="60" t="n"/>
      <c r="P106" s="62" t="n"/>
      <c r="Q106" s="62" t="n"/>
      <c r="R106" s="60" t="n"/>
      <c r="S106" s="59" t="n"/>
      <c r="T106" s="60" t="n"/>
      <c r="U106" s="59" t="n"/>
      <c r="V106" s="45">
        <f>IF(OR($A106="",$T106="",$T106="No Issue"),"",IF($T106="Resolved",IF($U106="","",$U106-$A106),TODAY()-$A106))</f>
        <v/>
      </c>
      <c r="W106" s="47">
        <f>IF(AND($C106&lt;&gt;"",$C106='Store History'!$C$4,OR('Store History'!$C$5="",$F106='Store History'!$C$5)),1,0)</f>
        <v/>
      </c>
      <c r="X106" s="47">
        <f>IF($W106=1,SUM($W106:$W$1005),"")</f>
        <v/>
      </c>
    </row>
    <row r="107">
      <c r="A107" s="59" t="n"/>
      <c r="B107" s="60" t="n"/>
      <c r="C107" s="60" t="n"/>
      <c r="D107" s="45">
        <f>IF($C107="","",IFERROR(INDEX('Chain Program'!$B$6:$B$120,MATCH($C107,'Chain Program'!$A$6:$A$120,0)),"Unknown ID"))</f>
        <v/>
      </c>
      <c r="E107" s="45">
        <f>IF($C107="","",IFERROR(INDEX('Chain Program'!$D$6:$D$120,MATCH($C107,'Chain Program'!$A$6:$A$120,0)),"Unknown ID"))</f>
        <v/>
      </c>
      <c r="F107" s="60" t="n"/>
      <c r="G107" s="60" t="n"/>
      <c r="H107" s="56">
        <f>IF(OR($C107="",$A107=""),"",IF(COUNTIFS('Promo Calendar'!$A$6:$A$400,$C107,'Promo Calendar'!$D$6:$D$400,IF($G107="","All",$G107),'Promo Calendar'!$I$6:$I$400,"&lt;="&amp;$A107,'Promo Calendar'!$J$6:$J$400,"&gt;="&amp;$A107,'Promo Calendar'!$G$6:$G$400,"&gt;0")&gt;0,_xlfn.MINIFS('Promo Calendar'!$G$6:$G$400,'Promo Calendar'!$A$6:$A$400,$C107,'Promo Calendar'!$D$6:$D$400,IF($G107="","All",$G107),'Promo Calendar'!$I$6:$I$400,"&lt;="&amp;$A107,'Promo Calendar'!$J$6:$J$400,"&gt;="&amp;$A107,'Promo Calendar'!$G$6:$G$400,"&gt;0"),IF(COUNTIFS('Promo Calendar'!$A$6:$A$400,$C107,'Promo Calendar'!$D$6:$D$400,"All",'Promo Calendar'!$I$6:$I$400,"&lt;="&amp;$A107,'Promo Calendar'!$J$6:$J$400,"&gt;="&amp;$A107,'Promo Calendar'!$G$6:$G$400,"&gt;0")&gt;0,_xlfn.MINIFS('Promo Calendar'!$G$6:$G$400,'Promo Calendar'!$A$6:$A$400,$C107,'Promo Calendar'!$D$6:$D$400,"All",'Promo Calendar'!$I$6:$I$400,"&lt;="&amp;$A107,'Promo Calendar'!$J$6:$J$400,"&gt;="&amp;$A107,'Promo Calendar'!$G$6:$G$400,"&gt;0"),IFERROR(IF(INDEX('Chain Program'!$M$6:$M$120,MATCH($C107,'Chain Program'!$A$6:$A$120,0))="","Not set",INDEX('Chain Program'!$M$6:$M$120,MATCH($C107,'Chain Program'!$A$6:$A$120,0))),"Not set"))))</f>
        <v/>
      </c>
      <c r="I107" s="61" t="n"/>
      <c r="J107" s="45">
        <f>IF($I107="","",IF(NOT(ISNUMBER($H107)),"No plan price",IF(ABS($I107-$H107)&lt;0.005,"Match",IF($I107&gt;$H107,"Over plan","Under plan"))))</f>
        <v/>
      </c>
      <c r="K107" s="60" t="n"/>
      <c r="L107" s="60" t="n"/>
      <c r="M107" s="60" t="n"/>
      <c r="N107" s="60" t="n"/>
      <c r="O107" s="60" t="n"/>
      <c r="P107" s="62" t="n"/>
      <c r="Q107" s="62" t="n"/>
      <c r="R107" s="60" t="n"/>
      <c r="S107" s="59" t="n"/>
      <c r="T107" s="60" t="n"/>
      <c r="U107" s="59" t="n"/>
      <c r="V107" s="45">
        <f>IF(OR($A107="",$T107="",$T107="No Issue"),"",IF($T107="Resolved",IF($U107="","",$U107-$A107),TODAY()-$A107))</f>
        <v/>
      </c>
      <c r="W107" s="47">
        <f>IF(AND($C107&lt;&gt;"",$C107='Store History'!$C$4,OR('Store History'!$C$5="",$F107='Store History'!$C$5)),1,0)</f>
        <v/>
      </c>
      <c r="X107" s="47">
        <f>IF($W107=1,SUM($W107:$W$1005),"")</f>
        <v/>
      </c>
    </row>
    <row r="108">
      <c r="A108" s="59" t="n"/>
      <c r="B108" s="60" t="n"/>
      <c r="C108" s="60" t="n"/>
      <c r="D108" s="45">
        <f>IF($C108="","",IFERROR(INDEX('Chain Program'!$B$6:$B$120,MATCH($C108,'Chain Program'!$A$6:$A$120,0)),"Unknown ID"))</f>
        <v/>
      </c>
      <c r="E108" s="45">
        <f>IF($C108="","",IFERROR(INDEX('Chain Program'!$D$6:$D$120,MATCH($C108,'Chain Program'!$A$6:$A$120,0)),"Unknown ID"))</f>
        <v/>
      </c>
      <c r="F108" s="60" t="n"/>
      <c r="G108" s="60" t="n"/>
      <c r="H108" s="56">
        <f>IF(OR($C108="",$A108=""),"",IF(COUNTIFS('Promo Calendar'!$A$6:$A$400,$C108,'Promo Calendar'!$D$6:$D$400,IF($G108="","All",$G108),'Promo Calendar'!$I$6:$I$400,"&lt;="&amp;$A108,'Promo Calendar'!$J$6:$J$400,"&gt;="&amp;$A108,'Promo Calendar'!$G$6:$G$400,"&gt;0")&gt;0,_xlfn.MINIFS('Promo Calendar'!$G$6:$G$400,'Promo Calendar'!$A$6:$A$400,$C108,'Promo Calendar'!$D$6:$D$400,IF($G108="","All",$G108),'Promo Calendar'!$I$6:$I$400,"&lt;="&amp;$A108,'Promo Calendar'!$J$6:$J$400,"&gt;="&amp;$A108,'Promo Calendar'!$G$6:$G$400,"&gt;0"),IF(COUNTIFS('Promo Calendar'!$A$6:$A$400,$C108,'Promo Calendar'!$D$6:$D$400,"All",'Promo Calendar'!$I$6:$I$400,"&lt;="&amp;$A108,'Promo Calendar'!$J$6:$J$400,"&gt;="&amp;$A108,'Promo Calendar'!$G$6:$G$400,"&gt;0")&gt;0,_xlfn.MINIFS('Promo Calendar'!$G$6:$G$400,'Promo Calendar'!$A$6:$A$400,$C108,'Promo Calendar'!$D$6:$D$400,"All",'Promo Calendar'!$I$6:$I$400,"&lt;="&amp;$A108,'Promo Calendar'!$J$6:$J$400,"&gt;="&amp;$A108,'Promo Calendar'!$G$6:$G$400,"&gt;0"),IFERROR(IF(INDEX('Chain Program'!$M$6:$M$120,MATCH($C108,'Chain Program'!$A$6:$A$120,0))="","Not set",INDEX('Chain Program'!$M$6:$M$120,MATCH($C108,'Chain Program'!$A$6:$A$120,0))),"Not set"))))</f>
        <v/>
      </c>
      <c r="I108" s="61" t="n"/>
      <c r="J108" s="45">
        <f>IF($I108="","",IF(NOT(ISNUMBER($H108)),"No plan price",IF(ABS($I108-$H108)&lt;0.005,"Match",IF($I108&gt;$H108,"Over plan","Under plan"))))</f>
        <v/>
      </c>
      <c r="K108" s="60" t="n"/>
      <c r="L108" s="60" t="n"/>
      <c r="M108" s="60" t="n"/>
      <c r="N108" s="60" t="n"/>
      <c r="O108" s="60" t="n"/>
      <c r="P108" s="62" t="n"/>
      <c r="Q108" s="62" t="n"/>
      <c r="R108" s="60" t="n"/>
      <c r="S108" s="59" t="n"/>
      <c r="T108" s="60" t="n"/>
      <c r="U108" s="59" t="n"/>
      <c r="V108" s="45">
        <f>IF(OR($A108="",$T108="",$T108="No Issue"),"",IF($T108="Resolved",IF($U108="","",$U108-$A108),TODAY()-$A108))</f>
        <v/>
      </c>
      <c r="W108" s="47">
        <f>IF(AND($C108&lt;&gt;"",$C108='Store History'!$C$4,OR('Store History'!$C$5="",$F108='Store History'!$C$5)),1,0)</f>
        <v/>
      </c>
      <c r="X108" s="47">
        <f>IF($W108=1,SUM($W108:$W$1005),"")</f>
        <v/>
      </c>
    </row>
    <row r="109">
      <c r="A109" s="59" t="n"/>
      <c r="B109" s="60" t="n"/>
      <c r="C109" s="60" t="n"/>
      <c r="D109" s="45">
        <f>IF($C109="","",IFERROR(INDEX('Chain Program'!$B$6:$B$120,MATCH($C109,'Chain Program'!$A$6:$A$120,0)),"Unknown ID"))</f>
        <v/>
      </c>
      <c r="E109" s="45">
        <f>IF($C109="","",IFERROR(INDEX('Chain Program'!$D$6:$D$120,MATCH($C109,'Chain Program'!$A$6:$A$120,0)),"Unknown ID"))</f>
        <v/>
      </c>
      <c r="F109" s="60" t="n"/>
      <c r="G109" s="60" t="n"/>
      <c r="H109" s="56">
        <f>IF(OR($C109="",$A109=""),"",IF(COUNTIFS('Promo Calendar'!$A$6:$A$400,$C109,'Promo Calendar'!$D$6:$D$400,IF($G109="","All",$G109),'Promo Calendar'!$I$6:$I$400,"&lt;="&amp;$A109,'Promo Calendar'!$J$6:$J$400,"&gt;="&amp;$A109,'Promo Calendar'!$G$6:$G$400,"&gt;0")&gt;0,_xlfn.MINIFS('Promo Calendar'!$G$6:$G$400,'Promo Calendar'!$A$6:$A$400,$C109,'Promo Calendar'!$D$6:$D$400,IF($G109="","All",$G109),'Promo Calendar'!$I$6:$I$400,"&lt;="&amp;$A109,'Promo Calendar'!$J$6:$J$400,"&gt;="&amp;$A109,'Promo Calendar'!$G$6:$G$400,"&gt;0"),IF(COUNTIFS('Promo Calendar'!$A$6:$A$400,$C109,'Promo Calendar'!$D$6:$D$400,"All",'Promo Calendar'!$I$6:$I$400,"&lt;="&amp;$A109,'Promo Calendar'!$J$6:$J$400,"&gt;="&amp;$A109,'Promo Calendar'!$G$6:$G$400,"&gt;0")&gt;0,_xlfn.MINIFS('Promo Calendar'!$G$6:$G$400,'Promo Calendar'!$A$6:$A$400,$C109,'Promo Calendar'!$D$6:$D$400,"All",'Promo Calendar'!$I$6:$I$400,"&lt;="&amp;$A109,'Promo Calendar'!$J$6:$J$400,"&gt;="&amp;$A109,'Promo Calendar'!$G$6:$G$400,"&gt;0"),IFERROR(IF(INDEX('Chain Program'!$M$6:$M$120,MATCH($C109,'Chain Program'!$A$6:$A$120,0))="","Not set",INDEX('Chain Program'!$M$6:$M$120,MATCH($C109,'Chain Program'!$A$6:$A$120,0))),"Not set"))))</f>
        <v/>
      </c>
      <c r="I109" s="61" t="n"/>
      <c r="J109" s="45">
        <f>IF($I109="","",IF(NOT(ISNUMBER($H109)),"No plan price",IF(ABS($I109-$H109)&lt;0.005,"Match",IF($I109&gt;$H109,"Over plan","Under plan"))))</f>
        <v/>
      </c>
      <c r="K109" s="60" t="n"/>
      <c r="L109" s="60" t="n"/>
      <c r="M109" s="60" t="n"/>
      <c r="N109" s="60" t="n"/>
      <c r="O109" s="60" t="n"/>
      <c r="P109" s="62" t="n"/>
      <c r="Q109" s="62" t="n"/>
      <c r="R109" s="60" t="n"/>
      <c r="S109" s="59" t="n"/>
      <c r="T109" s="60" t="n"/>
      <c r="U109" s="59" t="n"/>
      <c r="V109" s="45">
        <f>IF(OR($A109="",$T109="",$T109="No Issue"),"",IF($T109="Resolved",IF($U109="","",$U109-$A109),TODAY()-$A109))</f>
        <v/>
      </c>
      <c r="W109" s="47">
        <f>IF(AND($C109&lt;&gt;"",$C109='Store History'!$C$4,OR('Store History'!$C$5="",$F109='Store History'!$C$5)),1,0)</f>
        <v/>
      </c>
      <c r="X109" s="47">
        <f>IF($W109=1,SUM($W109:$W$1005),"")</f>
        <v/>
      </c>
    </row>
    <row r="110">
      <c r="A110" s="59" t="n"/>
      <c r="B110" s="60" t="n"/>
      <c r="C110" s="60" t="n"/>
      <c r="D110" s="45">
        <f>IF($C110="","",IFERROR(INDEX('Chain Program'!$B$6:$B$120,MATCH($C110,'Chain Program'!$A$6:$A$120,0)),"Unknown ID"))</f>
        <v/>
      </c>
      <c r="E110" s="45">
        <f>IF($C110="","",IFERROR(INDEX('Chain Program'!$D$6:$D$120,MATCH($C110,'Chain Program'!$A$6:$A$120,0)),"Unknown ID"))</f>
        <v/>
      </c>
      <c r="F110" s="60" t="n"/>
      <c r="G110" s="60" t="n"/>
      <c r="H110" s="56">
        <f>IF(OR($C110="",$A110=""),"",IF(COUNTIFS('Promo Calendar'!$A$6:$A$400,$C110,'Promo Calendar'!$D$6:$D$400,IF($G110="","All",$G110),'Promo Calendar'!$I$6:$I$400,"&lt;="&amp;$A110,'Promo Calendar'!$J$6:$J$400,"&gt;="&amp;$A110,'Promo Calendar'!$G$6:$G$400,"&gt;0")&gt;0,_xlfn.MINIFS('Promo Calendar'!$G$6:$G$400,'Promo Calendar'!$A$6:$A$400,$C110,'Promo Calendar'!$D$6:$D$400,IF($G110="","All",$G110),'Promo Calendar'!$I$6:$I$400,"&lt;="&amp;$A110,'Promo Calendar'!$J$6:$J$400,"&gt;="&amp;$A110,'Promo Calendar'!$G$6:$G$400,"&gt;0"),IF(COUNTIFS('Promo Calendar'!$A$6:$A$400,$C110,'Promo Calendar'!$D$6:$D$400,"All",'Promo Calendar'!$I$6:$I$400,"&lt;="&amp;$A110,'Promo Calendar'!$J$6:$J$400,"&gt;="&amp;$A110,'Promo Calendar'!$G$6:$G$400,"&gt;0")&gt;0,_xlfn.MINIFS('Promo Calendar'!$G$6:$G$400,'Promo Calendar'!$A$6:$A$400,$C110,'Promo Calendar'!$D$6:$D$400,"All",'Promo Calendar'!$I$6:$I$400,"&lt;="&amp;$A110,'Promo Calendar'!$J$6:$J$400,"&gt;="&amp;$A110,'Promo Calendar'!$G$6:$G$400,"&gt;0"),IFERROR(IF(INDEX('Chain Program'!$M$6:$M$120,MATCH($C110,'Chain Program'!$A$6:$A$120,0))="","Not set",INDEX('Chain Program'!$M$6:$M$120,MATCH($C110,'Chain Program'!$A$6:$A$120,0))),"Not set"))))</f>
        <v/>
      </c>
      <c r="I110" s="61" t="n"/>
      <c r="J110" s="45">
        <f>IF($I110="","",IF(NOT(ISNUMBER($H110)),"No plan price",IF(ABS($I110-$H110)&lt;0.005,"Match",IF($I110&gt;$H110,"Over plan","Under plan"))))</f>
        <v/>
      </c>
      <c r="K110" s="60" t="n"/>
      <c r="L110" s="60" t="n"/>
      <c r="M110" s="60" t="n"/>
      <c r="N110" s="60" t="n"/>
      <c r="O110" s="60" t="n"/>
      <c r="P110" s="62" t="n"/>
      <c r="Q110" s="62" t="n"/>
      <c r="R110" s="60" t="n"/>
      <c r="S110" s="59" t="n"/>
      <c r="T110" s="60" t="n"/>
      <c r="U110" s="59" t="n"/>
      <c r="V110" s="45">
        <f>IF(OR($A110="",$T110="",$T110="No Issue"),"",IF($T110="Resolved",IF($U110="","",$U110-$A110),TODAY()-$A110))</f>
        <v/>
      </c>
      <c r="W110" s="47">
        <f>IF(AND($C110&lt;&gt;"",$C110='Store History'!$C$4,OR('Store History'!$C$5="",$F110='Store History'!$C$5)),1,0)</f>
        <v/>
      </c>
      <c r="X110" s="47">
        <f>IF($W110=1,SUM($W110:$W$1005),"")</f>
        <v/>
      </c>
    </row>
    <row r="111">
      <c r="A111" s="59" t="n"/>
      <c r="B111" s="60" t="n"/>
      <c r="C111" s="60" t="n"/>
      <c r="D111" s="45">
        <f>IF($C111="","",IFERROR(INDEX('Chain Program'!$B$6:$B$120,MATCH($C111,'Chain Program'!$A$6:$A$120,0)),"Unknown ID"))</f>
        <v/>
      </c>
      <c r="E111" s="45">
        <f>IF($C111="","",IFERROR(INDEX('Chain Program'!$D$6:$D$120,MATCH($C111,'Chain Program'!$A$6:$A$120,0)),"Unknown ID"))</f>
        <v/>
      </c>
      <c r="F111" s="60" t="n"/>
      <c r="G111" s="60" t="n"/>
      <c r="H111" s="56">
        <f>IF(OR($C111="",$A111=""),"",IF(COUNTIFS('Promo Calendar'!$A$6:$A$400,$C111,'Promo Calendar'!$D$6:$D$400,IF($G111="","All",$G111),'Promo Calendar'!$I$6:$I$400,"&lt;="&amp;$A111,'Promo Calendar'!$J$6:$J$400,"&gt;="&amp;$A111,'Promo Calendar'!$G$6:$G$400,"&gt;0")&gt;0,_xlfn.MINIFS('Promo Calendar'!$G$6:$G$400,'Promo Calendar'!$A$6:$A$400,$C111,'Promo Calendar'!$D$6:$D$400,IF($G111="","All",$G111),'Promo Calendar'!$I$6:$I$400,"&lt;="&amp;$A111,'Promo Calendar'!$J$6:$J$400,"&gt;="&amp;$A111,'Promo Calendar'!$G$6:$G$400,"&gt;0"),IF(COUNTIFS('Promo Calendar'!$A$6:$A$400,$C111,'Promo Calendar'!$D$6:$D$400,"All",'Promo Calendar'!$I$6:$I$400,"&lt;="&amp;$A111,'Promo Calendar'!$J$6:$J$400,"&gt;="&amp;$A111,'Promo Calendar'!$G$6:$G$400,"&gt;0")&gt;0,_xlfn.MINIFS('Promo Calendar'!$G$6:$G$400,'Promo Calendar'!$A$6:$A$400,$C111,'Promo Calendar'!$D$6:$D$400,"All",'Promo Calendar'!$I$6:$I$400,"&lt;="&amp;$A111,'Promo Calendar'!$J$6:$J$400,"&gt;="&amp;$A111,'Promo Calendar'!$G$6:$G$400,"&gt;0"),IFERROR(IF(INDEX('Chain Program'!$M$6:$M$120,MATCH($C111,'Chain Program'!$A$6:$A$120,0))="","Not set",INDEX('Chain Program'!$M$6:$M$120,MATCH($C111,'Chain Program'!$A$6:$A$120,0))),"Not set"))))</f>
        <v/>
      </c>
      <c r="I111" s="61" t="n"/>
      <c r="J111" s="45">
        <f>IF($I111="","",IF(NOT(ISNUMBER($H111)),"No plan price",IF(ABS($I111-$H111)&lt;0.005,"Match",IF($I111&gt;$H111,"Over plan","Under plan"))))</f>
        <v/>
      </c>
      <c r="K111" s="60" t="n"/>
      <c r="L111" s="60" t="n"/>
      <c r="M111" s="60" t="n"/>
      <c r="N111" s="60" t="n"/>
      <c r="O111" s="60" t="n"/>
      <c r="P111" s="62" t="n"/>
      <c r="Q111" s="62" t="n"/>
      <c r="R111" s="60" t="n"/>
      <c r="S111" s="59" t="n"/>
      <c r="T111" s="60" t="n"/>
      <c r="U111" s="59" t="n"/>
      <c r="V111" s="45">
        <f>IF(OR($A111="",$T111="",$T111="No Issue"),"",IF($T111="Resolved",IF($U111="","",$U111-$A111),TODAY()-$A111))</f>
        <v/>
      </c>
      <c r="W111" s="47">
        <f>IF(AND($C111&lt;&gt;"",$C111='Store History'!$C$4,OR('Store History'!$C$5="",$F111='Store History'!$C$5)),1,0)</f>
        <v/>
      </c>
      <c r="X111" s="47">
        <f>IF($W111=1,SUM($W111:$W$1005),"")</f>
        <v/>
      </c>
    </row>
    <row r="112">
      <c r="A112" s="59" t="n"/>
      <c r="B112" s="60" t="n"/>
      <c r="C112" s="60" t="n"/>
      <c r="D112" s="45">
        <f>IF($C112="","",IFERROR(INDEX('Chain Program'!$B$6:$B$120,MATCH($C112,'Chain Program'!$A$6:$A$120,0)),"Unknown ID"))</f>
        <v/>
      </c>
      <c r="E112" s="45">
        <f>IF($C112="","",IFERROR(INDEX('Chain Program'!$D$6:$D$120,MATCH($C112,'Chain Program'!$A$6:$A$120,0)),"Unknown ID"))</f>
        <v/>
      </c>
      <c r="F112" s="60" t="n"/>
      <c r="G112" s="60" t="n"/>
      <c r="H112" s="56">
        <f>IF(OR($C112="",$A112=""),"",IF(COUNTIFS('Promo Calendar'!$A$6:$A$400,$C112,'Promo Calendar'!$D$6:$D$400,IF($G112="","All",$G112),'Promo Calendar'!$I$6:$I$400,"&lt;="&amp;$A112,'Promo Calendar'!$J$6:$J$400,"&gt;="&amp;$A112,'Promo Calendar'!$G$6:$G$400,"&gt;0")&gt;0,_xlfn.MINIFS('Promo Calendar'!$G$6:$G$400,'Promo Calendar'!$A$6:$A$400,$C112,'Promo Calendar'!$D$6:$D$400,IF($G112="","All",$G112),'Promo Calendar'!$I$6:$I$400,"&lt;="&amp;$A112,'Promo Calendar'!$J$6:$J$400,"&gt;="&amp;$A112,'Promo Calendar'!$G$6:$G$400,"&gt;0"),IF(COUNTIFS('Promo Calendar'!$A$6:$A$400,$C112,'Promo Calendar'!$D$6:$D$400,"All",'Promo Calendar'!$I$6:$I$400,"&lt;="&amp;$A112,'Promo Calendar'!$J$6:$J$400,"&gt;="&amp;$A112,'Promo Calendar'!$G$6:$G$400,"&gt;0")&gt;0,_xlfn.MINIFS('Promo Calendar'!$G$6:$G$400,'Promo Calendar'!$A$6:$A$400,$C112,'Promo Calendar'!$D$6:$D$400,"All",'Promo Calendar'!$I$6:$I$400,"&lt;="&amp;$A112,'Promo Calendar'!$J$6:$J$400,"&gt;="&amp;$A112,'Promo Calendar'!$G$6:$G$400,"&gt;0"),IFERROR(IF(INDEX('Chain Program'!$M$6:$M$120,MATCH($C112,'Chain Program'!$A$6:$A$120,0))="","Not set",INDEX('Chain Program'!$M$6:$M$120,MATCH($C112,'Chain Program'!$A$6:$A$120,0))),"Not set"))))</f>
        <v/>
      </c>
      <c r="I112" s="61" t="n"/>
      <c r="J112" s="45">
        <f>IF($I112="","",IF(NOT(ISNUMBER($H112)),"No plan price",IF(ABS($I112-$H112)&lt;0.005,"Match",IF($I112&gt;$H112,"Over plan","Under plan"))))</f>
        <v/>
      </c>
      <c r="K112" s="60" t="n"/>
      <c r="L112" s="60" t="n"/>
      <c r="M112" s="60" t="n"/>
      <c r="N112" s="60" t="n"/>
      <c r="O112" s="60" t="n"/>
      <c r="P112" s="62" t="n"/>
      <c r="Q112" s="62" t="n"/>
      <c r="R112" s="60" t="n"/>
      <c r="S112" s="59" t="n"/>
      <c r="T112" s="60" t="n"/>
      <c r="U112" s="59" t="n"/>
      <c r="V112" s="45">
        <f>IF(OR($A112="",$T112="",$T112="No Issue"),"",IF($T112="Resolved",IF($U112="","",$U112-$A112),TODAY()-$A112))</f>
        <v/>
      </c>
      <c r="W112" s="47">
        <f>IF(AND($C112&lt;&gt;"",$C112='Store History'!$C$4,OR('Store History'!$C$5="",$F112='Store History'!$C$5)),1,0)</f>
        <v/>
      </c>
      <c r="X112" s="47">
        <f>IF($W112=1,SUM($W112:$W$1005),"")</f>
        <v/>
      </c>
    </row>
    <row r="113">
      <c r="A113" s="59" t="n"/>
      <c r="B113" s="60" t="n"/>
      <c r="C113" s="60" t="n"/>
      <c r="D113" s="45">
        <f>IF($C113="","",IFERROR(INDEX('Chain Program'!$B$6:$B$120,MATCH($C113,'Chain Program'!$A$6:$A$120,0)),"Unknown ID"))</f>
        <v/>
      </c>
      <c r="E113" s="45">
        <f>IF($C113="","",IFERROR(INDEX('Chain Program'!$D$6:$D$120,MATCH($C113,'Chain Program'!$A$6:$A$120,0)),"Unknown ID"))</f>
        <v/>
      </c>
      <c r="F113" s="60" t="n"/>
      <c r="G113" s="60" t="n"/>
      <c r="H113" s="56">
        <f>IF(OR($C113="",$A113=""),"",IF(COUNTIFS('Promo Calendar'!$A$6:$A$400,$C113,'Promo Calendar'!$D$6:$D$400,IF($G113="","All",$G113),'Promo Calendar'!$I$6:$I$400,"&lt;="&amp;$A113,'Promo Calendar'!$J$6:$J$400,"&gt;="&amp;$A113,'Promo Calendar'!$G$6:$G$400,"&gt;0")&gt;0,_xlfn.MINIFS('Promo Calendar'!$G$6:$G$400,'Promo Calendar'!$A$6:$A$400,$C113,'Promo Calendar'!$D$6:$D$400,IF($G113="","All",$G113),'Promo Calendar'!$I$6:$I$400,"&lt;="&amp;$A113,'Promo Calendar'!$J$6:$J$400,"&gt;="&amp;$A113,'Promo Calendar'!$G$6:$G$400,"&gt;0"),IF(COUNTIFS('Promo Calendar'!$A$6:$A$400,$C113,'Promo Calendar'!$D$6:$D$400,"All",'Promo Calendar'!$I$6:$I$400,"&lt;="&amp;$A113,'Promo Calendar'!$J$6:$J$400,"&gt;="&amp;$A113,'Promo Calendar'!$G$6:$G$400,"&gt;0")&gt;0,_xlfn.MINIFS('Promo Calendar'!$G$6:$G$400,'Promo Calendar'!$A$6:$A$400,$C113,'Promo Calendar'!$D$6:$D$400,"All",'Promo Calendar'!$I$6:$I$400,"&lt;="&amp;$A113,'Promo Calendar'!$J$6:$J$400,"&gt;="&amp;$A113,'Promo Calendar'!$G$6:$G$400,"&gt;0"),IFERROR(IF(INDEX('Chain Program'!$M$6:$M$120,MATCH($C113,'Chain Program'!$A$6:$A$120,0))="","Not set",INDEX('Chain Program'!$M$6:$M$120,MATCH($C113,'Chain Program'!$A$6:$A$120,0))),"Not set"))))</f>
        <v/>
      </c>
      <c r="I113" s="61" t="n"/>
      <c r="J113" s="45">
        <f>IF($I113="","",IF(NOT(ISNUMBER($H113)),"No plan price",IF(ABS($I113-$H113)&lt;0.005,"Match",IF($I113&gt;$H113,"Over plan","Under plan"))))</f>
        <v/>
      </c>
      <c r="K113" s="60" t="n"/>
      <c r="L113" s="60" t="n"/>
      <c r="M113" s="60" t="n"/>
      <c r="N113" s="60" t="n"/>
      <c r="O113" s="60" t="n"/>
      <c r="P113" s="62" t="n"/>
      <c r="Q113" s="62" t="n"/>
      <c r="R113" s="60" t="n"/>
      <c r="S113" s="59" t="n"/>
      <c r="T113" s="60" t="n"/>
      <c r="U113" s="59" t="n"/>
      <c r="V113" s="45">
        <f>IF(OR($A113="",$T113="",$T113="No Issue"),"",IF($T113="Resolved",IF($U113="","",$U113-$A113),TODAY()-$A113))</f>
        <v/>
      </c>
      <c r="W113" s="47">
        <f>IF(AND($C113&lt;&gt;"",$C113='Store History'!$C$4,OR('Store History'!$C$5="",$F113='Store History'!$C$5)),1,0)</f>
        <v/>
      </c>
      <c r="X113" s="47">
        <f>IF($W113=1,SUM($W113:$W$1005),"")</f>
        <v/>
      </c>
    </row>
    <row r="114">
      <c r="A114" s="59" t="n"/>
      <c r="B114" s="60" t="n"/>
      <c r="C114" s="60" t="n"/>
      <c r="D114" s="45">
        <f>IF($C114="","",IFERROR(INDEX('Chain Program'!$B$6:$B$120,MATCH($C114,'Chain Program'!$A$6:$A$120,0)),"Unknown ID"))</f>
        <v/>
      </c>
      <c r="E114" s="45">
        <f>IF($C114="","",IFERROR(INDEX('Chain Program'!$D$6:$D$120,MATCH($C114,'Chain Program'!$A$6:$A$120,0)),"Unknown ID"))</f>
        <v/>
      </c>
      <c r="F114" s="60" t="n"/>
      <c r="G114" s="60" t="n"/>
      <c r="H114" s="56">
        <f>IF(OR($C114="",$A114=""),"",IF(COUNTIFS('Promo Calendar'!$A$6:$A$400,$C114,'Promo Calendar'!$D$6:$D$400,IF($G114="","All",$G114),'Promo Calendar'!$I$6:$I$400,"&lt;="&amp;$A114,'Promo Calendar'!$J$6:$J$400,"&gt;="&amp;$A114,'Promo Calendar'!$G$6:$G$400,"&gt;0")&gt;0,_xlfn.MINIFS('Promo Calendar'!$G$6:$G$400,'Promo Calendar'!$A$6:$A$400,$C114,'Promo Calendar'!$D$6:$D$400,IF($G114="","All",$G114),'Promo Calendar'!$I$6:$I$400,"&lt;="&amp;$A114,'Promo Calendar'!$J$6:$J$400,"&gt;="&amp;$A114,'Promo Calendar'!$G$6:$G$400,"&gt;0"),IF(COUNTIFS('Promo Calendar'!$A$6:$A$400,$C114,'Promo Calendar'!$D$6:$D$400,"All",'Promo Calendar'!$I$6:$I$400,"&lt;="&amp;$A114,'Promo Calendar'!$J$6:$J$400,"&gt;="&amp;$A114,'Promo Calendar'!$G$6:$G$400,"&gt;0")&gt;0,_xlfn.MINIFS('Promo Calendar'!$G$6:$G$400,'Promo Calendar'!$A$6:$A$400,$C114,'Promo Calendar'!$D$6:$D$400,"All",'Promo Calendar'!$I$6:$I$400,"&lt;="&amp;$A114,'Promo Calendar'!$J$6:$J$400,"&gt;="&amp;$A114,'Promo Calendar'!$G$6:$G$400,"&gt;0"),IFERROR(IF(INDEX('Chain Program'!$M$6:$M$120,MATCH($C114,'Chain Program'!$A$6:$A$120,0))="","Not set",INDEX('Chain Program'!$M$6:$M$120,MATCH($C114,'Chain Program'!$A$6:$A$120,0))),"Not set"))))</f>
        <v/>
      </c>
      <c r="I114" s="61" t="n"/>
      <c r="J114" s="45">
        <f>IF($I114="","",IF(NOT(ISNUMBER($H114)),"No plan price",IF(ABS($I114-$H114)&lt;0.005,"Match",IF($I114&gt;$H114,"Over plan","Under plan"))))</f>
        <v/>
      </c>
      <c r="K114" s="60" t="n"/>
      <c r="L114" s="60" t="n"/>
      <c r="M114" s="60" t="n"/>
      <c r="N114" s="60" t="n"/>
      <c r="O114" s="60" t="n"/>
      <c r="P114" s="62" t="n"/>
      <c r="Q114" s="62" t="n"/>
      <c r="R114" s="60" t="n"/>
      <c r="S114" s="59" t="n"/>
      <c r="T114" s="60" t="n"/>
      <c r="U114" s="59" t="n"/>
      <c r="V114" s="45">
        <f>IF(OR($A114="",$T114="",$T114="No Issue"),"",IF($T114="Resolved",IF($U114="","",$U114-$A114),TODAY()-$A114))</f>
        <v/>
      </c>
      <c r="W114" s="47">
        <f>IF(AND($C114&lt;&gt;"",$C114='Store History'!$C$4,OR('Store History'!$C$5="",$F114='Store History'!$C$5)),1,0)</f>
        <v/>
      </c>
      <c r="X114" s="47">
        <f>IF($W114=1,SUM($W114:$W$1005),"")</f>
        <v/>
      </c>
    </row>
    <row r="115">
      <c r="A115" s="59" t="n"/>
      <c r="B115" s="60" t="n"/>
      <c r="C115" s="60" t="n"/>
      <c r="D115" s="45">
        <f>IF($C115="","",IFERROR(INDEX('Chain Program'!$B$6:$B$120,MATCH($C115,'Chain Program'!$A$6:$A$120,0)),"Unknown ID"))</f>
        <v/>
      </c>
      <c r="E115" s="45">
        <f>IF($C115="","",IFERROR(INDEX('Chain Program'!$D$6:$D$120,MATCH($C115,'Chain Program'!$A$6:$A$120,0)),"Unknown ID"))</f>
        <v/>
      </c>
      <c r="F115" s="60" t="n"/>
      <c r="G115" s="60" t="n"/>
      <c r="H115" s="56">
        <f>IF(OR($C115="",$A115=""),"",IF(COUNTIFS('Promo Calendar'!$A$6:$A$400,$C115,'Promo Calendar'!$D$6:$D$400,IF($G115="","All",$G115),'Promo Calendar'!$I$6:$I$400,"&lt;="&amp;$A115,'Promo Calendar'!$J$6:$J$400,"&gt;="&amp;$A115,'Promo Calendar'!$G$6:$G$400,"&gt;0")&gt;0,_xlfn.MINIFS('Promo Calendar'!$G$6:$G$400,'Promo Calendar'!$A$6:$A$400,$C115,'Promo Calendar'!$D$6:$D$400,IF($G115="","All",$G115),'Promo Calendar'!$I$6:$I$400,"&lt;="&amp;$A115,'Promo Calendar'!$J$6:$J$400,"&gt;="&amp;$A115,'Promo Calendar'!$G$6:$G$400,"&gt;0"),IF(COUNTIFS('Promo Calendar'!$A$6:$A$400,$C115,'Promo Calendar'!$D$6:$D$400,"All",'Promo Calendar'!$I$6:$I$400,"&lt;="&amp;$A115,'Promo Calendar'!$J$6:$J$400,"&gt;="&amp;$A115,'Promo Calendar'!$G$6:$G$400,"&gt;0")&gt;0,_xlfn.MINIFS('Promo Calendar'!$G$6:$G$400,'Promo Calendar'!$A$6:$A$400,$C115,'Promo Calendar'!$D$6:$D$400,"All",'Promo Calendar'!$I$6:$I$400,"&lt;="&amp;$A115,'Promo Calendar'!$J$6:$J$400,"&gt;="&amp;$A115,'Promo Calendar'!$G$6:$G$400,"&gt;0"),IFERROR(IF(INDEX('Chain Program'!$M$6:$M$120,MATCH($C115,'Chain Program'!$A$6:$A$120,0))="","Not set",INDEX('Chain Program'!$M$6:$M$120,MATCH($C115,'Chain Program'!$A$6:$A$120,0))),"Not set"))))</f>
        <v/>
      </c>
      <c r="I115" s="61" t="n"/>
      <c r="J115" s="45">
        <f>IF($I115="","",IF(NOT(ISNUMBER($H115)),"No plan price",IF(ABS($I115-$H115)&lt;0.005,"Match",IF($I115&gt;$H115,"Over plan","Under plan"))))</f>
        <v/>
      </c>
      <c r="K115" s="60" t="n"/>
      <c r="L115" s="60" t="n"/>
      <c r="M115" s="60" t="n"/>
      <c r="N115" s="60" t="n"/>
      <c r="O115" s="60" t="n"/>
      <c r="P115" s="62" t="n"/>
      <c r="Q115" s="62" t="n"/>
      <c r="R115" s="60" t="n"/>
      <c r="S115" s="59" t="n"/>
      <c r="T115" s="60" t="n"/>
      <c r="U115" s="59" t="n"/>
      <c r="V115" s="45">
        <f>IF(OR($A115="",$T115="",$T115="No Issue"),"",IF($T115="Resolved",IF($U115="","",$U115-$A115),TODAY()-$A115))</f>
        <v/>
      </c>
      <c r="W115" s="47">
        <f>IF(AND($C115&lt;&gt;"",$C115='Store History'!$C$4,OR('Store History'!$C$5="",$F115='Store History'!$C$5)),1,0)</f>
        <v/>
      </c>
      <c r="X115" s="47">
        <f>IF($W115=1,SUM($W115:$W$1005),"")</f>
        <v/>
      </c>
    </row>
    <row r="116">
      <c r="A116" s="59" t="n"/>
      <c r="B116" s="60" t="n"/>
      <c r="C116" s="60" t="n"/>
      <c r="D116" s="45">
        <f>IF($C116="","",IFERROR(INDEX('Chain Program'!$B$6:$B$120,MATCH($C116,'Chain Program'!$A$6:$A$120,0)),"Unknown ID"))</f>
        <v/>
      </c>
      <c r="E116" s="45">
        <f>IF($C116="","",IFERROR(INDEX('Chain Program'!$D$6:$D$120,MATCH($C116,'Chain Program'!$A$6:$A$120,0)),"Unknown ID"))</f>
        <v/>
      </c>
      <c r="F116" s="60" t="n"/>
      <c r="G116" s="60" t="n"/>
      <c r="H116" s="56">
        <f>IF(OR($C116="",$A116=""),"",IF(COUNTIFS('Promo Calendar'!$A$6:$A$400,$C116,'Promo Calendar'!$D$6:$D$400,IF($G116="","All",$G116),'Promo Calendar'!$I$6:$I$400,"&lt;="&amp;$A116,'Promo Calendar'!$J$6:$J$400,"&gt;="&amp;$A116,'Promo Calendar'!$G$6:$G$400,"&gt;0")&gt;0,_xlfn.MINIFS('Promo Calendar'!$G$6:$G$400,'Promo Calendar'!$A$6:$A$400,$C116,'Promo Calendar'!$D$6:$D$400,IF($G116="","All",$G116),'Promo Calendar'!$I$6:$I$400,"&lt;="&amp;$A116,'Promo Calendar'!$J$6:$J$400,"&gt;="&amp;$A116,'Promo Calendar'!$G$6:$G$400,"&gt;0"),IF(COUNTIFS('Promo Calendar'!$A$6:$A$400,$C116,'Promo Calendar'!$D$6:$D$400,"All",'Promo Calendar'!$I$6:$I$400,"&lt;="&amp;$A116,'Promo Calendar'!$J$6:$J$400,"&gt;="&amp;$A116,'Promo Calendar'!$G$6:$G$400,"&gt;0")&gt;0,_xlfn.MINIFS('Promo Calendar'!$G$6:$G$400,'Promo Calendar'!$A$6:$A$400,$C116,'Promo Calendar'!$D$6:$D$400,"All",'Promo Calendar'!$I$6:$I$400,"&lt;="&amp;$A116,'Promo Calendar'!$J$6:$J$400,"&gt;="&amp;$A116,'Promo Calendar'!$G$6:$G$400,"&gt;0"),IFERROR(IF(INDEX('Chain Program'!$M$6:$M$120,MATCH($C116,'Chain Program'!$A$6:$A$120,0))="","Not set",INDEX('Chain Program'!$M$6:$M$120,MATCH($C116,'Chain Program'!$A$6:$A$120,0))),"Not set"))))</f>
        <v/>
      </c>
      <c r="I116" s="61" t="n"/>
      <c r="J116" s="45">
        <f>IF($I116="","",IF(NOT(ISNUMBER($H116)),"No plan price",IF(ABS($I116-$H116)&lt;0.005,"Match",IF($I116&gt;$H116,"Over plan","Under plan"))))</f>
        <v/>
      </c>
      <c r="K116" s="60" t="n"/>
      <c r="L116" s="60" t="n"/>
      <c r="M116" s="60" t="n"/>
      <c r="N116" s="60" t="n"/>
      <c r="O116" s="60" t="n"/>
      <c r="P116" s="62" t="n"/>
      <c r="Q116" s="62" t="n"/>
      <c r="R116" s="60" t="n"/>
      <c r="S116" s="59" t="n"/>
      <c r="T116" s="60" t="n"/>
      <c r="U116" s="59" t="n"/>
      <c r="V116" s="45">
        <f>IF(OR($A116="",$T116="",$T116="No Issue"),"",IF($T116="Resolved",IF($U116="","",$U116-$A116),TODAY()-$A116))</f>
        <v/>
      </c>
      <c r="W116" s="47">
        <f>IF(AND($C116&lt;&gt;"",$C116='Store History'!$C$4,OR('Store History'!$C$5="",$F116='Store History'!$C$5)),1,0)</f>
        <v/>
      </c>
      <c r="X116" s="47">
        <f>IF($W116=1,SUM($W116:$W$1005),"")</f>
        <v/>
      </c>
    </row>
    <row r="117">
      <c r="A117" s="59" t="n"/>
      <c r="B117" s="60" t="n"/>
      <c r="C117" s="60" t="n"/>
      <c r="D117" s="45">
        <f>IF($C117="","",IFERROR(INDEX('Chain Program'!$B$6:$B$120,MATCH($C117,'Chain Program'!$A$6:$A$120,0)),"Unknown ID"))</f>
        <v/>
      </c>
      <c r="E117" s="45">
        <f>IF($C117="","",IFERROR(INDEX('Chain Program'!$D$6:$D$120,MATCH($C117,'Chain Program'!$A$6:$A$120,0)),"Unknown ID"))</f>
        <v/>
      </c>
      <c r="F117" s="60" t="n"/>
      <c r="G117" s="60" t="n"/>
      <c r="H117" s="56">
        <f>IF(OR($C117="",$A117=""),"",IF(COUNTIFS('Promo Calendar'!$A$6:$A$400,$C117,'Promo Calendar'!$D$6:$D$400,IF($G117="","All",$G117),'Promo Calendar'!$I$6:$I$400,"&lt;="&amp;$A117,'Promo Calendar'!$J$6:$J$400,"&gt;="&amp;$A117,'Promo Calendar'!$G$6:$G$400,"&gt;0")&gt;0,_xlfn.MINIFS('Promo Calendar'!$G$6:$G$400,'Promo Calendar'!$A$6:$A$400,$C117,'Promo Calendar'!$D$6:$D$400,IF($G117="","All",$G117),'Promo Calendar'!$I$6:$I$400,"&lt;="&amp;$A117,'Promo Calendar'!$J$6:$J$400,"&gt;="&amp;$A117,'Promo Calendar'!$G$6:$G$400,"&gt;0"),IF(COUNTIFS('Promo Calendar'!$A$6:$A$400,$C117,'Promo Calendar'!$D$6:$D$400,"All",'Promo Calendar'!$I$6:$I$400,"&lt;="&amp;$A117,'Promo Calendar'!$J$6:$J$400,"&gt;="&amp;$A117,'Promo Calendar'!$G$6:$G$400,"&gt;0")&gt;0,_xlfn.MINIFS('Promo Calendar'!$G$6:$G$400,'Promo Calendar'!$A$6:$A$400,$C117,'Promo Calendar'!$D$6:$D$400,"All",'Promo Calendar'!$I$6:$I$400,"&lt;="&amp;$A117,'Promo Calendar'!$J$6:$J$400,"&gt;="&amp;$A117,'Promo Calendar'!$G$6:$G$400,"&gt;0"),IFERROR(IF(INDEX('Chain Program'!$M$6:$M$120,MATCH($C117,'Chain Program'!$A$6:$A$120,0))="","Not set",INDEX('Chain Program'!$M$6:$M$120,MATCH($C117,'Chain Program'!$A$6:$A$120,0))),"Not set"))))</f>
        <v/>
      </c>
      <c r="I117" s="61" t="n"/>
      <c r="J117" s="45">
        <f>IF($I117="","",IF(NOT(ISNUMBER($H117)),"No plan price",IF(ABS($I117-$H117)&lt;0.005,"Match",IF($I117&gt;$H117,"Over plan","Under plan"))))</f>
        <v/>
      </c>
      <c r="K117" s="60" t="n"/>
      <c r="L117" s="60" t="n"/>
      <c r="M117" s="60" t="n"/>
      <c r="N117" s="60" t="n"/>
      <c r="O117" s="60" t="n"/>
      <c r="P117" s="62" t="n"/>
      <c r="Q117" s="62" t="n"/>
      <c r="R117" s="60" t="n"/>
      <c r="S117" s="59" t="n"/>
      <c r="T117" s="60" t="n"/>
      <c r="U117" s="59" t="n"/>
      <c r="V117" s="45">
        <f>IF(OR($A117="",$T117="",$T117="No Issue"),"",IF($T117="Resolved",IF($U117="","",$U117-$A117),TODAY()-$A117))</f>
        <v/>
      </c>
      <c r="W117" s="47">
        <f>IF(AND($C117&lt;&gt;"",$C117='Store History'!$C$4,OR('Store History'!$C$5="",$F117='Store History'!$C$5)),1,0)</f>
        <v/>
      </c>
      <c r="X117" s="47">
        <f>IF($W117=1,SUM($W117:$W$1005),"")</f>
        <v/>
      </c>
    </row>
    <row r="118">
      <c r="A118" s="59" t="n"/>
      <c r="B118" s="60" t="n"/>
      <c r="C118" s="60" t="n"/>
      <c r="D118" s="45">
        <f>IF($C118="","",IFERROR(INDEX('Chain Program'!$B$6:$B$120,MATCH($C118,'Chain Program'!$A$6:$A$120,0)),"Unknown ID"))</f>
        <v/>
      </c>
      <c r="E118" s="45">
        <f>IF($C118="","",IFERROR(INDEX('Chain Program'!$D$6:$D$120,MATCH($C118,'Chain Program'!$A$6:$A$120,0)),"Unknown ID"))</f>
        <v/>
      </c>
      <c r="F118" s="60" t="n"/>
      <c r="G118" s="60" t="n"/>
      <c r="H118" s="56">
        <f>IF(OR($C118="",$A118=""),"",IF(COUNTIFS('Promo Calendar'!$A$6:$A$400,$C118,'Promo Calendar'!$D$6:$D$400,IF($G118="","All",$G118),'Promo Calendar'!$I$6:$I$400,"&lt;="&amp;$A118,'Promo Calendar'!$J$6:$J$400,"&gt;="&amp;$A118,'Promo Calendar'!$G$6:$G$400,"&gt;0")&gt;0,_xlfn.MINIFS('Promo Calendar'!$G$6:$G$400,'Promo Calendar'!$A$6:$A$400,$C118,'Promo Calendar'!$D$6:$D$400,IF($G118="","All",$G118),'Promo Calendar'!$I$6:$I$400,"&lt;="&amp;$A118,'Promo Calendar'!$J$6:$J$400,"&gt;="&amp;$A118,'Promo Calendar'!$G$6:$G$400,"&gt;0"),IF(COUNTIFS('Promo Calendar'!$A$6:$A$400,$C118,'Promo Calendar'!$D$6:$D$400,"All",'Promo Calendar'!$I$6:$I$400,"&lt;="&amp;$A118,'Promo Calendar'!$J$6:$J$400,"&gt;="&amp;$A118,'Promo Calendar'!$G$6:$G$400,"&gt;0")&gt;0,_xlfn.MINIFS('Promo Calendar'!$G$6:$G$400,'Promo Calendar'!$A$6:$A$400,$C118,'Promo Calendar'!$D$6:$D$400,"All",'Promo Calendar'!$I$6:$I$400,"&lt;="&amp;$A118,'Promo Calendar'!$J$6:$J$400,"&gt;="&amp;$A118,'Promo Calendar'!$G$6:$G$400,"&gt;0"),IFERROR(IF(INDEX('Chain Program'!$M$6:$M$120,MATCH($C118,'Chain Program'!$A$6:$A$120,0))="","Not set",INDEX('Chain Program'!$M$6:$M$120,MATCH($C118,'Chain Program'!$A$6:$A$120,0))),"Not set"))))</f>
        <v/>
      </c>
      <c r="I118" s="61" t="n"/>
      <c r="J118" s="45">
        <f>IF($I118="","",IF(NOT(ISNUMBER($H118)),"No plan price",IF(ABS($I118-$H118)&lt;0.005,"Match",IF($I118&gt;$H118,"Over plan","Under plan"))))</f>
        <v/>
      </c>
      <c r="K118" s="60" t="n"/>
      <c r="L118" s="60" t="n"/>
      <c r="M118" s="60" t="n"/>
      <c r="N118" s="60" t="n"/>
      <c r="O118" s="60" t="n"/>
      <c r="P118" s="62" t="n"/>
      <c r="Q118" s="62" t="n"/>
      <c r="R118" s="60" t="n"/>
      <c r="S118" s="59" t="n"/>
      <c r="T118" s="60" t="n"/>
      <c r="U118" s="59" t="n"/>
      <c r="V118" s="45">
        <f>IF(OR($A118="",$T118="",$T118="No Issue"),"",IF($T118="Resolved",IF($U118="","",$U118-$A118),TODAY()-$A118))</f>
        <v/>
      </c>
      <c r="W118" s="47">
        <f>IF(AND($C118&lt;&gt;"",$C118='Store History'!$C$4,OR('Store History'!$C$5="",$F118='Store History'!$C$5)),1,0)</f>
        <v/>
      </c>
      <c r="X118" s="47">
        <f>IF($W118=1,SUM($W118:$W$1005),"")</f>
        <v/>
      </c>
    </row>
    <row r="119">
      <c r="A119" s="59" t="n"/>
      <c r="B119" s="60" t="n"/>
      <c r="C119" s="60" t="n"/>
      <c r="D119" s="45">
        <f>IF($C119="","",IFERROR(INDEX('Chain Program'!$B$6:$B$120,MATCH($C119,'Chain Program'!$A$6:$A$120,0)),"Unknown ID"))</f>
        <v/>
      </c>
      <c r="E119" s="45">
        <f>IF($C119="","",IFERROR(INDEX('Chain Program'!$D$6:$D$120,MATCH($C119,'Chain Program'!$A$6:$A$120,0)),"Unknown ID"))</f>
        <v/>
      </c>
      <c r="F119" s="60" t="n"/>
      <c r="G119" s="60" t="n"/>
      <c r="H119" s="56">
        <f>IF(OR($C119="",$A119=""),"",IF(COUNTIFS('Promo Calendar'!$A$6:$A$400,$C119,'Promo Calendar'!$D$6:$D$400,IF($G119="","All",$G119),'Promo Calendar'!$I$6:$I$400,"&lt;="&amp;$A119,'Promo Calendar'!$J$6:$J$400,"&gt;="&amp;$A119,'Promo Calendar'!$G$6:$G$400,"&gt;0")&gt;0,_xlfn.MINIFS('Promo Calendar'!$G$6:$G$400,'Promo Calendar'!$A$6:$A$400,$C119,'Promo Calendar'!$D$6:$D$400,IF($G119="","All",$G119),'Promo Calendar'!$I$6:$I$400,"&lt;="&amp;$A119,'Promo Calendar'!$J$6:$J$400,"&gt;="&amp;$A119,'Promo Calendar'!$G$6:$G$400,"&gt;0"),IF(COUNTIFS('Promo Calendar'!$A$6:$A$400,$C119,'Promo Calendar'!$D$6:$D$400,"All",'Promo Calendar'!$I$6:$I$400,"&lt;="&amp;$A119,'Promo Calendar'!$J$6:$J$400,"&gt;="&amp;$A119,'Promo Calendar'!$G$6:$G$400,"&gt;0")&gt;0,_xlfn.MINIFS('Promo Calendar'!$G$6:$G$400,'Promo Calendar'!$A$6:$A$400,$C119,'Promo Calendar'!$D$6:$D$400,"All",'Promo Calendar'!$I$6:$I$400,"&lt;="&amp;$A119,'Promo Calendar'!$J$6:$J$400,"&gt;="&amp;$A119,'Promo Calendar'!$G$6:$G$400,"&gt;0"),IFERROR(IF(INDEX('Chain Program'!$M$6:$M$120,MATCH($C119,'Chain Program'!$A$6:$A$120,0))="","Not set",INDEX('Chain Program'!$M$6:$M$120,MATCH($C119,'Chain Program'!$A$6:$A$120,0))),"Not set"))))</f>
        <v/>
      </c>
      <c r="I119" s="61" t="n"/>
      <c r="J119" s="45">
        <f>IF($I119="","",IF(NOT(ISNUMBER($H119)),"No plan price",IF(ABS($I119-$H119)&lt;0.005,"Match",IF($I119&gt;$H119,"Over plan","Under plan"))))</f>
        <v/>
      </c>
      <c r="K119" s="60" t="n"/>
      <c r="L119" s="60" t="n"/>
      <c r="M119" s="60" t="n"/>
      <c r="N119" s="60" t="n"/>
      <c r="O119" s="60" t="n"/>
      <c r="P119" s="62" t="n"/>
      <c r="Q119" s="62" t="n"/>
      <c r="R119" s="60" t="n"/>
      <c r="S119" s="59" t="n"/>
      <c r="T119" s="60" t="n"/>
      <c r="U119" s="59" t="n"/>
      <c r="V119" s="45">
        <f>IF(OR($A119="",$T119="",$T119="No Issue"),"",IF($T119="Resolved",IF($U119="","",$U119-$A119),TODAY()-$A119))</f>
        <v/>
      </c>
      <c r="W119" s="47">
        <f>IF(AND($C119&lt;&gt;"",$C119='Store History'!$C$4,OR('Store History'!$C$5="",$F119='Store History'!$C$5)),1,0)</f>
        <v/>
      </c>
      <c r="X119" s="47">
        <f>IF($W119=1,SUM($W119:$W$1005),"")</f>
        <v/>
      </c>
    </row>
    <row r="120">
      <c r="A120" s="59" t="n"/>
      <c r="B120" s="60" t="n"/>
      <c r="C120" s="60" t="n"/>
      <c r="D120" s="45">
        <f>IF($C120="","",IFERROR(INDEX('Chain Program'!$B$6:$B$120,MATCH($C120,'Chain Program'!$A$6:$A$120,0)),"Unknown ID"))</f>
        <v/>
      </c>
      <c r="E120" s="45">
        <f>IF($C120="","",IFERROR(INDEX('Chain Program'!$D$6:$D$120,MATCH($C120,'Chain Program'!$A$6:$A$120,0)),"Unknown ID"))</f>
        <v/>
      </c>
      <c r="F120" s="60" t="n"/>
      <c r="G120" s="60" t="n"/>
      <c r="H120" s="56">
        <f>IF(OR($C120="",$A120=""),"",IF(COUNTIFS('Promo Calendar'!$A$6:$A$400,$C120,'Promo Calendar'!$D$6:$D$400,IF($G120="","All",$G120),'Promo Calendar'!$I$6:$I$400,"&lt;="&amp;$A120,'Promo Calendar'!$J$6:$J$400,"&gt;="&amp;$A120,'Promo Calendar'!$G$6:$G$400,"&gt;0")&gt;0,_xlfn.MINIFS('Promo Calendar'!$G$6:$G$400,'Promo Calendar'!$A$6:$A$400,$C120,'Promo Calendar'!$D$6:$D$400,IF($G120="","All",$G120),'Promo Calendar'!$I$6:$I$400,"&lt;="&amp;$A120,'Promo Calendar'!$J$6:$J$400,"&gt;="&amp;$A120,'Promo Calendar'!$G$6:$G$400,"&gt;0"),IF(COUNTIFS('Promo Calendar'!$A$6:$A$400,$C120,'Promo Calendar'!$D$6:$D$400,"All",'Promo Calendar'!$I$6:$I$400,"&lt;="&amp;$A120,'Promo Calendar'!$J$6:$J$400,"&gt;="&amp;$A120,'Promo Calendar'!$G$6:$G$400,"&gt;0")&gt;0,_xlfn.MINIFS('Promo Calendar'!$G$6:$G$400,'Promo Calendar'!$A$6:$A$400,$C120,'Promo Calendar'!$D$6:$D$400,"All",'Promo Calendar'!$I$6:$I$400,"&lt;="&amp;$A120,'Promo Calendar'!$J$6:$J$400,"&gt;="&amp;$A120,'Promo Calendar'!$G$6:$G$400,"&gt;0"),IFERROR(IF(INDEX('Chain Program'!$M$6:$M$120,MATCH($C120,'Chain Program'!$A$6:$A$120,0))="","Not set",INDEX('Chain Program'!$M$6:$M$120,MATCH($C120,'Chain Program'!$A$6:$A$120,0))),"Not set"))))</f>
        <v/>
      </c>
      <c r="I120" s="61" t="n"/>
      <c r="J120" s="45">
        <f>IF($I120="","",IF(NOT(ISNUMBER($H120)),"No plan price",IF(ABS($I120-$H120)&lt;0.005,"Match",IF($I120&gt;$H120,"Over plan","Under plan"))))</f>
        <v/>
      </c>
      <c r="K120" s="60" t="n"/>
      <c r="L120" s="60" t="n"/>
      <c r="M120" s="60" t="n"/>
      <c r="N120" s="60" t="n"/>
      <c r="O120" s="60" t="n"/>
      <c r="P120" s="62" t="n"/>
      <c r="Q120" s="62" t="n"/>
      <c r="R120" s="60" t="n"/>
      <c r="S120" s="59" t="n"/>
      <c r="T120" s="60" t="n"/>
      <c r="U120" s="59" t="n"/>
      <c r="V120" s="45">
        <f>IF(OR($A120="",$T120="",$T120="No Issue"),"",IF($T120="Resolved",IF($U120="","",$U120-$A120),TODAY()-$A120))</f>
        <v/>
      </c>
      <c r="W120" s="47">
        <f>IF(AND($C120&lt;&gt;"",$C120='Store History'!$C$4,OR('Store History'!$C$5="",$F120='Store History'!$C$5)),1,0)</f>
        <v/>
      </c>
      <c r="X120" s="47">
        <f>IF($W120=1,SUM($W120:$W$1005),"")</f>
        <v/>
      </c>
    </row>
    <row r="121">
      <c r="A121" s="59" t="n"/>
      <c r="B121" s="60" t="n"/>
      <c r="C121" s="60" t="n"/>
      <c r="D121" s="45">
        <f>IF($C121="","",IFERROR(INDEX('Chain Program'!$B$6:$B$120,MATCH($C121,'Chain Program'!$A$6:$A$120,0)),"Unknown ID"))</f>
        <v/>
      </c>
      <c r="E121" s="45">
        <f>IF($C121="","",IFERROR(INDEX('Chain Program'!$D$6:$D$120,MATCH($C121,'Chain Program'!$A$6:$A$120,0)),"Unknown ID"))</f>
        <v/>
      </c>
      <c r="F121" s="60" t="n"/>
      <c r="G121" s="60" t="n"/>
      <c r="H121" s="56">
        <f>IF(OR($C121="",$A121=""),"",IF(COUNTIFS('Promo Calendar'!$A$6:$A$400,$C121,'Promo Calendar'!$D$6:$D$400,IF($G121="","All",$G121),'Promo Calendar'!$I$6:$I$400,"&lt;="&amp;$A121,'Promo Calendar'!$J$6:$J$400,"&gt;="&amp;$A121,'Promo Calendar'!$G$6:$G$400,"&gt;0")&gt;0,_xlfn.MINIFS('Promo Calendar'!$G$6:$G$400,'Promo Calendar'!$A$6:$A$400,$C121,'Promo Calendar'!$D$6:$D$400,IF($G121="","All",$G121),'Promo Calendar'!$I$6:$I$400,"&lt;="&amp;$A121,'Promo Calendar'!$J$6:$J$400,"&gt;="&amp;$A121,'Promo Calendar'!$G$6:$G$400,"&gt;0"),IF(COUNTIFS('Promo Calendar'!$A$6:$A$400,$C121,'Promo Calendar'!$D$6:$D$400,"All",'Promo Calendar'!$I$6:$I$400,"&lt;="&amp;$A121,'Promo Calendar'!$J$6:$J$400,"&gt;="&amp;$A121,'Promo Calendar'!$G$6:$G$400,"&gt;0")&gt;0,_xlfn.MINIFS('Promo Calendar'!$G$6:$G$400,'Promo Calendar'!$A$6:$A$400,$C121,'Promo Calendar'!$D$6:$D$400,"All",'Promo Calendar'!$I$6:$I$400,"&lt;="&amp;$A121,'Promo Calendar'!$J$6:$J$400,"&gt;="&amp;$A121,'Promo Calendar'!$G$6:$G$400,"&gt;0"),IFERROR(IF(INDEX('Chain Program'!$M$6:$M$120,MATCH($C121,'Chain Program'!$A$6:$A$120,0))="","Not set",INDEX('Chain Program'!$M$6:$M$120,MATCH($C121,'Chain Program'!$A$6:$A$120,0))),"Not set"))))</f>
        <v/>
      </c>
      <c r="I121" s="61" t="n"/>
      <c r="J121" s="45">
        <f>IF($I121="","",IF(NOT(ISNUMBER($H121)),"No plan price",IF(ABS($I121-$H121)&lt;0.005,"Match",IF($I121&gt;$H121,"Over plan","Under plan"))))</f>
        <v/>
      </c>
      <c r="K121" s="60" t="n"/>
      <c r="L121" s="60" t="n"/>
      <c r="M121" s="60" t="n"/>
      <c r="N121" s="60" t="n"/>
      <c r="O121" s="60" t="n"/>
      <c r="P121" s="62" t="n"/>
      <c r="Q121" s="62" t="n"/>
      <c r="R121" s="60" t="n"/>
      <c r="S121" s="59" t="n"/>
      <c r="T121" s="60" t="n"/>
      <c r="U121" s="59" t="n"/>
      <c r="V121" s="45">
        <f>IF(OR($A121="",$T121="",$T121="No Issue"),"",IF($T121="Resolved",IF($U121="","",$U121-$A121),TODAY()-$A121))</f>
        <v/>
      </c>
      <c r="W121" s="47">
        <f>IF(AND($C121&lt;&gt;"",$C121='Store History'!$C$4,OR('Store History'!$C$5="",$F121='Store History'!$C$5)),1,0)</f>
        <v/>
      </c>
      <c r="X121" s="47">
        <f>IF($W121=1,SUM($W121:$W$1005),"")</f>
        <v/>
      </c>
    </row>
    <row r="122">
      <c r="A122" s="59" t="n"/>
      <c r="B122" s="60" t="n"/>
      <c r="C122" s="60" t="n"/>
      <c r="D122" s="45">
        <f>IF($C122="","",IFERROR(INDEX('Chain Program'!$B$6:$B$120,MATCH($C122,'Chain Program'!$A$6:$A$120,0)),"Unknown ID"))</f>
        <v/>
      </c>
      <c r="E122" s="45">
        <f>IF($C122="","",IFERROR(INDEX('Chain Program'!$D$6:$D$120,MATCH($C122,'Chain Program'!$A$6:$A$120,0)),"Unknown ID"))</f>
        <v/>
      </c>
      <c r="F122" s="60" t="n"/>
      <c r="G122" s="60" t="n"/>
      <c r="H122" s="56">
        <f>IF(OR($C122="",$A122=""),"",IF(COUNTIFS('Promo Calendar'!$A$6:$A$400,$C122,'Promo Calendar'!$D$6:$D$400,IF($G122="","All",$G122),'Promo Calendar'!$I$6:$I$400,"&lt;="&amp;$A122,'Promo Calendar'!$J$6:$J$400,"&gt;="&amp;$A122,'Promo Calendar'!$G$6:$G$400,"&gt;0")&gt;0,_xlfn.MINIFS('Promo Calendar'!$G$6:$G$400,'Promo Calendar'!$A$6:$A$400,$C122,'Promo Calendar'!$D$6:$D$400,IF($G122="","All",$G122),'Promo Calendar'!$I$6:$I$400,"&lt;="&amp;$A122,'Promo Calendar'!$J$6:$J$400,"&gt;="&amp;$A122,'Promo Calendar'!$G$6:$G$400,"&gt;0"),IF(COUNTIFS('Promo Calendar'!$A$6:$A$400,$C122,'Promo Calendar'!$D$6:$D$400,"All",'Promo Calendar'!$I$6:$I$400,"&lt;="&amp;$A122,'Promo Calendar'!$J$6:$J$400,"&gt;="&amp;$A122,'Promo Calendar'!$G$6:$G$400,"&gt;0")&gt;0,_xlfn.MINIFS('Promo Calendar'!$G$6:$G$400,'Promo Calendar'!$A$6:$A$400,$C122,'Promo Calendar'!$D$6:$D$400,"All",'Promo Calendar'!$I$6:$I$400,"&lt;="&amp;$A122,'Promo Calendar'!$J$6:$J$400,"&gt;="&amp;$A122,'Promo Calendar'!$G$6:$G$400,"&gt;0"),IFERROR(IF(INDEX('Chain Program'!$M$6:$M$120,MATCH($C122,'Chain Program'!$A$6:$A$120,0))="","Not set",INDEX('Chain Program'!$M$6:$M$120,MATCH($C122,'Chain Program'!$A$6:$A$120,0))),"Not set"))))</f>
        <v/>
      </c>
      <c r="I122" s="61" t="n"/>
      <c r="J122" s="45">
        <f>IF($I122="","",IF(NOT(ISNUMBER($H122)),"No plan price",IF(ABS($I122-$H122)&lt;0.005,"Match",IF($I122&gt;$H122,"Over plan","Under plan"))))</f>
        <v/>
      </c>
      <c r="K122" s="60" t="n"/>
      <c r="L122" s="60" t="n"/>
      <c r="M122" s="60" t="n"/>
      <c r="N122" s="60" t="n"/>
      <c r="O122" s="60" t="n"/>
      <c r="P122" s="62" t="n"/>
      <c r="Q122" s="62" t="n"/>
      <c r="R122" s="60" t="n"/>
      <c r="S122" s="59" t="n"/>
      <c r="T122" s="60" t="n"/>
      <c r="U122" s="59" t="n"/>
      <c r="V122" s="45">
        <f>IF(OR($A122="",$T122="",$T122="No Issue"),"",IF($T122="Resolved",IF($U122="","",$U122-$A122),TODAY()-$A122))</f>
        <v/>
      </c>
      <c r="W122" s="47">
        <f>IF(AND($C122&lt;&gt;"",$C122='Store History'!$C$4,OR('Store History'!$C$5="",$F122='Store History'!$C$5)),1,0)</f>
        <v/>
      </c>
      <c r="X122" s="47">
        <f>IF($W122=1,SUM($W122:$W$1005),"")</f>
        <v/>
      </c>
    </row>
    <row r="123">
      <c r="A123" s="59" t="n"/>
      <c r="B123" s="60" t="n"/>
      <c r="C123" s="60" t="n"/>
      <c r="D123" s="45">
        <f>IF($C123="","",IFERROR(INDEX('Chain Program'!$B$6:$B$120,MATCH($C123,'Chain Program'!$A$6:$A$120,0)),"Unknown ID"))</f>
        <v/>
      </c>
      <c r="E123" s="45">
        <f>IF($C123="","",IFERROR(INDEX('Chain Program'!$D$6:$D$120,MATCH($C123,'Chain Program'!$A$6:$A$120,0)),"Unknown ID"))</f>
        <v/>
      </c>
      <c r="F123" s="60" t="n"/>
      <c r="G123" s="60" t="n"/>
      <c r="H123" s="56">
        <f>IF(OR($C123="",$A123=""),"",IF(COUNTIFS('Promo Calendar'!$A$6:$A$400,$C123,'Promo Calendar'!$D$6:$D$400,IF($G123="","All",$G123),'Promo Calendar'!$I$6:$I$400,"&lt;="&amp;$A123,'Promo Calendar'!$J$6:$J$400,"&gt;="&amp;$A123,'Promo Calendar'!$G$6:$G$400,"&gt;0")&gt;0,_xlfn.MINIFS('Promo Calendar'!$G$6:$G$400,'Promo Calendar'!$A$6:$A$400,$C123,'Promo Calendar'!$D$6:$D$400,IF($G123="","All",$G123),'Promo Calendar'!$I$6:$I$400,"&lt;="&amp;$A123,'Promo Calendar'!$J$6:$J$400,"&gt;="&amp;$A123,'Promo Calendar'!$G$6:$G$400,"&gt;0"),IF(COUNTIFS('Promo Calendar'!$A$6:$A$400,$C123,'Promo Calendar'!$D$6:$D$400,"All",'Promo Calendar'!$I$6:$I$400,"&lt;="&amp;$A123,'Promo Calendar'!$J$6:$J$400,"&gt;="&amp;$A123,'Promo Calendar'!$G$6:$G$400,"&gt;0")&gt;0,_xlfn.MINIFS('Promo Calendar'!$G$6:$G$400,'Promo Calendar'!$A$6:$A$400,$C123,'Promo Calendar'!$D$6:$D$400,"All",'Promo Calendar'!$I$6:$I$400,"&lt;="&amp;$A123,'Promo Calendar'!$J$6:$J$400,"&gt;="&amp;$A123,'Promo Calendar'!$G$6:$G$400,"&gt;0"),IFERROR(IF(INDEX('Chain Program'!$M$6:$M$120,MATCH($C123,'Chain Program'!$A$6:$A$120,0))="","Not set",INDEX('Chain Program'!$M$6:$M$120,MATCH($C123,'Chain Program'!$A$6:$A$120,0))),"Not set"))))</f>
        <v/>
      </c>
      <c r="I123" s="61" t="n"/>
      <c r="J123" s="45">
        <f>IF($I123="","",IF(NOT(ISNUMBER($H123)),"No plan price",IF(ABS($I123-$H123)&lt;0.005,"Match",IF($I123&gt;$H123,"Over plan","Under plan"))))</f>
        <v/>
      </c>
      <c r="K123" s="60" t="n"/>
      <c r="L123" s="60" t="n"/>
      <c r="M123" s="60" t="n"/>
      <c r="N123" s="60" t="n"/>
      <c r="O123" s="60" t="n"/>
      <c r="P123" s="62" t="n"/>
      <c r="Q123" s="62" t="n"/>
      <c r="R123" s="60" t="n"/>
      <c r="S123" s="59" t="n"/>
      <c r="T123" s="60" t="n"/>
      <c r="U123" s="59" t="n"/>
      <c r="V123" s="45">
        <f>IF(OR($A123="",$T123="",$T123="No Issue"),"",IF($T123="Resolved",IF($U123="","",$U123-$A123),TODAY()-$A123))</f>
        <v/>
      </c>
      <c r="W123" s="47">
        <f>IF(AND($C123&lt;&gt;"",$C123='Store History'!$C$4,OR('Store History'!$C$5="",$F123='Store History'!$C$5)),1,0)</f>
        <v/>
      </c>
      <c r="X123" s="47">
        <f>IF($W123=1,SUM($W123:$W$1005),"")</f>
        <v/>
      </c>
    </row>
    <row r="124">
      <c r="A124" s="59" t="n"/>
      <c r="B124" s="60" t="n"/>
      <c r="C124" s="60" t="n"/>
      <c r="D124" s="45">
        <f>IF($C124="","",IFERROR(INDEX('Chain Program'!$B$6:$B$120,MATCH($C124,'Chain Program'!$A$6:$A$120,0)),"Unknown ID"))</f>
        <v/>
      </c>
      <c r="E124" s="45">
        <f>IF($C124="","",IFERROR(INDEX('Chain Program'!$D$6:$D$120,MATCH($C124,'Chain Program'!$A$6:$A$120,0)),"Unknown ID"))</f>
        <v/>
      </c>
      <c r="F124" s="60" t="n"/>
      <c r="G124" s="60" t="n"/>
      <c r="H124" s="56">
        <f>IF(OR($C124="",$A124=""),"",IF(COUNTIFS('Promo Calendar'!$A$6:$A$400,$C124,'Promo Calendar'!$D$6:$D$400,IF($G124="","All",$G124),'Promo Calendar'!$I$6:$I$400,"&lt;="&amp;$A124,'Promo Calendar'!$J$6:$J$400,"&gt;="&amp;$A124,'Promo Calendar'!$G$6:$G$400,"&gt;0")&gt;0,_xlfn.MINIFS('Promo Calendar'!$G$6:$G$400,'Promo Calendar'!$A$6:$A$400,$C124,'Promo Calendar'!$D$6:$D$400,IF($G124="","All",$G124),'Promo Calendar'!$I$6:$I$400,"&lt;="&amp;$A124,'Promo Calendar'!$J$6:$J$400,"&gt;="&amp;$A124,'Promo Calendar'!$G$6:$G$400,"&gt;0"),IF(COUNTIFS('Promo Calendar'!$A$6:$A$400,$C124,'Promo Calendar'!$D$6:$D$400,"All",'Promo Calendar'!$I$6:$I$400,"&lt;="&amp;$A124,'Promo Calendar'!$J$6:$J$400,"&gt;="&amp;$A124,'Promo Calendar'!$G$6:$G$400,"&gt;0")&gt;0,_xlfn.MINIFS('Promo Calendar'!$G$6:$G$400,'Promo Calendar'!$A$6:$A$400,$C124,'Promo Calendar'!$D$6:$D$400,"All",'Promo Calendar'!$I$6:$I$400,"&lt;="&amp;$A124,'Promo Calendar'!$J$6:$J$400,"&gt;="&amp;$A124,'Promo Calendar'!$G$6:$G$400,"&gt;0"),IFERROR(IF(INDEX('Chain Program'!$M$6:$M$120,MATCH($C124,'Chain Program'!$A$6:$A$120,0))="","Not set",INDEX('Chain Program'!$M$6:$M$120,MATCH($C124,'Chain Program'!$A$6:$A$120,0))),"Not set"))))</f>
        <v/>
      </c>
      <c r="I124" s="61" t="n"/>
      <c r="J124" s="45">
        <f>IF($I124="","",IF(NOT(ISNUMBER($H124)),"No plan price",IF(ABS($I124-$H124)&lt;0.005,"Match",IF($I124&gt;$H124,"Over plan","Under plan"))))</f>
        <v/>
      </c>
      <c r="K124" s="60" t="n"/>
      <c r="L124" s="60" t="n"/>
      <c r="M124" s="60" t="n"/>
      <c r="N124" s="60" t="n"/>
      <c r="O124" s="60" t="n"/>
      <c r="P124" s="62" t="n"/>
      <c r="Q124" s="62" t="n"/>
      <c r="R124" s="60" t="n"/>
      <c r="S124" s="59" t="n"/>
      <c r="T124" s="60" t="n"/>
      <c r="U124" s="59" t="n"/>
      <c r="V124" s="45">
        <f>IF(OR($A124="",$T124="",$T124="No Issue"),"",IF($T124="Resolved",IF($U124="","",$U124-$A124),TODAY()-$A124))</f>
        <v/>
      </c>
      <c r="W124" s="47">
        <f>IF(AND($C124&lt;&gt;"",$C124='Store History'!$C$4,OR('Store History'!$C$5="",$F124='Store History'!$C$5)),1,0)</f>
        <v/>
      </c>
      <c r="X124" s="47">
        <f>IF($W124=1,SUM($W124:$W$1005),"")</f>
        <v/>
      </c>
    </row>
    <row r="125">
      <c r="A125" s="59" t="n"/>
      <c r="B125" s="60" t="n"/>
      <c r="C125" s="60" t="n"/>
      <c r="D125" s="45">
        <f>IF($C125="","",IFERROR(INDEX('Chain Program'!$B$6:$B$120,MATCH($C125,'Chain Program'!$A$6:$A$120,0)),"Unknown ID"))</f>
        <v/>
      </c>
      <c r="E125" s="45">
        <f>IF($C125="","",IFERROR(INDEX('Chain Program'!$D$6:$D$120,MATCH($C125,'Chain Program'!$A$6:$A$120,0)),"Unknown ID"))</f>
        <v/>
      </c>
      <c r="F125" s="60" t="n"/>
      <c r="G125" s="60" t="n"/>
      <c r="H125" s="56">
        <f>IF(OR($C125="",$A125=""),"",IF(COUNTIFS('Promo Calendar'!$A$6:$A$400,$C125,'Promo Calendar'!$D$6:$D$400,IF($G125="","All",$G125),'Promo Calendar'!$I$6:$I$400,"&lt;="&amp;$A125,'Promo Calendar'!$J$6:$J$400,"&gt;="&amp;$A125,'Promo Calendar'!$G$6:$G$400,"&gt;0")&gt;0,_xlfn.MINIFS('Promo Calendar'!$G$6:$G$400,'Promo Calendar'!$A$6:$A$400,$C125,'Promo Calendar'!$D$6:$D$400,IF($G125="","All",$G125),'Promo Calendar'!$I$6:$I$400,"&lt;="&amp;$A125,'Promo Calendar'!$J$6:$J$400,"&gt;="&amp;$A125,'Promo Calendar'!$G$6:$G$400,"&gt;0"),IF(COUNTIFS('Promo Calendar'!$A$6:$A$400,$C125,'Promo Calendar'!$D$6:$D$400,"All",'Promo Calendar'!$I$6:$I$400,"&lt;="&amp;$A125,'Promo Calendar'!$J$6:$J$400,"&gt;="&amp;$A125,'Promo Calendar'!$G$6:$G$400,"&gt;0")&gt;0,_xlfn.MINIFS('Promo Calendar'!$G$6:$G$400,'Promo Calendar'!$A$6:$A$400,$C125,'Promo Calendar'!$D$6:$D$400,"All",'Promo Calendar'!$I$6:$I$400,"&lt;="&amp;$A125,'Promo Calendar'!$J$6:$J$400,"&gt;="&amp;$A125,'Promo Calendar'!$G$6:$G$400,"&gt;0"),IFERROR(IF(INDEX('Chain Program'!$M$6:$M$120,MATCH($C125,'Chain Program'!$A$6:$A$120,0))="","Not set",INDEX('Chain Program'!$M$6:$M$120,MATCH($C125,'Chain Program'!$A$6:$A$120,0))),"Not set"))))</f>
        <v/>
      </c>
      <c r="I125" s="61" t="n"/>
      <c r="J125" s="45">
        <f>IF($I125="","",IF(NOT(ISNUMBER($H125)),"No plan price",IF(ABS($I125-$H125)&lt;0.005,"Match",IF($I125&gt;$H125,"Over plan","Under plan"))))</f>
        <v/>
      </c>
      <c r="K125" s="60" t="n"/>
      <c r="L125" s="60" t="n"/>
      <c r="M125" s="60" t="n"/>
      <c r="N125" s="60" t="n"/>
      <c r="O125" s="60" t="n"/>
      <c r="P125" s="62" t="n"/>
      <c r="Q125" s="62" t="n"/>
      <c r="R125" s="60" t="n"/>
      <c r="S125" s="59" t="n"/>
      <c r="T125" s="60" t="n"/>
      <c r="U125" s="59" t="n"/>
      <c r="V125" s="45">
        <f>IF(OR($A125="",$T125="",$T125="No Issue"),"",IF($T125="Resolved",IF($U125="","",$U125-$A125),TODAY()-$A125))</f>
        <v/>
      </c>
      <c r="W125" s="47">
        <f>IF(AND($C125&lt;&gt;"",$C125='Store History'!$C$4,OR('Store History'!$C$5="",$F125='Store History'!$C$5)),1,0)</f>
        <v/>
      </c>
      <c r="X125" s="47">
        <f>IF($W125=1,SUM($W125:$W$1005),"")</f>
        <v/>
      </c>
    </row>
    <row r="126">
      <c r="A126" s="59" t="n"/>
      <c r="B126" s="60" t="n"/>
      <c r="C126" s="60" t="n"/>
      <c r="D126" s="45">
        <f>IF($C126="","",IFERROR(INDEX('Chain Program'!$B$6:$B$120,MATCH($C126,'Chain Program'!$A$6:$A$120,0)),"Unknown ID"))</f>
        <v/>
      </c>
      <c r="E126" s="45">
        <f>IF($C126="","",IFERROR(INDEX('Chain Program'!$D$6:$D$120,MATCH($C126,'Chain Program'!$A$6:$A$120,0)),"Unknown ID"))</f>
        <v/>
      </c>
      <c r="F126" s="60" t="n"/>
      <c r="G126" s="60" t="n"/>
      <c r="H126" s="56">
        <f>IF(OR($C126="",$A126=""),"",IF(COUNTIFS('Promo Calendar'!$A$6:$A$400,$C126,'Promo Calendar'!$D$6:$D$400,IF($G126="","All",$G126),'Promo Calendar'!$I$6:$I$400,"&lt;="&amp;$A126,'Promo Calendar'!$J$6:$J$400,"&gt;="&amp;$A126,'Promo Calendar'!$G$6:$G$400,"&gt;0")&gt;0,_xlfn.MINIFS('Promo Calendar'!$G$6:$G$400,'Promo Calendar'!$A$6:$A$400,$C126,'Promo Calendar'!$D$6:$D$400,IF($G126="","All",$G126),'Promo Calendar'!$I$6:$I$400,"&lt;="&amp;$A126,'Promo Calendar'!$J$6:$J$400,"&gt;="&amp;$A126,'Promo Calendar'!$G$6:$G$400,"&gt;0"),IF(COUNTIFS('Promo Calendar'!$A$6:$A$400,$C126,'Promo Calendar'!$D$6:$D$400,"All",'Promo Calendar'!$I$6:$I$400,"&lt;="&amp;$A126,'Promo Calendar'!$J$6:$J$400,"&gt;="&amp;$A126,'Promo Calendar'!$G$6:$G$400,"&gt;0")&gt;0,_xlfn.MINIFS('Promo Calendar'!$G$6:$G$400,'Promo Calendar'!$A$6:$A$400,$C126,'Promo Calendar'!$D$6:$D$400,"All",'Promo Calendar'!$I$6:$I$400,"&lt;="&amp;$A126,'Promo Calendar'!$J$6:$J$400,"&gt;="&amp;$A126,'Promo Calendar'!$G$6:$G$400,"&gt;0"),IFERROR(IF(INDEX('Chain Program'!$M$6:$M$120,MATCH($C126,'Chain Program'!$A$6:$A$120,0))="","Not set",INDEX('Chain Program'!$M$6:$M$120,MATCH($C126,'Chain Program'!$A$6:$A$120,0))),"Not set"))))</f>
        <v/>
      </c>
      <c r="I126" s="61" t="n"/>
      <c r="J126" s="45">
        <f>IF($I126="","",IF(NOT(ISNUMBER($H126)),"No plan price",IF(ABS($I126-$H126)&lt;0.005,"Match",IF($I126&gt;$H126,"Over plan","Under plan"))))</f>
        <v/>
      </c>
      <c r="K126" s="60" t="n"/>
      <c r="L126" s="60" t="n"/>
      <c r="M126" s="60" t="n"/>
      <c r="N126" s="60" t="n"/>
      <c r="O126" s="60" t="n"/>
      <c r="P126" s="62" t="n"/>
      <c r="Q126" s="62" t="n"/>
      <c r="R126" s="60" t="n"/>
      <c r="S126" s="59" t="n"/>
      <c r="T126" s="60" t="n"/>
      <c r="U126" s="59" t="n"/>
      <c r="V126" s="45">
        <f>IF(OR($A126="",$T126="",$T126="No Issue"),"",IF($T126="Resolved",IF($U126="","",$U126-$A126),TODAY()-$A126))</f>
        <v/>
      </c>
      <c r="W126" s="47">
        <f>IF(AND($C126&lt;&gt;"",$C126='Store History'!$C$4,OR('Store History'!$C$5="",$F126='Store History'!$C$5)),1,0)</f>
        <v/>
      </c>
      <c r="X126" s="47">
        <f>IF($W126=1,SUM($W126:$W$1005),"")</f>
        <v/>
      </c>
    </row>
    <row r="127">
      <c r="A127" s="59" t="n"/>
      <c r="B127" s="60" t="n"/>
      <c r="C127" s="60" t="n"/>
      <c r="D127" s="45">
        <f>IF($C127="","",IFERROR(INDEX('Chain Program'!$B$6:$B$120,MATCH($C127,'Chain Program'!$A$6:$A$120,0)),"Unknown ID"))</f>
        <v/>
      </c>
      <c r="E127" s="45">
        <f>IF($C127="","",IFERROR(INDEX('Chain Program'!$D$6:$D$120,MATCH($C127,'Chain Program'!$A$6:$A$120,0)),"Unknown ID"))</f>
        <v/>
      </c>
      <c r="F127" s="60" t="n"/>
      <c r="G127" s="60" t="n"/>
      <c r="H127" s="56">
        <f>IF(OR($C127="",$A127=""),"",IF(COUNTIFS('Promo Calendar'!$A$6:$A$400,$C127,'Promo Calendar'!$D$6:$D$400,IF($G127="","All",$G127),'Promo Calendar'!$I$6:$I$400,"&lt;="&amp;$A127,'Promo Calendar'!$J$6:$J$400,"&gt;="&amp;$A127,'Promo Calendar'!$G$6:$G$400,"&gt;0")&gt;0,_xlfn.MINIFS('Promo Calendar'!$G$6:$G$400,'Promo Calendar'!$A$6:$A$400,$C127,'Promo Calendar'!$D$6:$D$400,IF($G127="","All",$G127),'Promo Calendar'!$I$6:$I$400,"&lt;="&amp;$A127,'Promo Calendar'!$J$6:$J$400,"&gt;="&amp;$A127,'Promo Calendar'!$G$6:$G$400,"&gt;0"),IF(COUNTIFS('Promo Calendar'!$A$6:$A$400,$C127,'Promo Calendar'!$D$6:$D$400,"All",'Promo Calendar'!$I$6:$I$400,"&lt;="&amp;$A127,'Promo Calendar'!$J$6:$J$400,"&gt;="&amp;$A127,'Promo Calendar'!$G$6:$G$400,"&gt;0")&gt;0,_xlfn.MINIFS('Promo Calendar'!$G$6:$G$400,'Promo Calendar'!$A$6:$A$400,$C127,'Promo Calendar'!$D$6:$D$400,"All",'Promo Calendar'!$I$6:$I$400,"&lt;="&amp;$A127,'Promo Calendar'!$J$6:$J$400,"&gt;="&amp;$A127,'Promo Calendar'!$G$6:$G$400,"&gt;0"),IFERROR(IF(INDEX('Chain Program'!$M$6:$M$120,MATCH($C127,'Chain Program'!$A$6:$A$120,0))="","Not set",INDEX('Chain Program'!$M$6:$M$120,MATCH($C127,'Chain Program'!$A$6:$A$120,0))),"Not set"))))</f>
        <v/>
      </c>
      <c r="I127" s="61" t="n"/>
      <c r="J127" s="45">
        <f>IF($I127="","",IF(NOT(ISNUMBER($H127)),"No plan price",IF(ABS($I127-$H127)&lt;0.005,"Match",IF($I127&gt;$H127,"Over plan","Under plan"))))</f>
        <v/>
      </c>
      <c r="K127" s="60" t="n"/>
      <c r="L127" s="60" t="n"/>
      <c r="M127" s="60" t="n"/>
      <c r="N127" s="60" t="n"/>
      <c r="O127" s="60" t="n"/>
      <c r="P127" s="62" t="n"/>
      <c r="Q127" s="62" t="n"/>
      <c r="R127" s="60" t="n"/>
      <c r="S127" s="59" t="n"/>
      <c r="T127" s="60" t="n"/>
      <c r="U127" s="59" t="n"/>
      <c r="V127" s="45">
        <f>IF(OR($A127="",$T127="",$T127="No Issue"),"",IF($T127="Resolved",IF($U127="","",$U127-$A127),TODAY()-$A127))</f>
        <v/>
      </c>
      <c r="W127" s="47">
        <f>IF(AND($C127&lt;&gt;"",$C127='Store History'!$C$4,OR('Store History'!$C$5="",$F127='Store History'!$C$5)),1,0)</f>
        <v/>
      </c>
      <c r="X127" s="47">
        <f>IF($W127=1,SUM($W127:$W$1005),"")</f>
        <v/>
      </c>
    </row>
    <row r="128">
      <c r="A128" s="59" t="n"/>
      <c r="B128" s="60" t="n"/>
      <c r="C128" s="60" t="n"/>
      <c r="D128" s="45">
        <f>IF($C128="","",IFERROR(INDEX('Chain Program'!$B$6:$B$120,MATCH($C128,'Chain Program'!$A$6:$A$120,0)),"Unknown ID"))</f>
        <v/>
      </c>
      <c r="E128" s="45">
        <f>IF($C128="","",IFERROR(INDEX('Chain Program'!$D$6:$D$120,MATCH($C128,'Chain Program'!$A$6:$A$120,0)),"Unknown ID"))</f>
        <v/>
      </c>
      <c r="F128" s="60" t="n"/>
      <c r="G128" s="60" t="n"/>
      <c r="H128" s="56">
        <f>IF(OR($C128="",$A128=""),"",IF(COUNTIFS('Promo Calendar'!$A$6:$A$400,$C128,'Promo Calendar'!$D$6:$D$400,IF($G128="","All",$G128),'Promo Calendar'!$I$6:$I$400,"&lt;="&amp;$A128,'Promo Calendar'!$J$6:$J$400,"&gt;="&amp;$A128,'Promo Calendar'!$G$6:$G$400,"&gt;0")&gt;0,_xlfn.MINIFS('Promo Calendar'!$G$6:$G$400,'Promo Calendar'!$A$6:$A$400,$C128,'Promo Calendar'!$D$6:$D$400,IF($G128="","All",$G128),'Promo Calendar'!$I$6:$I$400,"&lt;="&amp;$A128,'Promo Calendar'!$J$6:$J$400,"&gt;="&amp;$A128,'Promo Calendar'!$G$6:$G$400,"&gt;0"),IF(COUNTIFS('Promo Calendar'!$A$6:$A$400,$C128,'Promo Calendar'!$D$6:$D$400,"All",'Promo Calendar'!$I$6:$I$400,"&lt;="&amp;$A128,'Promo Calendar'!$J$6:$J$400,"&gt;="&amp;$A128,'Promo Calendar'!$G$6:$G$400,"&gt;0")&gt;0,_xlfn.MINIFS('Promo Calendar'!$G$6:$G$400,'Promo Calendar'!$A$6:$A$400,$C128,'Promo Calendar'!$D$6:$D$400,"All",'Promo Calendar'!$I$6:$I$400,"&lt;="&amp;$A128,'Promo Calendar'!$J$6:$J$400,"&gt;="&amp;$A128,'Promo Calendar'!$G$6:$G$400,"&gt;0"),IFERROR(IF(INDEX('Chain Program'!$M$6:$M$120,MATCH($C128,'Chain Program'!$A$6:$A$120,0))="","Not set",INDEX('Chain Program'!$M$6:$M$120,MATCH($C128,'Chain Program'!$A$6:$A$120,0))),"Not set"))))</f>
        <v/>
      </c>
      <c r="I128" s="61" t="n"/>
      <c r="J128" s="45">
        <f>IF($I128="","",IF(NOT(ISNUMBER($H128)),"No plan price",IF(ABS($I128-$H128)&lt;0.005,"Match",IF($I128&gt;$H128,"Over plan","Under plan"))))</f>
        <v/>
      </c>
      <c r="K128" s="60" t="n"/>
      <c r="L128" s="60" t="n"/>
      <c r="M128" s="60" t="n"/>
      <c r="N128" s="60" t="n"/>
      <c r="O128" s="60" t="n"/>
      <c r="P128" s="62" t="n"/>
      <c r="Q128" s="62" t="n"/>
      <c r="R128" s="60" t="n"/>
      <c r="S128" s="59" t="n"/>
      <c r="T128" s="60" t="n"/>
      <c r="U128" s="59" t="n"/>
      <c r="V128" s="45">
        <f>IF(OR($A128="",$T128="",$T128="No Issue"),"",IF($T128="Resolved",IF($U128="","",$U128-$A128),TODAY()-$A128))</f>
        <v/>
      </c>
      <c r="W128" s="47">
        <f>IF(AND($C128&lt;&gt;"",$C128='Store History'!$C$4,OR('Store History'!$C$5="",$F128='Store History'!$C$5)),1,0)</f>
        <v/>
      </c>
      <c r="X128" s="47">
        <f>IF($W128=1,SUM($W128:$W$1005),"")</f>
        <v/>
      </c>
    </row>
    <row r="129">
      <c r="A129" s="59" t="n"/>
      <c r="B129" s="60" t="n"/>
      <c r="C129" s="60" t="n"/>
      <c r="D129" s="45">
        <f>IF($C129="","",IFERROR(INDEX('Chain Program'!$B$6:$B$120,MATCH($C129,'Chain Program'!$A$6:$A$120,0)),"Unknown ID"))</f>
        <v/>
      </c>
      <c r="E129" s="45">
        <f>IF($C129="","",IFERROR(INDEX('Chain Program'!$D$6:$D$120,MATCH($C129,'Chain Program'!$A$6:$A$120,0)),"Unknown ID"))</f>
        <v/>
      </c>
      <c r="F129" s="60" t="n"/>
      <c r="G129" s="60" t="n"/>
      <c r="H129" s="56">
        <f>IF(OR($C129="",$A129=""),"",IF(COUNTIFS('Promo Calendar'!$A$6:$A$400,$C129,'Promo Calendar'!$D$6:$D$400,IF($G129="","All",$G129),'Promo Calendar'!$I$6:$I$400,"&lt;="&amp;$A129,'Promo Calendar'!$J$6:$J$400,"&gt;="&amp;$A129,'Promo Calendar'!$G$6:$G$400,"&gt;0")&gt;0,_xlfn.MINIFS('Promo Calendar'!$G$6:$G$400,'Promo Calendar'!$A$6:$A$400,$C129,'Promo Calendar'!$D$6:$D$400,IF($G129="","All",$G129),'Promo Calendar'!$I$6:$I$400,"&lt;="&amp;$A129,'Promo Calendar'!$J$6:$J$400,"&gt;="&amp;$A129,'Promo Calendar'!$G$6:$G$400,"&gt;0"),IF(COUNTIFS('Promo Calendar'!$A$6:$A$400,$C129,'Promo Calendar'!$D$6:$D$400,"All",'Promo Calendar'!$I$6:$I$400,"&lt;="&amp;$A129,'Promo Calendar'!$J$6:$J$400,"&gt;="&amp;$A129,'Promo Calendar'!$G$6:$G$400,"&gt;0")&gt;0,_xlfn.MINIFS('Promo Calendar'!$G$6:$G$400,'Promo Calendar'!$A$6:$A$400,$C129,'Promo Calendar'!$D$6:$D$400,"All",'Promo Calendar'!$I$6:$I$400,"&lt;="&amp;$A129,'Promo Calendar'!$J$6:$J$400,"&gt;="&amp;$A129,'Promo Calendar'!$G$6:$G$400,"&gt;0"),IFERROR(IF(INDEX('Chain Program'!$M$6:$M$120,MATCH($C129,'Chain Program'!$A$6:$A$120,0))="","Not set",INDEX('Chain Program'!$M$6:$M$120,MATCH($C129,'Chain Program'!$A$6:$A$120,0))),"Not set"))))</f>
        <v/>
      </c>
      <c r="I129" s="61" t="n"/>
      <c r="J129" s="45">
        <f>IF($I129="","",IF(NOT(ISNUMBER($H129)),"No plan price",IF(ABS($I129-$H129)&lt;0.005,"Match",IF($I129&gt;$H129,"Over plan","Under plan"))))</f>
        <v/>
      </c>
      <c r="K129" s="60" t="n"/>
      <c r="L129" s="60" t="n"/>
      <c r="M129" s="60" t="n"/>
      <c r="N129" s="60" t="n"/>
      <c r="O129" s="60" t="n"/>
      <c r="P129" s="62" t="n"/>
      <c r="Q129" s="62" t="n"/>
      <c r="R129" s="60" t="n"/>
      <c r="S129" s="59" t="n"/>
      <c r="T129" s="60" t="n"/>
      <c r="U129" s="59" t="n"/>
      <c r="V129" s="45">
        <f>IF(OR($A129="",$T129="",$T129="No Issue"),"",IF($T129="Resolved",IF($U129="","",$U129-$A129),TODAY()-$A129))</f>
        <v/>
      </c>
      <c r="W129" s="47">
        <f>IF(AND($C129&lt;&gt;"",$C129='Store History'!$C$4,OR('Store History'!$C$5="",$F129='Store History'!$C$5)),1,0)</f>
        <v/>
      </c>
      <c r="X129" s="47">
        <f>IF($W129=1,SUM($W129:$W$1005),"")</f>
        <v/>
      </c>
    </row>
    <row r="130">
      <c r="A130" s="59" t="n"/>
      <c r="B130" s="60" t="n"/>
      <c r="C130" s="60" t="n"/>
      <c r="D130" s="45">
        <f>IF($C130="","",IFERROR(INDEX('Chain Program'!$B$6:$B$120,MATCH($C130,'Chain Program'!$A$6:$A$120,0)),"Unknown ID"))</f>
        <v/>
      </c>
      <c r="E130" s="45">
        <f>IF($C130="","",IFERROR(INDEX('Chain Program'!$D$6:$D$120,MATCH($C130,'Chain Program'!$A$6:$A$120,0)),"Unknown ID"))</f>
        <v/>
      </c>
      <c r="F130" s="60" t="n"/>
      <c r="G130" s="60" t="n"/>
      <c r="H130" s="56">
        <f>IF(OR($C130="",$A130=""),"",IF(COUNTIFS('Promo Calendar'!$A$6:$A$400,$C130,'Promo Calendar'!$D$6:$D$400,IF($G130="","All",$G130),'Promo Calendar'!$I$6:$I$400,"&lt;="&amp;$A130,'Promo Calendar'!$J$6:$J$400,"&gt;="&amp;$A130,'Promo Calendar'!$G$6:$G$400,"&gt;0")&gt;0,_xlfn.MINIFS('Promo Calendar'!$G$6:$G$400,'Promo Calendar'!$A$6:$A$400,$C130,'Promo Calendar'!$D$6:$D$400,IF($G130="","All",$G130),'Promo Calendar'!$I$6:$I$400,"&lt;="&amp;$A130,'Promo Calendar'!$J$6:$J$400,"&gt;="&amp;$A130,'Promo Calendar'!$G$6:$G$400,"&gt;0"),IF(COUNTIFS('Promo Calendar'!$A$6:$A$400,$C130,'Promo Calendar'!$D$6:$D$400,"All",'Promo Calendar'!$I$6:$I$400,"&lt;="&amp;$A130,'Promo Calendar'!$J$6:$J$400,"&gt;="&amp;$A130,'Promo Calendar'!$G$6:$G$400,"&gt;0")&gt;0,_xlfn.MINIFS('Promo Calendar'!$G$6:$G$400,'Promo Calendar'!$A$6:$A$400,$C130,'Promo Calendar'!$D$6:$D$400,"All",'Promo Calendar'!$I$6:$I$400,"&lt;="&amp;$A130,'Promo Calendar'!$J$6:$J$400,"&gt;="&amp;$A130,'Promo Calendar'!$G$6:$G$400,"&gt;0"),IFERROR(IF(INDEX('Chain Program'!$M$6:$M$120,MATCH($C130,'Chain Program'!$A$6:$A$120,0))="","Not set",INDEX('Chain Program'!$M$6:$M$120,MATCH($C130,'Chain Program'!$A$6:$A$120,0))),"Not set"))))</f>
        <v/>
      </c>
      <c r="I130" s="61" t="n"/>
      <c r="J130" s="45">
        <f>IF($I130="","",IF(NOT(ISNUMBER($H130)),"No plan price",IF(ABS($I130-$H130)&lt;0.005,"Match",IF($I130&gt;$H130,"Over plan","Under plan"))))</f>
        <v/>
      </c>
      <c r="K130" s="60" t="n"/>
      <c r="L130" s="60" t="n"/>
      <c r="M130" s="60" t="n"/>
      <c r="N130" s="60" t="n"/>
      <c r="O130" s="60" t="n"/>
      <c r="P130" s="62" t="n"/>
      <c r="Q130" s="62" t="n"/>
      <c r="R130" s="60" t="n"/>
      <c r="S130" s="59" t="n"/>
      <c r="T130" s="60" t="n"/>
      <c r="U130" s="59" t="n"/>
      <c r="V130" s="45">
        <f>IF(OR($A130="",$T130="",$T130="No Issue"),"",IF($T130="Resolved",IF($U130="","",$U130-$A130),TODAY()-$A130))</f>
        <v/>
      </c>
      <c r="W130" s="47">
        <f>IF(AND($C130&lt;&gt;"",$C130='Store History'!$C$4,OR('Store History'!$C$5="",$F130='Store History'!$C$5)),1,0)</f>
        <v/>
      </c>
      <c r="X130" s="47">
        <f>IF($W130=1,SUM($W130:$W$1005),"")</f>
        <v/>
      </c>
    </row>
    <row r="131">
      <c r="A131" s="59" t="n"/>
      <c r="B131" s="60" t="n"/>
      <c r="C131" s="60" t="n"/>
      <c r="D131" s="45">
        <f>IF($C131="","",IFERROR(INDEX('Chain Program'!$B$6:$B$120,MATCH($C131,'Chain Program'!$A$6:$A$120,0)),"Unknown ID"))</f>
        <v/>
      </c>
      <c r="E131" s="45">
        <f>IF($C131="","",IFERROR(INDEX('Chain Program'!$D$6:$D$120,MATCH($C131,'Chain Program'!$A$6:$A$120,0)),"Unknown ID"))</f>
        <v/>
      </c>
      <c r="F131" s="60" t="n"/>
      <c r="G131" s="60" t="n"/>
      <c r="H131" s="56">
        <f>IF(OR($C131="",$A131=""),"",IF(COUNTIFS('Promo Calendar'!$A$6:$A$400,$C131,'Promo Calendar'!$D$6:$D$400,IF($G131="","All",$G131),'Promo Calendar'!$I$6:$I$400,"&lt;="&amp;$A131,'Promo Calendar'!$J$6:$J$400,"&gt;="&amp;$A131,'Promo Calendar'!$G$6:$G$400,"&gt;0")&gt;0,_xlfn.MINIFS('Promo Calendar'!$G$6:$G$400,'Promo Calendar'!$A$6:$A$400,$C131,'Promo Calendar'!$D$6:$D$400,IF($G131="","All",$G131),'Promo Calendar'!$I$6:$I$400,"&lt;="&amp;$A131,'Promo Calendar'!$J$6:$J$400,"&gt;="&amp;$A131,'Promo Calendar'!$G$6:$G$400,"&gt;0"),IF(COUNTIFS('Promo Calendar'!$A$6:$A$400,$C131,'Promo Calendar'!$D$6:$D$400,"All",'Promo Calendar'!$I$6:$I$400,"&lt;="&amp;$A131,'Promo Calendar'!$J$6:$J$400,"&gt;="&amp;$A131,'Promo Calendar'!$G$6:$G$400,"&gt;0")&gt;0,_xlfn.MINIFS('Promo Calendar'!$G$6:$G$400,'Promo Calendar'!$A$6:$A$400,$C131,'Promo Calendar'!$D$6:$D$400,"All",'Promo Calendar'!$I$6:$I$400,"&lt;="&amp;$A131,'Promo Calendar'!$J$6:$J$400,"&gt;="&amp;$A131,'Promo Calendar'!$G$6:$G$400,"&gt;0"),IFERROR(IF(INDEX('Chain Program'!$M$6:$M$120,MATCH($C131,'Chain Program'!$A$6:$A$120,0))="","Not set",INDEX('Chain Program'!$M$6:$M$120,MATCH($C131,'Chain Program'!$A$6:$A$120,0))),"Not set"))))</f>
        <v/>
      </c>
      <c r="I131" s="61" t="n"/>
      <c r="J131" s="45">
        <f>IF($I131="","",IF(NOT(ISNUMBER($H131)),"No plan price",IF(ABS($I131-$H131)&lt;0.005,"Match",IF($I131&gt;$H131,"Over plan","Under plan"))))</f>
        <v/>
      </c>
      <c r="K131" s="60" t="n"/>
      <c r="L131" s="60" t="n"/>
      <c r="M131" s="60" t="n"/>
      <c r="N131" s="60" t="n"/>
      <c r="O131" s="60" t="n"/>
      <c r="P131" s="62" t="n"/>
      <c r="Q131" s="62" t="n"/>
      <c r="R131" s="60" t="n"/>
      <c r="S131" s="59" t="n"/>
      <c r="T131" s="60" t="n"/>
      <c r="U131" s="59" t="n"/>
      <c r="V131" s="45">
        <f>IF(OR($A131="",$T131="",$T131="No Issue"),"",IF($T131="Resolved",IF($U131="","",$U131-$A131),TODAY()-$A131))</f>
        <v/>
      </c>
      <c r="W131" s="47">
        <f>IF(AND($C131&lt;&gt;"",$C131='Store History'!$C$4,OR('Store History'!$C$5="",$F131='Store History'!$C$5)),1,0)</f>
        <v/>
      </c>
      <c r="X131" s="47">
        <f>IF($W131=1,SUM($W131:$W$1005),"")</f>
        <v/>
      </c>
    </row>
    <row r="132">
      <c r="A132" s="59" t="n"/>
      <c r="B132" s="60" t="n"/>
      <c r="C132" s="60" t="n"/>
      <c r="D132" s="45">
        <f>IF($C132="","",IFERROR(INDEX('Chain Program'!$B$6:$B$120,MATCH($C132,'Chain Program'!$A$6:$A$120,0)),"Unknown ID"))</f>
        <v/>
      </c>
      <c r="E132" s="45">
        <f>IF($C132="","",IFERROR(INDEX('Chain Program'!$D$6:$D$120,MATCH($C132,'Chain Program'!$A$6:$A$120,0)),"Unknown ID"))</f>
        <v/>
      </c>
      <c r="F132" s="60" t="n"/>
      <c r="G132" s="60" t="n"/>
      <c r="H132" s="56">
        <f>IF(OR($C132="",$A132=""),"",IF(COUNTIFS('Promo Calendar'!$A$6:$A$400,$C132,'Promo Calendar'!$D$6:$D$400,IF($G132="","All",$G132),'Promo Calendar'!$I$6:$I$400,"&lt;="&amp;$A132,'Promo Calendar'!$J$6:$J$400,"&gt;="&amp;$A132,'Promo Calendar'!$G$6:$G$400,"&gt;0")&gt;0,_xlfn.MINIFS('Promo Calendar'!$G$6:$G$400,'Promo Calendar'!$A$6:$A$400,$C132,'Promo Calendar'!$D$6:$D$400,IF($G132="","All",$G132),'Promo Calendar'!$I$6:$I$400,"&lt;="&amp;$A132,'Promo Calendar'!$J$6:$J$400,"&gt;="&amp;$A132,'Promo Calendar'!$G$6:$G$400,"&gt;0"),IF(COUNTIFS('Promo Calendar'!$A$6:$A$400,$C132,'Promo Calendar'!$D$6:$D$400,"All",'Promo Calendar'!$I$6:$I$400,"&lt;="&amp;$A132,'Promo Calendar'!$J$6:$J$400,"&gt;="&amp;$A132,'Promo Calendar'!$G$6:$G$400,"&gt;0")&gt;0,_xlfn.MINIFS('Promo Calendar'!$G$6:$G$400,'Promo Calendar'!$A$6:$A$400,$C132,'Promo Calendar'!$D$6:$D$400,"All",'Promo Calendar'!$I$6:$I$400,"&lt;="&amp;$A132,'Promo Calendar'!$J$6:$J$400,"&gt;="&amp;$A132,'Promo Calendar'!$G$6:$G$400,"&gt;0"),IFERROR(IF(INDEX('Chain Program'!$M$6:$M$120,MATCH($C132,'Chain Program'!$A$6:$A$120,0))="","Not set",INDEX('Chain Program'!$M$6:$M$120,MATCH($C132,'Chain Program'!$A$6:$A$120,0))),"Not set"))))</f>
        <v/>
      </c>
      <c r="I132" s="61" t="n"/>
      <c r="J132" s="45">
        <f>IF($I132="","",IF(NOT(ISNUMBER($H132)),"No plan price",IF(ABS($I132-$H132)&lt;0.005,"Match",IF($I132&gt;$H132,"Over plan","Under plan"))))</f>
        <v/>
      </c>
      <c r="K132" s="60" t="n"/>
      <c r="L132" s="60" t="n"/>
      <c r="M132" s="60" t="n"/>
      <c r="N132" s="60" t="n"/>
      <c r="O132" s="60" t="n"/>
      <c r="P132" s="62" t="n"/>
      <c r="Q132" s="62" t="n"/>
      <c r="R132" s="60" t="n"/>
      <c r="S132" s="59" t="n"/>
      <c r="T132" s="60" t="n"/>
      <c r="U132" s="59" t="n"/>
      <c r="V132" s="45">
        <f>IF(OR($A132="",$T132="",$T132="No Issue"),"",IF($T132="Resolved",IF($U132="","",$U132-$A132),TODAY()-$A132))</f>
        <v/>
      </c>
      <c r="W132" s="47">
        <f>IF(AND($C132&lt;&gt;"",$C132='Store History'!$C$4,OR('Store History'!$C$5="",$F132='Store History'!$C$5)),1,0)</f>
        <v/>
      </c>
      <c r="X132" s="47">
        <f>IF($W132=1,SUM($W132:$W$1005),"")</f>
        <v/>
      </c>
    </row>
    <row r="133">
      <c r="A133" s="59" t="n"/>
      <c r="B133" s="60" t="n"/>
      <c r="C133" s="60" t="n"/>
      <c r="D133" s="45">
        <f>IF($C133="","",IFERROR(INDEX('Chain Program'!$B$6:$B$120,MATCH($C133,'Chain Program'!$A$6:$A$120,0)),"Unknown ID"))</f>
        <v/>
      </c>
      <c r="E133" s="45">
        <f>IF($C133="","",IFERROR(INDEX('Chain Program'!$D$6:$D$120,MATCH($C133,'Chain Program'!$A$6:$A$120,0)),"Unknown ID"))</f>
        <v/>
      </c>
      <c r="F133" s="60" t="n"/>
      <c r="G133" s="60" t="n"/>
      <c r="H133" s="56">
        <f>IF(OR($C133="",$A133=""),"",IF(COUNTIFS('Promo Calendar'!$A$6:$A$400,$C133,'Promo Calendar'!$D$6:$D$400,IF($G133="","All",$G133),'Promo Calendar'!$I$6:$I$400,"&lt;="&amp;$A133,'Promo Calendar'!$J$6:$J$400,"&gt;="&amp;$A133,'Promo Calendar'!$G$6:$G$400,"&gt;0")&gt;0,_xlfn.MINIFS('Promo Calendar'!$G$6:$G$400,'Promo Calendar'!$A$6:$A$400,$C133,'Promo Calendar'!$D$6:$D$400,IF($G133="","All",$G133),'Promo Calendar'!$I$6:$I$400,"&lt;="&amp;$A133,'Promo Calendar'!$J$6:$J$400,"&gt;="&amp;$A133,'Promo Calendar'!$G$6:$G$400,"&gt;0"),IF(COUNTIFS('Promo Calendar'!$A$6:$A$400,$C133,'Promo Calendar'!$D$6:$D$400,"All",'Promo Calendar'!$I$6:$I$400,"&lt;="&amp;$A133,'Promo Calendar'!$J$6:$J$400,"&gt;="&amp;$A133,'Promo Calendar'!$G$6:$G$400,"&gt;0")&gt;0,_xlfn.MINIFS('Promo Calendar'!$G$6:$G$400,'Promo Calendar'!$A$6:$A$400,$C133,'Promo Calendar'!$D$6:$D$400,"All",'Promo Calendar'!$I$6:$I$400,"&lt;="&amp;$A133,'Promo Calendar'!$J$6:$J$400,"&gt;="&amp;$A133,'Promo Calendar'!$G$6:$G$400,"&gt;0"),IFERROR(IF(INDEX('Chain Program'!$M$6:$M$120,MATCH($C133,'Chain Program'!$A$6:$A$120,0))="","Not set",INDEX('Chain Program'!$M$6:$M$120,MATCH($C133,'Chain Program'!$A$6:$A$120,0))),"Not set"))))</f>
        <v/>
      </c>
      <c r="I133" s="61" t="n"/>
      <c r="J133" s="45">
        <f>IF($I133="","",IF(NOT(ISNUMBER($H133)),"No plan price",IF(ABS($I133-$H133)&lt;0.005,"Match",IF($I133&gt;$H133,"Over plan","Under plan"))))</f>
        <v/>
      </c>
      <c r="K133" s="60" t="n"/>
      <c r="L133" s="60" t="n"/>
      <c r="M133" s="60" t="n"/>
      <c r="N133" s="60" t="n"/>
      <c r="O133" s="60" t="n"/>
      <c r="P133" s="62" t="n"/>
      <c r="Q133" s="62" t="n"/>
      <c r="R133" s="60" t="n"/>
      <c r="S133" s="59" t="n"/>
      <c r="T133" s="60" t="n"/>
      <c r="U133" s="59" t="n"/>
      <c r="V133" s="45">
        <f>IF(OR($A133="",$T133="",$T133="No Issue"),"",IF($T133="Resolved",IF($U133="","",$U133-$A133),TODAY()-$A133))</f>
        <v/>
      </c>
      <c r="W133" s="47">
        <f>IF(AND($C133&lt;&gt;"",$C133='Store History'!$C$4,OR('Store History'!$C$5="",$F133='Store History'!$C$5)),1,0)</f>
        <v/>
      </c>
      <c r="X133" s="47">
        <f>IF($W133=1,SUM($W133:$W$1005),"")</f>
        <v/>
      </c>
    </row>
    <row r="134">
      <c r="A134" s="59" t="n"/>
      <c r="B134" s="60" t="n"/>
      <c r="C134" s="60" t="n"/>
      <c r="D134" s="45">
        <f>IF($C134="","",IFERROR(INDEX('Chain Program'!$B$6:$B$120,MATCH($C134,'Chain Program'!$A$6:$A$120,0)),"Unknown ID"))</f>
        <v/>
      </c>
      <c r="E134" s="45">
        <f>IF($C134="","",IFERROR(INDEX('Chain Program'!$D$6:$D$120,MATCH($C134,'Chain Program'!$A$6:$A$120,0)),"Unknown ID"))</f>
        <v/>
      </c>
      <c r="F134" s="60" t="n"/>
      <c r="G134" s="60" t="n"/>
      <c r="H134" s="56">
        <f>IF(OR($C134="",$A134=""),"",IF(COUNTIFS('Promo Calendar'!$A$6:$A$400,$C134,'Promo Calendar'!$D$6:$D$400,IF($G134="","All",$G134),'Promo Calendar'!$I$6:$I$400,"&lt;="&amp;$A134,'Promo Calendar'!$J$6:$J$400,"&gt;="&amp;$A134,'Promo Calendar'!$G$6:$G$400,"&gt;0")&gt;0,_xlfn.MINIFS('Promo Calendar'!$G$6:$G$400,'Promo Calendar'!$A$6:$A$400,$C134,'Promo Calendar'!$D$6:$D$400,IF($G134="","All",$G134),'Promo Calendar'!$I$6:$I$400,"&lt;="&amp;$A134,'Promo Calendar'!$J$6:$J$400,"&gt;="&amp;$A134,'Promo Calendar'!$G$6:$G$400,"&gt;0"),IF(COUNTIFS('Promo Calendar'!$A$6:$A$400,$C134,'Promo Calendar'!$D$6:$D$400,"All",'Promo Calendar'!$I$6:$I$400,"&lt;="&amp;$A134,'Promo Calendar'!$J$6:$J$400,"&gt;="&amp;$A134,'Promo Calendar'!$G$6:$G$400,"&gt;0")&gt;0,_xlfn.MINIFS('Promo Calendar'!$G$6:$G$400,'Promo Calendar'!$A$6:$A$400,$C134,'Promo Calendar'!$D$6:$D$400,"All",'Promo Calendar'!$I$6:$I$400,"&lt;="&amp;$A134,'Promo Calendar'!$J$6:$J$400,"&gt;="&amp;$A134,'Promo Calendar'!$G$6:$G$400,"&gt;0"),IFERROR(IF(INDEX('Chain Program'!$M$6:$M$120,MATCH($C134,'Chain Program'!$A$6:$A$120,0))="","Not set",INDEX('Chain Program'!$M$6:$M$120,MATCH($C134,'Chain Program'!$A$6:$A$120,0))),"Not set"))))</f>
        <v/>
      </c>
      <c r="I134" s="61" t="n"/>
      <c r="J134" s="45">
        <f>IF($I134="","",IF(NOT(ISNUMBER($H134)),"No plan price",IF(ABS($I134-$H134)&lt;0.005,"Match",IF($I134&gt;$H134,"Over plan","Under plan"))))</f>
        <v/>
      </c>
      <c r="K134" s="60" t="n"/>
      <c r="L134" s="60" t="n"/>
      <c r="M134" s="60" t="n"/>
      <c r="N134" s="60" t="n"/>
      <c r="O134" s="60" t="n"/>
      <c r="P134" s="62" t="n"/>
      <c r="Q134" s="62" t="n"/>
      <c r="R134" s="60" t="n"/>
      <c r="S134" s="59" t="n"/>
      <c r="T134" s="60" t="n"/>
      <c r="U134" s="59" t="n"/>
      <c r="V134" s="45">
        <f>IF(OR($A134="",$T134="",$T134="No Issue"),"",IF($T134="Resolved",IF($U134="","",$U134-$A134),TODAY()-$A134))</f>
        <v/>
      </c>
      <c r="W134" s="47">
        <f>IF(AND($C134&lt;&gt;"",$C134='Store History'!$C$4,OR('Store History'!$C$5="",$F134='Store History'!$C$5)),1,0)</f>
        <v/>
      </c>
      <c r="X134" s="47">
        <f>IF($W134=1,SUM($W134:$W$1005),"")</f>
        <v/>
      </c>
    </row>
    <row r="135">
      <c r="A135" s="59" t="n"/>
      <c r="B135" s="60" t="n"/>
      <c r="C135" s="60" t="n"/>
      <c r="D135" s="45">
        <f>IF($C135="","",IFERROR(INDEX('Chain Program'!$B$6:$B$120,MATCH($C135,'Chain Program'!$A$6:$A$120,0)),"Unknown ID"))</f>
        <v/>
      </c>
      <c r="E135" s="45">
        <f>IF($C135="","",IFERROR(INDEX('Chain Program'!$D$6:$D$120,MATCH($C135,'Chain Program'!$A$6:$A$120,0)),"Unknown ID"))</f>
        <v/>
      </c>
      <c r="F135" s="60" t="n"/>
      <c r="G135" s="60" t="n"/>
      <c r="H135" s="56">
        <f>IF(OR($C135="",$A135=""),"",IF(COUNTIFS('Promo Calendar'!$A$6:$A$400,$C135,'Promo Calendar'!$D$6:$D$400,IF($G135="","All",$G135),'Promo Calendar'!$I$6:$I$400,"&lt;="&amp;$A135,'Promo Calendar'!$J$6:$J$400,"&gt;="&amp;$A135,'Promo Calendar'!$G$6:$G$400,"&gt;0")&gt;0,_xlfn.MINIFS('Promo Calendar'!$G$6:$G$400,'Promo Calendar'!$A$6:$A$400,$C135,'Promo Calendar'!$D$6:$D$400,IF($G135="","All",$G135),'Promo Calendar'!$I$6:$I$400,"&lt;="&amp;$A135,'Promo Calendar'!$J$6:$J$400,"&gt;="&amp;$A135,'Promo Calendar'!$G$6:$G$400,"&gt;0"),IF(COUNTIFS('Promo Calendar'!$A$6:$A$400,$C135,'Promo Calendar'!$D$6:$D$400,"All",'Promo Calendar'!$I$6:$I$400,"&lt;="&amp;$A135,'Promo Calendar'!$J$6:$J$400,"&gt;="&amp;$A135,'Promo Calendar'!$G$6:$G$400,"&gt;0")&gt;0,_xlfn.MINIFS('Promo Calendar'!$G$6:$G$400,'Promo Calendar'!$A$6:$A$400,$C135,'Promo Calendar'!$D$6:$D$400,"All",'Promo Calendar'!$I$6:$I$400,"&lt;="&amp;$A135,'Promo Calendar'!$J$6:$J$400,"&gt;="&amp;$A135,'Promo Calendar'!$G$6:$G$400,"&gt;0"),IFERROR(IF(INDEX('Chain Program'!$M$6:$M$120,MATCH($C135,'Chain Program'!$A$6:$A$120,0))="","Not set",INDEX('Chain Program'!$M$6:$M$120,MATCH($C135,'Chain Program'!$A$6:$A$120,0))),"Not set"))))</f>
        <v/>
      </c>
      <c r="I135" s="61" t="n"/>
      <c r="J135" s="45">
        <f>IF($I135="","",IF(NOT(ISNUMBER($H135)),"No plan price",IF(ABS($I135-$H135)&lt;0.005,"Match",IF($I135&gt;$H135,"Over plan","Under plan"))))</f>
        <v/>
      </c>
      <c r="K135" s="60" t="n"/>
      <c r="L135" s="60" t="n"/>
      <c r="M135" s="60" t="n"/>
      <c r="N135" s="60" t="n"/>
      <c r="O135" s="60" t="n"/>
      <c r="P135" s="62" t="n"/>
      <c r="Q135" s="62" t="n"/>
      <c r="R135" s="60" t="n"/>
      <c r="S135" s="59" t="n"/>
      <c r="T135" s="60" t="n"/>
      <c r="U135" s="59" t="n"/>
      <c r="V135" s="45">
        <f>IF(OR($A135="",$T135="",$T135="No Issue"),"",IF($T135="Resolved",IF($U135="","",$U135-$A135),TODAY()-$A135))</f>
        <v/>
      </c>
      <c r="W135" s="47">
        <f>IF(AND($C135&lt;&gt;"",$C135='Store History'!$C$4,OR('Store History'!$C$5="",$F135='Store History'!$C$5)),1,0)</f>
        <v/>
      </c>
      <c r="X135" s="47">
        <f>IF($W135=1,SUM($W135:$W$1005),"")</f>
        <v/>
      </c>
    </row>
    <row r="136">
      <c r="A136" s="59" t="n"/>
      <c r="B136" s="60" t="n"/>
      <c r="C136" s="60" t="n"/>
      <c r="D136" s="45">
        <f>IF($C136="","",IFERROR(INDEX('Chain Program'!$B$6:$B$120,MATCH($C136,'Chain Program'!$A$6:$A$120,0)),"Unknown ID"))</f>
        <v/>
      </c>
      <c r="E136" s="45">
        <f>IF($C136="","",IFERROR(INDEX('Chain Program'!$D$6:$D$120,MATCH($C136,'Chain Program'!$A$6:$A$120,0)),"Unknown ID"))</f>
        <v/>
      </c>
      <c r="F136" s="60" t="n"/>
      <c r="G136" s="60" t="n"/>
      <c r="H136" s="56">
        <f>IF(OR($C136="",$A136=""),"",IF(COUNTIFS('Promo Calendar'!$A$6:$A$400,$C136,'Promo Calendar'!$D$6:$D$400,IF($G136="","All",$G136),'Promo Calendar'!$I$6:$I$400,"&lt;="&amp;$A136,'Promo Calendar'!$J$6:$J$400,"&gt;="&amp;$A136,'Promo Calendar'!$G$6:$G$400,"&gt;0")&gt;0,_xlfn.MINIFS('Promo Calendar'!$G$6:$G$400,'Promo Calendar'!$A$6:$A$400,$C136,'Promo Calendar'!$D$6:$D$400,IF($G136="","All",$G136),'Promo Calendar'!$I$6:$I$400,"&lt;="&amp;$A136,'Promo Calendar'!$J$6:$J$400,"&gt;="&amp;$A136,'Promo Calendar'!$G$6:$G$400,"&gt;0"),IF(COUNTIFS('Promo Calendar'!$A$6:$A$400,$C136,'Promo Calendar'!$D$6:$D$400,"All",'Promo Calendar'!$I$6:$I$400,"&lt;="&amp;$A136,'Promo Calendar'!$J$6:$J$400,"&gt;="&amp;$A136,'Promo Calendar'!$G$6:$G$400,"&gt;0")&gt;0,_xlfn.MINIFS('Promo Calendar'!$G$6:$G$400,'Promo Calendar'!$A$6:$A$400,$C136,'Promo Calendar'!$D$6:$D$400,"All",'Promo Calendar'!$I$6:$I$400,"&lt;="&amp;$A136,'Promo Calendar'!$J$6:$J$400,"&gt;="&amp;$A136,'Promo Calendar'!$G$6:$G$400,"&gt;0"),IFERROR(IF(INDEX('Chain Program'!$M$6:$M$120,MATCH($C136,'Chain Program'!$A$6:$A$120,0))="","Not set",INDEX('Chain Program'!$M$6:$M$120,MATCH($C136,'Chain Program'!$A$6:$A$120,0))),"Not set"))))</f>
        <v/>
      </c>
      <c r="I136" s="61" t="n"/>
      <c r="J136" s="45">
        <f>IF($I136="","",IF(NOT(ISNUMBER($H136)),"No plan price",IF(ABS($I136-$H136)&lt;0.005,"Match",IF($I136&gt;$H136,"Over plan","Under plan"))))</f>
        <v/>
      </c>
      <c r="K136" s="60" t="n"/>
      <c r="L136" s="60" t="n"/>
      <c r="M136" s="60" t="n"/>
      <c r="N136" s="60" t="n"/>
      <c r="O136" s="60" t="n"/>
      <c r="P136" s="62" t="n"/>
      <c r="Q136" s="62" t="n"/>
      <c r="R136" s="60" t="n"/>
      <c r="S136" s="59" t="n"/>
      <c r="T136" s="60" t="n"/>
      <c r="U136" s="59" t="n"/>
      <c r="V136" s="45">
        <f>IF(OR($A136="",$T136="",$T136="No Issue"),"",IF($T136="Resolved",IF($U136="","",$U136-$A136),TODAY()-$A136))</f>
        <v/>
      </c>
      <c r="W136" s="47">
        <f>IF(AND($C136&lt;&gt;"",$C136='Store History'!$C$4,OR('Store History'!$C$5="",$F136='Store History'!$C$5)),1,0)</f>
        <v/>
      </c>
      <c r="X136" s="47">
        <f>IF($W136=1,SUM($W136:$W$1005),"")</f>
        <v/>
      </c>
    </row>
    <row r="137">
      <c r="A137" s="59" t="n"/>
      <c r="B137" s="60" t="n"/>
      <c r="C137" s="60" t="n"/>
      <c r="D137" s="45">
        <f>IF($C137="","",IFERROR(INDEX('Chain Program'!$B$6:$B$120,MATCH($C137,'Chain Program'!$A$6:$A$120,0)),"Unknown ID"))</f>
        <v/>
      </c>
      <c r="E137" s="45">
        <f>IF($C137="","",IFERROR(INDEX('Chain Program'!$D$6:$D$120,MATCH($C137,'Chain Program'!$A$6:$A$120,0)),"Unknown ID"))</f>
        <v/>
      </c>
      <c r="F137" s="60" t="n"/>
      <c r="G137" s="60" t="n"/>
      <c r="H137" s="56">
        <f>IF(OR($C137="",$A137=""),"",IF(COUNTIFS('Promo Calendar'!$A$6:$A$400,$C137,'Promo Calendar'!$D$6:$D$400,IF($G137="","All",$G137),'Promo Calendar'!$I$6:$I$400,"&lt;="&amp;$A137,'Promo Calendar'!$J$6:$J$400,"&gt;="&amp;$A137,'Promo Calendar'!$G$6:$G$400,"&gt;0")&gt;0,_xlfn.MINIFS('Promo Calendar'!$G$6:$G$400,'Promo Calendar'!$A$6:$A$400,$C137,'Promo Calendar'!$D$6:$D$400,IF($G137="","All",$G137),'Promo Calendar'!$I$6:$I$400,"&lt;="&amp;$A137,'Promo Calendar'!$J$6:$J$400,"&gt;="&amp;$A137,'Promo Calendar'!$G$6:$G$400,"&gt;0"),IF(COUNTIFS('Promo Calendar'!$A$6:$A$400,$C137,'Promo Calendar'!$D$6:$D$400,"All",'Promo Calendar'!$I$6:$I$400,"&lt;="&amp;$A137,'Promo Calendar'!$J$6:$J$400,"&gt;="&amp;$A137,'Promo Calendar'!$G$6:$G$400,"&gt;0")&gt;0,_xlfn.MINIFS('Promo Calendar'!$G$6:$G$400,'Promo Calendar'!$A$6:$A$400,$C137,'Promo Calendar'!$D$6:$D$400,"All",'Promo Calendar'!$I$6:$I$400,"&lt;="&amp;$A137,'Promo Calendar'!$J$6:$J$400,"&gt;="&amp;$A137,'Promo Calendar'!$G$6:$G$400,"&gt;0"),IFERROR(IF(INDEX('Chain Program'!$M$6:$M$120,MATCH($C137,'Chain Program'!$A$6:$A$120,0))="","Not set",INDEX('Chain Program'!$M$6:$M$120,MATCH($C137,'Chain Program'!$A$6:$A$120,0))),"Not set"))))</f>
        <v/>
      </c>
      <c r="I137" s="61" t="n"/>
      <c r="J137" s="45">
        <f>IF($I137="","",IF(NOT(ISNUMBER($H137)),"No plan price",IF(ABS($I137-$H137)&lt;0.005,"Match",IF($I137&gt;$H137,"Over plan","Under plan"))))</f>
        <v/>
      </c>
      <c r="K137" s="60" t="n"/>
      <c r="L137" s="60" t="n"/>
      <c r="M137" s="60" t="n"/>
      <c r="N137" s="60" t="n"/>
      <c r="O137" s="60" t="n"/>
      <c r="P137" s="62" t="n"/>
      <c r="Q137" s="62" t="n"/>
      <c r="R137" s="60" t="n"/>
      <c r="S137" s="59" t="n"/>
      <c r="T137" s="60" t="n"/>
      <c r="U137" s="59" t="n"/>
      <c r="V137" s="45">
        <f>IF(OR($A137="",$T137="",$T137="No Issue"),"",IF($T137="Resolved",IF($U137="","",$U137-$A137),TODAY()-$A137))</f>
        <v/>
      </c>
      <c r="W137" s="47">
        <f>IF(AND($C137&lt;&gt;"",$C137='Store History'!$C$4,OR('Store History'!$C$5="",$F137='Store History'!$C$5)),1,0)</f>
        <v/>
      </c>
      <c r="X137" s="47">
        <f>IF($W137=1,SUM($W137:$W$1005),"")</f>
        <v/>
      </c>
    </row>
    <row r="138">
      <c r="A138" s="59" t="n"/>
      <c r="B138" s="60" t="n"/>
      <c r="C138" s="60" t="n"/>
      <c r="D138" s="45">
        <f>IF($C138="","",IFERROR(INDEX('Chain Program'!$B$6:$B$120,MATCH($C138,'Chain Program'!$A$6:$A$120,0)),"Unknown ID"))</f>
        <v/>
      </c>
      <c r="E138" s="45">
        <f>IF($C138="","",IFERROR(INDEX('Chain Program'!$D$6:$D$120,MATCH($C138,'Chain Program'!$A$6:$A$120,0)),"Unknown ID"))</f>
        <v/>
      </c>
      <c r="F138" s="60" t="n"/>
      <c r="G138" s="60" t="n"/>
      <c r="H138" s="56">
        <f>IF(OR($C138="",$A138=""),"",IF(COUNTIFS('Promo Calendar'!$A$6:$A$400,$C138,'Promo Calendar'!$D$6:$D$400,IF($G138="","All",$G138),'Promo Calendar'!$I$6:$I$400,"&lt;="&amp;$A138,'Promo Calendar'!$J$6:$J$400,"&gt;="&amp;$A138,'Promo Calendar'!$G$6:$G$400,"&gt;0")&gt;0,_xlfn.MINIFS('Promo Calendar'!$G$6:$G$400,'Promo Calendar'!$A$6:$A$400,$C138,'Promo Calendar'!$D$6:$D$400,IF($G138="","All",$G138),'Promo Calendar'!$I$6:$I$400,"&lt;="&amp;$A138,'Promo Calendar'!$J$6:$J$400,"&gt;="&amp;$A138,'Promo Calendar'!$G$6:$G$400,"&gt;0"),IF(COUNTIFS('Promo Calendar'!$A$6:$A$400,$C138,'Promo Calendar'!$D$6:$D$400,"All",'Promo Calendar'!$I$6:$I$400,"&lt;="&amp;$A138,'Promo Calendar'!$J$6:$J$400,"&gt;="&amp;$A138,'Promo Calendar'!$G$6:$G$400,"&gt;0")&gt;0,_xlfn.MINIFS('Promo Calendar'!$G$6:$G$400,'Promo Calendar'!$A$6:$A$400,$C138,'Promo Calendar'!$D$6:$D$400,"All",'Promo Calendar'!$I$6:$I$400,"&lt;="&amp;$A138,'Promo Calendar'!$J$6:$J$400,"&gt;="&amp;$A138,'Promo Calendar'!$G$6:$G$400,"&gt;0"),IFERROR(IF(INDEX('Chain Program'!$M$6:$M$120,MATCH($C138,'Chain Program'!$A$6:$A$120,0))="","Not set",INDEX('Chain Program'!$M$6:$M$120,MATCH($C138,'Chain Program'!$A$6:$A$120,0))),"Not set"))))</f>
        <v/>
      </c>
      <c r="I138" s="61" t="n"/>
      <c r="J138" s="45">
        <f>IF($I138="","",IF(NOT(ISNUMBER($H138)),"No plan price",IF(ABS($I138-$H138)&lt;0.005,"Match",IF($I138&gt;$H138,"Over plan","Under plan"))))</f>
        <v/>
      </c>
      <c r="K138" s="60" t="n"/>
      <c r="L138" s="60" t="n"/>
      <c r="M138" s="60" t="n"/>
      <c r="N138" s="60" t="n"/>
      <c r="O138" s="60" t="n"/>
      <c r="P138" s="62" t="n"/>
      <c r="Q138" s="62" t="n"/>
      <c r="R138" s="60" t="n"/>
      <c r="S138" s="59" t="n"/>
      <c r="T138" s="60" t="n"/>
      <c r="U138" s="59" t="n"/>
      <c r="V138" s="45">
        <f>IF(OR($A138="",$T138="",$T138="No Issue"),"",IF($T138="Resolved",IF($U138="","",$U138-$A138),TODAY()-$A138))</f>
        <v/>
      </c>
      <c r="W138" s="47">
        <f>IF(AND($C138&lt;&gt;"",$C138='Store History'!$C$4,OR('Store History'!$C$5="",$F138='Store History'!$C$5)),1,0)</f>
        <v/>
      </c>
      <c r="X138" s="47">
        <f>IF($W138=1,SUM($W138:$W$1005),"")</f>
        <v/>
      </c>
    </row>
    <row r="139">
      <c r="A139" s="59" t="n"/>
      <c r="B139" s="60" t="n"/>
      <c r="C139" s="60" t="n"/>
      <c r="D139" s="45">
        <f>IF($C139="","",IFERROR(INDEX('Chain Program'!$B$6:$B$120,MATCH($C139,'Chain Program'!$A$6:$A$120,0)),"Unknown ID"))</f>
        <v/>
      </c>
      <c r="E139" s="45">
        <f>IF($C139="","",IFERROR(INDEX('Chain Program'!$D$6:$D$120,MATCH($C139,'Chain Program'!$A$6:$A$120,0)),"Unknown ID"))</f>
        <v/>
      </c>
      <c r="F139" s="60" t="n"/>
      <c r="G139" s="60" t="n"/>
      <c r="H139" s="56">
        <f>IF(OR($C139="",$A139=""),"",IF(COUNTIFS('Promo Calendar'!$A$6:$A$400,$C139,'Promo Calendar'!$D$6:$D$400,IF($G139="","All",$G139),'Promo Calendar'!$I$6:$I$400,"&lt;="&amp;$A139,'Promo Calendar'!$J$6:$J$400,"&gt;="&amp;$A139,'Promo Calendar'!$G$6:$G$400,"&gt;0")&gt;0,_xlfn.MINIFS('Promo Calendar'!$G$6:$G$400,'Promo Calendar'!$A$6:$A$400,$C139,'Promo Calendar'!$D$6:$D$400,IF($G139="","All",$G139),'Promo Calendar'!$I$6:$I$400,"&lt;="&amp;$A139,'Promo Calendar'!$J$6:$J$400,"&gt;="&amp;$A139,'Promo Calendar'!$G$6:$G$400,"&gt;0"),IF(COUNTIFS('Promo Calendar'!$A$6:$A$400,$C139,'Promo Calendar'!$D$6:$D$400,"All",'Promo Calendar'!$I$6:$I$400,"&lt;="&amp;$A139,'Promo Calendar'!$J$6:$J$400,"&gt;="&amp;$A139,'Promo Calendar'!$G$6:$G$400,"&gt;0")&gt;0,_xlfn.MINIFS('Promo Calendar'!$G$6:$G$400,'Promo Calendar'!$A$6:$A$400,$C139,'Promo Calendar'!$D$6:$D$400,"All",'Promo Calendar'!$I$6:$I$400,"&lt;="&amp;$A139,'Promo Calendar'!$J$6:$J$400,"&gt;="&amp;$A139,'Promo Calendar'!$G$6:$G$400,"&gt;0"),IFERROR(IF(INDEX('Chain Program'!$M$6:$M$120,MATCH($C139,'Chain Program'!$A$6:$A$120,0))="","Not set",INDEX('Chain Program'!$M$6:$M$120,MATCH($C139,'Chain Program'!$A$6:$A$120,0))),"Not set"))))</f>
        <v/>
      </c>
      <c r="I139" s="61" t="n"/>
      <c r="J139" s="45">
        <f>IF($I139="","",IF(NOT(ISNUMBER($H139)),"No plan price",IF(ABS($I139-$H139)&lt;0.005,"Match",IF($I139&gt;$H139,"Over plan","Under plan"))))</f>
        <v/>
      </c>
      <c r="K139" s="60" t="n"/>
      <c r="L139" s="60" t="n"/>
      <c r="M139" s="60" t="n"/>
      <c r="N139" s="60" t="n"/>
      <c r="O139" s="60" t="n"/>
      <c r="P139" s="62" t="n"/>
      <c r="Q139" s="62" t="n"/>
      <c r="R139" s="60" t="n"/>
      <c r="S139" s="59" t="n"/>
      <c r="T139" s="60" t="n"/>
      <c r="U139" s="59" t="n"/>
      <c r="V139" s="45">
        <f>IF(OR($A139="",$T139="",$T139="No Issue"),"",IF($T139="Resolved",IF($U139="","",$U139-$A139),TODAY()-$A139))</f>
        <v/>
      </c>
      <c r="W139" s="47">
        <f>IF(AND($C139&lt;&gt;"",$C139='Store History'!$C$4,OR('Store History'!$C$5="",$F139='Store History'!$C$5)),1,0)</f>
        <v/>
      </c>
      <c r="X139" s="47">
        <f>IF($W139=1,SUM($W139:$W$1005),"")</f>
        <v/>
      </c>
    </row>
    <row r="140">
      <c r="A140" s="59" t="n"/>
      <c r="B140" s="60" t="n"/>
      <c r="C140" s="60" t="n"/>
      <c r="D140" s="45">
        <f>IF($C140="","",IFERROR(INDEX('Chain Program'!$B$6:$B$120,MATCH($C140,'Chain Program'!$A$6:$A$120,0)),"Unknown ID"))</f>
        <v/>
      </c>
      <c r="E140" s="45">
        <f>IF($C140="","",IFERROR(INDEX('Chain Program'!$D$6:$D$120,MATCH($C140,'Chain Program'!$A$6:$A$120,0)),"Unknown ID"))</f>
        <v/>
      </c>
      <c r="F140" s="60" t="n"/>
      <c r="G140" s="60" t="n"/>
      <c r="H140" s="56">
        <f>IF(OR($C140="",$A140=""),"",IF(COUNTIFS('Promo Calendar'!$A$6:$A$400,$C140,'Promo Calendar'!$D$6:$D$400,IF($G140="","All",$G140),'Promo Calendar'!$I$6:$I$400,"&lt;="&amp;$A140,'Promo Calendar'!$J$6:$J$400,"&gt;="&amp;$A140,'Promo Calendar'!$G$6:$G$400,"&gt;0")&gt;0,_xlfn.MINIFS('Promo Calendar'!$G$6:$G$400,'Promo Calendar'!$A$6:$A$400,$C140,'Promo Calendar'!$D$6:$D$400,IF($G140="","All",$G140),'Promo Calendar'!$I$6:$I$400,"&lt;="&amp;$A140,'Promo Calendar'!$J$6:$J$400,"&gt;="&amp;$A140,'Promo Calendar'!$G$6:$G$400,"&gt;0"),IF(COUNTIFS('Promo Calendar'!$A$6:$A$400,$C140,'Promo Calendar'!$D$6:$D$400,"All",'Promo Calendar'!$I$6:$I$400,"&lt;="&amp;$A140,'Promo Calendar'!$J$6:$J$400,"&gt;="&amp;$A140,'Promo Calendar'!$G$6:$G$400,"&gt;0")&gt;0,_xlfn.MINIFS('Promo Calendar'!$G$6:$G$400,'Promo Calendar'!$A$6:$A$400,$C140,'Promo Calendar'!$D$6:$D$400,"All",'Promo Calendar'!$I$6:$I$400,"&lt;="&amp;$A140,'Promo Calendar'!$J$6:$J$400,"&gt;="&amp;$A140,'Promo Calendar'!$G$6:$G$400,"&gt;0"),IFERROR(IF(INDEX('Chain Program'!$M$6:$M$120,MATCH($C140,'Chain Program'!$A$6:$A$120,0))="","Not set",INDEX('Chain Program'!$M$6:$M$120,MATCH($C140,'Chain Program'!$A$6:$A$120,0))),"Not set"))))</f>
        <v/>
      </c>
      <c r="I140" s="61" t="n"/>
      <c r="J140" s="45">
        <f>IF($I140="","",IF(NOT(ISNUMBER($H140)),"No plan price",IF(ABS($I140-$H140)&lt;0.005,"Match",IF($I140&gt;$H140,"Over plan","Under plan"))))</f>
        <v/>
      </c>
      <c r="K140" s="60" t="n"/>
      <c r="L140" s="60" t="n"/>
      <c r="M140" s="60" t="n"/>
      <c r="N140" s="60" t="n"/>
      <c r="O140" s="60" t="n"/>
      <c r="P140" s="62" t="n"/>
      <c r="Q140" s="62" t="n"/>
      <c r="R140" s="60" t="n"/>
      <c r="S140" s="59" t="n"/>
      <c r="T140" s="60" t="n"/>
      <c r="U140" s="59" t="n"/>
      <c r="V140" s="45">
        <f>IF(OR($A140="",$T140="",$T140="No Issue"),"",IF($T140="Resolved",IF($U140="","",$U140-$A140),TODAY()-$A140))</f>
        <v/>
      </c>
      <c r="W140" s="47">
        <f>IF(AND($C140&lt;&gt;"",$C140='Store History'!$C$4,OR('Store History'!$C$5="",$F140='Store History'!$C$5)),1,0)</f>
        <v/>
      </c>
      <c r="X140" s="47">
        <f>IF($W140=1,SUM($W140:$W$1005),"")</f>
        <v/>
      </c>
    </row>
    <row r="141">
      <c r="A141" s="59" t="n"/>
      <c r="B141" s="60" t="n"/>
      <c r="C141" s="60" t="n"/>
      <c r="D141" s="45">
        <f>IF($C141="","",IFERROR(INDEX('Chain Program'!$B$6:$B$120,MATCH($C141,'Chain Program'!$A$6:$A$120,0)),"Unknown ID"))</f>
        <v/>
      </c>
      <c r="E141" s="45">
        <f>IF($C141="","",IFERROR(INDEX('Chain Program'!$D$6:$D$120,MATCH($C141,'Chain Program'!$A$6:$A$120,0)),"Unknown ID"))</f>
        <v/>
      </c>
      <c r="F141" s="60" t="n"/>
      <c r="G141" s="60" t="n"/>
      <c r="H141" s="56">
        <f>IF(OR($C141="",$A141=""),"",IF(COUNTIFS('Promo Calendar'!$A$6:$A$400,$C141,'Promo Calendar'!$D$6:$D$400,IF($G141="","All",$G141),'Promo Calendar'!$I$6:$I$400,"&lt;="&amp;$A141,'Promo Calendar'!$J$6:$J$400,"&gt;="&amp;$A141,'Promo Calendar'!$G$6:$G$400,"&gt;0")&gt;0,_xlfn.MINIFS('Promo Calendar'!$G$6:$G$400,'Promo Calendar'!$A$6:$A$400,$C141,'Promo Calendar'!$D$6:$D$400,IF($G141="","All",$G141),'Promo Calendar'!$I$6:$I$400,"&lt;="&amp;$A141,'Promo Calendar'!$J$6:$J$400,"&gt;="&amp;$A141,'Promo Calendar'!$G$6:$G$400,"&gt;0"),IF(COUNTIFS('Promo Calendar'!$A$6:$A$400,$C141,'Promo Calendar'!$D$6:$D$400,"All",'Promo Calendar'!$I$6:$I$400,"&lt;="&amp;$A141,'Promo Calendar'!$J$6:$J$400,"&gt;="&amp;$A141,'Promo Calendar'!$G$6:$G$400,"&gt;0")&gt;0,_xlfn.MINIFS('Promo Calendar'!$G$6:$G$400,'Promo Calendar'!$A$6:$A$400,$C141,'Promo Calendar'!$D$6:$D$400,"All",'Promo Calendar'!$I$6:$I$400,"&lt;="&amp;$A141,'Promo Calendar'!$J$6:$J$400,"&gt;="&amp;$A141,'Promo Calendar'!$G$6:$G$400,"&gt;0"),IFERROR(IF(INDEX('Chain Program'!$M$6:$M$120,MATCH($C141,'Chain Program'!$A$6:$A$120,0))="","Not set",INDEX('Chain Program'!$M$6:$M$120,MATCH($C141,'Chain Program'!$A$6:$A$120,0))),"Not set"))))</f>
        <v/>
      </c>
      <c r="I141" s="61" t="n"/>
      <c r="J141" s="45">
        <f>IF($I141="","",IF(NOT(ISNUMBER($H141)),"No plan price",IF(ABS($I141-$H141)&lt;0.005,"Match",IF($I141&gt;$H141,"Over plan","Under plan"))))</f>
        <v/>
      </c>
      <c r="K141" s="60" t="n"/>
      <c r="L141" s="60" t="n"/>
      <c r="M141" s="60" t="n"/>
      <c r="N141" s="60" t="n"/>
      <c r="O141" s="60" t="n"/>
      <c r="P141" s="62" t="n"/>
      <c r="Q141" s="62" t="n"/>
      <c r="R141" s="60" t="n"/>
      <c r="S141" s="59" t="n"/>
      <c r="T141" s="60" t="n"/>
      <c r="U141" s="59" t="n"/>
      <c r="V141" s="45">
        <f>IF(OR($A141="",$T141="",$T141="No Issue"),"",IF($T141="Resolved",IF($U141="","",$U141-$A141),TODAY()-$A141))</f>
        <v/>
      </c>
      <c r="W141" s="47">
        <f>IF(AND($C141&lt;&gt;"",$C141='Store History'!$C$4,OR('Store History'!$C$5="",$F141='Store History'!$C$5)),1,0)</f>
        <v/>
      </c>
      <c r="X141" s="47">
        <f>IF($W141=1,SUM($W141:$W$1005),"")</f>
        <v/>
      </c>
    </row>
    <row r="142">
      <c r="A142" s="59" t="n"/>
      <c r="B142" s="60" t="n"/>
      <c r="C142" s="60" t="n"/>
      <c r="D142" s="45">
        <f>IF($C142="","",IFERROR(INDEX('Chain Program'!$B$6:$B$120,MATCH($C142,'Chain Program'!$A$6:$A$120,0)),"Unknown ID"))</f>
        <v/>
      </c>
      <c r="E142" s="45">
        <f>IF($C142="","",IFERROR(INDEX('Chain Program'!$D$6:$D$120,MATCH($C142,'Chain Program'!$A$6:$A$120,0)),"Unknown ID"))</f>
        <v/>
      </c>
      <c r="F142" s="60" t="n"/>
      <c r="G142" s="60" t="n"/>
      <c r="H142" s="56">
        <f>IF(OR($C142="",$A142=""),"",IF(COUNTIFS('Promo Calendar'!$A$6:$A$400,$C142,'Promo Calendar'!$D$6:$D$400,IF($G142="","All",$G142),'Promo Calendar'!$I$6:$I$400,"&lt;="&amp;$A142,'Promo Calendar'!$J$6:$J$400,"&gt;="&amp;$A142,'Promo Calendar'!$G$6:$G$400,"&gt;0")&gt;0,_xlfn.MINIFS('Promo Calendar'!$G$6:$G$400,'Promo Calendar'!$A$6:$A$400,$C142,'Promo Calendar'!$D$6:$D$400,IF($G142="","All",$G142),'Promo Calendar'!$I$6:$I$400,"&lt;="&amp;$A142,'Promo Calendar'!$J$6:$J$400,"&gt;="&amp;$A142,'Promo Calendar'!$G$6:$G$400,"&gt;0"),IF(COUNTIFS('Promo Calendar'!$A$6:$A$400,$C142,'Promo Calendar'!$D$6:$D$400,"All",'Promo Calendar'!$I$6:$I$400,"&lt;="&amp;$A142,'Promo Calendar'!$J$6:$J$400,"&gt;="&amp;$A142,'Promo Calendar'!$G$6:$G$400,"&gt;0")&gt;0,_xlfn.MINIFS('Promo Calendar'!$G$6:$G$400,'Promo Calendar'!$A$6:$A$400,$C142,'Promo Calendar'!$D$6:$D$400,"All",'Promo Calendar'!$I$6:$I$400,"&lt;="&amp;$A142,'Promo Calendar'!$J$6:$J$400,"&gt;="&amp;$A142,'Promo Calendar'!$G$6:$G$400,"&gt;0"),IFERROR(IF(INDEX('Chain Program'!$M$6:$M$120,MATCH($C142,'Chain Program'!$A$6:$A$120,0))="","Not set",INDEX('Chain Program'!$M$6:$M$120,MATCH($C142,'Chain Program'!$A$6:$A$120,0))),"Not set"))))</f>
        <v/>
      </c>
      <c r="I142" s="61" t="n"/>
      <c r="J142" s="45">
        <f>IF($I142="","",IF(NOT(ISNUMBER($H142)),"No plan price",IF(ABS($I142-$H142)&lt;0.005,"Match",IF($I142&gt;$H142,"Over plan","Under plan"))))</f>
        <v/>
      </c>
      <c r="K142" s="60" t="n"/>
      <c r="L142" s="60" t="n"/>
      <c r="M142" s="60" t="n"/>
      <c r="N142" s="60" t="n"/>
      <c r="O142" s="60" t="n"/>
      <c r="P142" s="62" t="n"/>
      <c r="Q142" s="62" t="n"/>
      <c r="R142" s="60" t="n"/>
      <c r="S142" s="59" t="n"/>
      <c r="T142" s="60" t="n"/>
      <c r="U142" s="59" t="n"/>
      <c r="V142" s="45">
        <f>IF(OR($A142="",$T142="",$T142="No Issue"),"",IF($T142="Resolved",IF($U142="","",$U142-$A142),TODAY()-$A142))</f>
        <v/>
      </c>
      <c r="W142" s="47">
        <f>IF(AND($C142&lt;&gt;"",$C142='Store History'!$C$4,OR('Store History'!$C$5="",$F142='Store History'!$C$5)),1,0)</f>
        <v/>
      </c>
      <c r="X142" s="47">
        <f>IF($W142=1,SUM($W142:$W$1005),"")</f>
        <v/>
      </c>
    </row>
    <row r="143">
      <c r="A143" s="59" t="n"/>
      <c r="B143" s="60" t="n"/>
      <c r="C143" s="60" t="n"/>
      <c r="D143" s="45">
        <f>IF($C143="","",IFERROR(INDEX('Chain Program'!$B$6:$B$120,MATCH($C143,'Chain Program'!$A$6:$A$120,0)),"Unknown ID"))</f>
        <v/>
      </c>
      <c r="E143" s="45">
        <f>IF($C143="","",IFERROR(INDEX('Chain Program'!$D$6:$D$120,MATCH($C143,'Chain Program'!$A$6:$A$120,0)),"Unknown ID"))</f>
        <v/>
      </c>
      <c r="F143" s="60" t="n"/>
      <c r="G143" s="60" t="n"/>
      <c r="H143" s="56">
        <f>IF(OR($C143="",$A143=""),"",IF(COUNTIFS('Promo Calendar'!$A$6:$A$400,$C143,'Promo Calendar'!$D$6:$D$400,IF($G143="","All",$G143),'Promo Calendar'!$I$6:$I$400,"&lt;="&amp;$A143,'Promo Calendar'!$J$6:$J$400,"&gt;="&amp;$A143,'Promo Calendar'!$G$6:$G$400,"&gt;0")&gt;0,_xlfn.MINIFS('Promo Calendar'!$G$6:$G$400,'Promo Calendar'!$A$6:$A$400,$C143,'Promo Calendar'!$D$6:$D$400,IF($G143="","All",$G143),'Promo Calendar'!$I$6:$I$400,"&lt;="&amp;$A143,'Promo Calendar'!$J$6:$J$400,"&gt;="&amp;$A143,'Promo Calendar'!$G$6:$G$400,"&gt;0"),IF(COUNTIFS('Promo Calendar'!$A$6:$A$400,$C143,'Promo Calendar'!$D$6:$D$400,"All",'Promo Calendar'!$I$6:$I$400,"&lt;="&amp;$A143,'Promo Calendar'!$J$6:$J$400,"&gt;="&amp;$A143,'Promo Calendar'!$G$6:$G$400,"&gt;0")&gt;0,_xlfn.MINIFS('Promo Calendar'!$G$6:$G$400,'Promo Calendar'!$A$6:$A$400,$C143,'Promo Calendar'!$D$6:$D$400,"All",'Promo Calendar'!$I$6:$I$400,"&lt;="&amp;$A143,'Promo Calendar'!$J$6:$J$400,"&gt;="&amp;$A143,'Promo Calendar'!$G$6:$G$400,"&gt;0"),IFERROR(IF(INDEX('Chain Program'!$M$6:$M$120,MATCH($C143,'Chain Program'!$A$6:$A$120,0))="","Not set",INDEX('Chain Program'!$M$6:$M$120,MATCH($C143,'Chain Program'!$A$6:$A$120,0))),"Not set"))))</f>
        <v/>
      </c>
      <c r="I143" s="61" t="n"/>
      <c r="J143" s="45">
        <f>IF($I143="","",IF(NOT(ISNUMBER($H143)),"No plan price",IF(ABS($I143-$H143)&lt;0.005,"Match",IF($I143&gt;$H143,"Over plan","Under plan"))))</f>
        <v/>
      </c>
      <c r="K143" s="60" t="n"/>
      <c r="L143" s="60" t="n"/>
      <c r="M143" s="60" t="n"/>
      <c r="N143" s="60" t="n"/>
      <c r="O143" s="60" t="n"/>
      <c r="P143" s="62" t="n"/>
      <c r="Q143" s="62" t="n"/>
      <c r="R143" s="60" t="n"/>
      <c r="S143" s="59" t="n"/>
      <c r="T143" s="60" t="n"/>
      <c r="U143" s="59" t="n"/>
      <c r="V143" s="45">
        <f>IF(OR($A143="",$T143="",$T143="No Issue"),"",IF($T143="Resolved",IF($U143="","",$U143-$A143),TODAY()-$A143))</f>
        <v/>
      </c>
      <c r="W143" s="47">
        <f>IF(AND($C143&lt;&gt;"",$C143='Store History'!$C$4,OR('Store History'!$C$5="",$F143='Store History'!$C$5)),1,0)</f>
        <v/>
      </c>
      <c r="X143" s="47">
        <f>IF($W143=1,SUM($W143:$W$1005),"")</f>
        <v/>
      </c>
    </row>
    <row r="144">
      <c r="A144" s="59" t="n"/>
      <c r="B144" s="60" t="n"/>
      <c r="C144" s="60" t="n"/>
      <c r="D144" s="45">
        <f>IF($C144="","",IFERROR(INDEX('Chain Program'!$B$6:$B$120,MATCH($C144,'Chain Program'!$A$6:$A$120,0)),"Unknown ID"))</f>
        <v/>
      </c>
      <c r="E144" s="45">
        <f>IF($C144="","",IFERROR(INDEX('Chain Program'!$D$6:$D$120,MATCH($C144,'Chain Program'!$A$6:$A$120,0)),"Unknown ID"))</f>
        <v/>
      </c>
      <c r="F144" s="60" t="n"/>
      <c r="G144" s="60" t="n"/>
      <c r="H144" s="56">
        <f>IF(OR($C144="",$A144=""),"",IF(COUNTIFS('Promo Calendar'!$A$6:$A$400,$C144,'Promo Calendar'!$D$6:$D$400,IF($G144="","All",$G144),'Promo Calendar'!$I$6:$I$400,"&lt;="&amp;$A144,'Promo Calendar'!$J$6:$J$400,"&gt;="&amp;$A144,'Promo Calendar'!$G$6:$G$400,"&gt;0")&gt;0,_xlfn.MINIFS('Promo Calendar'!$G$6:$G$400,'Promo Calendar'!$A$6:$A$400,$C144,'Promo Calendar'!$D$6:$D$400,IF($G144="","All",$G144),'Promo Calendar'!$I$6:$I$400,"&lt;="&amp;$A144,'Promo Calendar'!$J$6:$J$400,"&gt;="&amp;$A144,'Promo Calendar'!$G$6:$G$400,"&gt;0"),IF(COUNTIFS('Promo Calendar'!$A$6:$A$400,$C144,'Promo Calendar'!$D$6:$D$400,"All",'Promo Calendar'!$I$6:$I$400,"&lt;="&amp;$A144,'Promo Calendar'!$J$6:$J$400,"&gt;="&amp;$A144,'Promo Calendar'!$G$6:$G$400,"&gt;0")&gt;0,_xlfn.MINIFS('Promo Calendar'!$G$6:$G$400,'Promo Calendar'!$A$6:$A$400,$C144,'Promo Calendar'!$D$6:$D$400,"All",'Promo Calendar'!$I$6:$I$400,"&lt;="&amp;$A144,'Promo Calendar'!$J$6:$J$400,"&gt;="&amp;$A144,'Promo Calendar'!$G$6:$G$400,"&gt;0"),IFERROR(IF(INDEX('Chain Program'!$M$6:$M$120,MATCH($C144,'Chain Program'!$A$6:$A$120,0))="","Not set",INDEX('Chain Program'!$M$6:$M$120,MATCH($C144,'Chain Program'!$A$6:$A$120,0))),"Not set"))))</f>
        <v/>
      </c>
      <c r="I144" s="61" t="n"/>
      <c r="J144" s="45">
        <f>IF($I144="","",IF(NOT(ISNUMBER($H144)),"No plan price",IF(ABS($I144-$H144)&lt;0.005,"Match",IF($I144&gt;$H144,"Over plan","Under plan"))))</f>
        <v/>
      </c>
      <c r="K144" s="60" t="n"/>
      <c r="L144" s="60" t="n"/>
      <c r="M144" s="60" t="n"/>
      <c r="N144" s="60" t="n"/>
      <c r="O144" s="60" t="n"/>
      <c r="P144" s="62" t="n"/>
      <c r="Q144" s="62" t="n"/>
      <c r="R144" s="60" t="n"/>
      <c r="S144" s="59" t="n"/>
      <c r="T144" s="60" t="n"/>
      <c r="U144" s="59" t="n"/>
      <c r="V144" s="45">
        <f>IF(OR($A144="",$T144="",$T144="No Issue"),"",IF($T144="Resolved",IF($U144="","",$U144-$A144),TODAY()-$A144))</f>
        <v/>
      </c>
      <c r="W144" s="47">
        <f>IF(AND($C144&lt;&gt;"",$C144='Store History'!$C$4,OR('Store History'!$C$5="",$F144='Store History'!$C$5)),1,0)</f>
        <v/>
      </c>
      <c r="X144" s="47">
        <f>IF($W144=1,SUM($W144:$W$1005),"")</f>
        <v/>
      </c>
    </row>
    <row r="145">
      <c r="A145" s="59" t="n"/>
      <c r="B145" s="60" t="n"/>
      <c r="C145" s="60" t="n"/>
      <c r="D145" s="45">
        <f>IF($C145="","",IFERROR(INDEX('Chain Program'!$B$6:$B$120,MATCH($C145,'Chain Program'!$A$6:$A$120,0)),"Unknown ID"))</f>
        <v/>
      </c>
      <c r="E145" s="45">
        <f>IF($C145="","",IFERROR(INDEX('Chain Program'!$D$6:$D$120,MATCH($C145,'Chain Program'!$A$6:$A$120,0)),"Unknown ID"))</f>
        <v/>
      </c>
      <c r="F145" s="60" t="n"/>
      <c r="G145" s="60" t="n"/>
      <c r="H145" s="56">
        <f>IF(OR($C145="",$A145=""),"",IF(COUNTIFS('Promo Calendar'!$A$6:$A$400,$C145,'Promo Calendar'!$D$6:$D$400,IF($G145="","All",$G145),'Promo Calendar'!$I$6:$I$400,"&lt;="&amp;$A145,'Promo Calendar'!$J$6:$J$400,"&gt;="&amp;$A145,'Promo Calendar'!$G$6:$G$400,"&gt;0")&gt;0,_xlfn.MINIFS('Promo Calendar'!$G$6:$G$400,'Promo Calendar'!$A$6:$A$400,$C145,'Promo Calendar'!$D$6:$D$400,IF($G145="","All",$G145),'Promo Calendar'!$I$6:$I$400,"&lt;="&amp;$A145,'Promo Calendar'!$J$6:$J$400,"&gt;="&amp;$A145,'Promo Calendar'!$G$6:$G$400,"&gt;0"),IF(COUNTIFS('Promo Calendar'!$A$6:$A$400,$C145,'Promo Calendar'!$D$6:$D$400,"All",'Promo Calendar'!$I$6:$I$400,"&lt;="&amp;$A145,'Promo Calendar'!$J$6:$J$400,"&gt;="&amp;$A145,'Promo Calendar'!$G$6:$G$400,"&gt;0")&gt;0,_xlfn.MINIFS('Promo Calendar'!$G$6:$G$400,'Promo Calendar'!$A$6:$A$400,$C145,'Promo Calendar'!$D$6:$D$400,"All",'Promo Calendar'!$I$6:$I$400,"&lt;="&amp;$A145,'Promo Calendar'!$J$6:$J$400,"&gt;="&amp;$A145,'Promo Calendar'!$G$6:$G$400,"&gt;0"),IFERROR(IF(INDEX('Chain Program'!$M$6:$M$120,MATCH($C145,'Chain Program'!$A$6:$A$120,0))="","Not set",INDEX('Chain Program'!$M$6:$M$120,MATCH($C145,'Chain Program'!$A$6:$A$120,0))),"Not set"))))</f>
        <v/>
      </c>
      <c r="I145" s="61" t="n"/>
      <c r="J145" s="45">
        <f>IF($I145="","",IF(NOT(ISNUMBER($H145)),"No plan price",IF(ABS($I145-$H145)&lt;0.005,"Match",IF($I145&gt;$H145,"Over plan","Under plan"))))</f>
        <v/>
      </c>
      <c r="K145" s="60" t="n"/>
      <c r="L145" s="60" t="n"/>
      <c r="M145" s="60" t="n"/>
      <c r="N145" s="60" t="n"/>
      <c r="O145" s="60" t="n"/>
      <c r="P145" s="62" t="n"/>
      <c r="Q145" s="62" t="n"/>
      <c r="R145" s="60" t="n"/>
      <c r="S145" s="59" t="n"/>
      <c r="T145" s="60" t="n"/>
      <c r="U145" s="59" t="n"/>
      <c r="V145" s="45">
        <f>IF(OR($A145="",$T145="",$T145="No Issue"),"",IF($T145="Resolved",IF($U145="","",$U145-$A145),TODAY()-$A145))</f>
        <v/>
      </c>
      <c r="W145" s="47">
        <f>IF(AND($C145&lt;&gt;"",$C145='Store History'!$C$4,OR('Store History'!$C$5="",$F145='Store History'!$C$5)),1,0)</f>
        <v/>
      </c>
      <c r="X145" s="47">
        <f>IF($W145=1,SUM($W145:$W$1005),"")</f>
        <v/>
      </c>
    </row>
    <row r="146">
      <c r="A146" s="59" t="n"/>
      <c r="B146" s="60" t="n"/>
      <c r="C146" s="60" t="n"/>
      <c r="D146" s="45">
        <f>IF($C146="","",IFERROR(INDEX('Chain Program'!$B$6:$B$120,MATCH($C146,'Chain Program'!$A$6:$A$120,0)),"Unknown ID"))</f>
        <v/>
      </c>
      <c r="E146" s="45">
        <f>IF($C146="","",IFERROR(INDEX('Chain Program'!$D$6:$D$120,MATCH($C146,'Chain Program'!$A$6:$A$120,0)),"Unknown ID"))</f>
        <v/>
      </c>
      <c r="F146" s="60" t="n"/>
      <c r="G146" s="60" t="n"/>
      <c r="H146" s="56">
        <f>IF(OR($C146="",$A146=""),"",IF(COUNTIFS('Promo Calendar'!$A$6:$A$400,$C146,'Promo Calendar'!$D$6:$D$400,IF($G146="","All",$G146),'Promo Calendar'!$I$6:$I$400,"&lt;="&amp;$A146,'Promo Calendar'!$J$6:$J$400,"&gt;="&amp;$A146,'Promo Calendar'!$G$6:$G$400,"&gt;0")&gt;0,_xlfn.MINIFS('Promo Calendar'!$G$6:$G$400,'Promo Calendar'!$A$6:$A$400,$C146,'Promo Calendar'!$D$6:$D$400,IF($G146="","All",$G146),'Promo Calendar'!$I$6:$I$400,"&lt;="&amp;$A146,'Promo Calendar'!$J$6:$J$400,"&gt;="&amp;$A146,'Promo Calendar'!$G$6:$G$400,"&gt;0"),IF(COUNTIFS('Promo Calendar'!$A$6:$A$400,$C146,'Promo Calendar'!$D$6:$D$400,"All",'Promo Calendar'!$I$6:$I$400,"&lt;="&amp;$A146,'Promo Calendar'!$J$6:$J$400,"&gt;="&amp;$A146,'Promo Calendar'!$G$6:$G$400,"&gt;0")&gt;0,_xlfn.MINIFS('Promo Calendar'!$G$6:$G$400,'Promo Calendar'!$A$6:$A$400,$C146,'Promo Calendar'!$D$6:$D$400,"All",'Promo Calendar'!$I$6:$I$400,"&lt;="&amp;$A146,'Promo Calendar'!$J$6:$J$400,"&gt;="&amp;$A146,'Promo Calendar'!$G$6:$G$400,"&gt;0"),IFERROR(IF(INDEX('Chain Program'!$M$6:$M$120,MATCH($C146,'Chain Program'!$A$6:$A$120,0))="","Not set",INDEX('Chain Program'!$M$6:$M$120,MATCH($C146,'Chain Program'!$A$6:$A$120,0))),"Not set"))))</f>
        <v/>
      </c>
      <c r="I146" s="61" t="n"/>
      <c r="J146" s="45">
        <f>IF($I146="","",IF(NOT(ISNUMBER($H146)),"No plan price",IF(ABS($I146-$H146)&lt;0.005,"Match",IF($I146&gt;$H146,"Over plan","Under plan"))))</f>
        <v/>
      </c>
      <c r="K146" s="60" t="n"/>
      <c r="L146" s="60" t="n"/>
      <c r="M146" s="60" t="n"/>
      <c r="N146" s="60" t="n"/>
      <c r="O146" s="60" t="n"/>
      <c r="P146" s="62" t="n"/>
      <c r="Q146" s="62" t="n"/>
      <c r="R146" s="60" t="n"/>
      <c r="S146" s="59" t="n"/>
      <c r="T146" s="60" t="n"/>
      <c r="U146" s="59" t="n"/>
      <c r="V146" s="45">
        <f>IF(OR($A146="",$T146="",$T146="No Issue"),"",IF($T146="Resolved",IF($U146="","",$U146-$A146),TODAY()-$A146))</f>
        <v/>
      </c>
      <c r="W146" s="47">
        <f>IF(AND($C146&lt;&gt;"",$C146='Store History'!$C$4,OR('Store History'!$C$5="",$F146='Store History'!$C$5)),1,0)</f>
        <v/>
      </c>
      <c r="X146" s="47">
        <f>IF($W146=1,SUM($W146:$W$1005),"")</f>
        <v/>
      </c>
    </row>
    <row r="147">
      <c r="A147" s="59" t="n"/>
      <c r="B147" s="60" t="n"/>
      <c r="C147" s="60" t="n"/>
      <c r="D147" s="45">
        <f>IF($C147="","",IFERROR(INDEX('Chain Program'!$B$6:$B$120,MATCH($C147,'Chain Program'!$A$6:$A$120,0)),"Unknown ID"))</f>
        <v/>
      </c>
      <c r="E147" s="45">
        <f>IF($C147="","",IFERROR(INDEX('Chain Program'!$D$6:$D$120,MATCH($C147,'Chain Program'!$A$6:$A$120,0)),"Unknown ID"))</f>
        <v/>
      </c>
      <c r="F147" s="60" t="n"/>
      <c r="G147" s="60" t="n"/>
      <c r="H147" s="56">
        <f>IF(OR($C147="",$A147=""),"",IF(COUNTIFS('Promo Calendar'!$A$6:$A$400,$C147,'Promo Calendar'!$D$6:$D$400,IF($G147="","All",$G147),'Promo Calendar'!$I$6:$I$400,"&lt;="&amp;$A147,'Promo Calendar'!$J$6:$J$400,"&gt;="&amp;$A147,'Promo Calendar'!$G$6:$G$400,"&gt;0")&gt;0,_xlfn.MINIFS('Promo Calendar'!$G$6:$G$400,'Promo Calendar'!$A$6:$A$400,$C147,'Promo Calendar'!$D$6:$D$400,IF($G147="","All",$G147),'Promo Calendar'!$I$6:$I$400,"&lt;="&amp;$A147,'Promo Calendar'!$J$6:$J$400,"&gt;="&amp;$A147,'Promo Calendar'!$G$6:$G$400,"&gt;0"),IF(COUNTIFS('Promo Calendar'!$A$6:$A$400,$C147,'Promo Calendar'!$D$6:$D$400,"All",'Promo Calendar'!$I$6:$I$400,"&lt;="&amp;$A147,'Promo Calendar'!$J$6:$J$400,"&gt;="&amp;$A147,'Promo Calendar'!$G$6:$G$400,"&gt;0")&gt;0,_xlfn.MINIFS('Promo Calendar'!$G$6:$G$400,'Promo Calendar'!$A$6:$A$400,$C147,'Promo Calendar'!$D$6:$D$400,"All",'Promo Calendar'!$I$6:$I$400,"&lt;="&amp;$A147,'Promo Calendar'!$J$6:$J$400,"&gt;="&amp;$A147,'Promo Calendar'!$G$6:$G$400,"&gt;0"),IFERROR(IF(INDEX('Chain Program'!$M$6:$M$120,MATCH($C147,'Chain Program'!$A$6:$A$120,0))="","Not set",INDEX('Chain Program'!$M$6:$M$120,MATCH($C147,'Chain Program'!$A$6:$A$120,0))),"Not set"))))</f>
        <v/>
      </c>
      <c r="I147" s="61" t="n"/>
      <c r="J147" s="45">
        <f>IF($I147="","",IF(NOT(ISNUMBER($H147)),"No plan price",IF(ABS($I147-$H147)&lt;0.005,"Match",IF($I147&gt;$H147,"Over plan","Under plan"))))</f>
        <v/>
      </c>
      <c r="K147" s="60" t="n"/>
      <c r="L147" s="60" t="n"/>
      <c r="M147" s="60" t="n"/>
      <c r="N147" s="60" t="n"/>
      <c r="O147" s="60" t="n"/>
      <c r="P147" s="62" t="n"/>
      <c r="Q147" s="62" t="n"/>
      <c r="R147" s="60" t="n"/>
      <c r="S147" s="59" t="n"/>
      <c r="T147" s="60" t="n"/>
      <c r="U147" s="59" t="n"/>
      <c r="V147" s="45">
        <f>IF(OR($A147="",$T147="",$T147="No Issue"),"",IF($T147="Resolved",IF($U147="","",$U147-$A147),TODAY()-$A147))</f>
        <v/>
      </c>
      <c r="W147" s="47">
        <f>IF(AND($C147&lt;&gt;"",$C147='Store History'!$C$4,OR('Store History'!$C$5="",$F147='Store History'!$C$5)),1,0)</f>
        <v/>
      </c>
      <c r="X147" s="47">
        <f>IF($W147=1,SUM($W147:$W$1005),"")</f>
        <v/>
      </c>
    </row>
    <row r="148">
      <c r="A148" s="59" t="n"/>
      <c r="B148" s="60" t="n"/>
      <c r="C148" s="60" t="n"/>
      <c r="D148" s="45">
        <f>IF($C148="","",IFERROR(INDEX('Chain Program'!$B$6:$B$120,MATCH($C148,'Chain Program'!$A$6:$A$120,0)),"Unknown ID"))</f>
        <v/>
      </c>
      <c r="E148" s="45">
        <f>IF($C148="","",IFERROR(INDEX('Chain Program'!$D$6:$D$120,MATCH($C148,'Chain Program'!$A$6:$A$120,0)),"Unknown ID"))</f>
        <v/>
      </c>
      <c r="F148" s="60" t="n"/>
      <c r="G148" s="60" t="n"/>
      <c r="H148" s="56">
        <f>IF(OR($C148="",$A148=""),"",IF(COUNTIFS('Promo Calendar'!$A$6:$A$400,$C148,'Promo Calendar'!$D$6:$D$400,IF($G148="","All",$G148),'Promo Calendar'!$I$6:$I$400,"&lt;="&amp;$A148,'Promo Calendar'!$J$6:$J$400,"&gt;="&amp;$A148,'Promo Calendar'!$G$6:$G$400,"&gt;0")&gt;0,_xlfn.MINIFS('Promo Calendar'!$G$6:$G$400,'Promo Calendar'!$A$6:$A$400,$C148,'Promo Calendar'!$D$6:$D$400,IF($G148="","All",$G148),'Promo Calendar'!$I$6:$I$400,"&lt;="&amp;$A148,'Promo Calendar'!$J$6:$J$400,"&gt;="&amp;$A148,'Promo Calendar'!$G$6:$G$400,"&gt;0"),IF(COUNTIFS('Promo Calendar'!$A$6:$A$400,$C148,'Promo Calendar'!$D$6:$D$400,"All",'Promo Calendar'!$I$6:$I$400,"&lt;="&amp;$A148,'Promo Calendar'!$J$6:$J$400,"&gt;="&amp;$A148,'Promo Calendar'!$G$6:$G$400,"&gt;0")&gt;0,_xlfn.MINIFS('Promo Calendar'!$G$6:$G$400,'Promo Calendar'!$A$6:$A$400,$C148,'Promo Calendar'!$D$6:$D$400,"All",'Promo Calendar'!$I$6:$I$400,"&lt;="&amp;$A148,'Promo Calendar'!$J$6:$J$400,"&gt;="&amp;$A148,'Promo Calendar'!$G$6:$G$400,"&gt;0"),IFERROR(IF(INDEX('Chain Program'!$M$6:$M$120,MATCH($C148,'Chain Program'!$A$6:$A$120,0))="","Not set",INDEX('Chain Program'!$M$6:$M$120,MATCH($C148,'Chain Program'!$A$6:$A$120,0))),"Not set"))))</f>
        <v/>
      </c>
      <c r="I148" s="61" t="n"/>
      <c r="J148" s="45">
        <f>IF($I148="","",IF(NOT(ISNUMBER($H148)),"No plan price",IF(ABS($I148-$H148)&lt;0.005,"Match",IF($I148&gt;$H148,"Over plan","Under plan"))))</f>
        <v/>
      </c>
      <c r="K148" s="60" t="n"/>
      <c r="L148" s="60" t="n"/>
      <c r="M148" s="60" t="n"/>
      <c r="N148" s="60" t="n"/>
      <c r="O148" s="60" t="n"/>
      <c r="P148" s="62" t="n"/>
      <c r="Q148" s="62" t="n"/>
      <c r="R148" s="60" t="n"/>
      <c r="S148" s="59" t="n"/>
      <c r="T148" s="60" t="n"/>
      <c r="U148" s="59" t="n"/>
      <c r="V148" s="45">
        <f>IF(OR($A148="",$T148="",$T148="No Issue"),"",IF($T148="Resolved",IF($U148="","",$U148-$A148),TODAY()-$A148))</f>
        <v/>
      </c>
      <c r="W148" s="47">
        <f>IF(AND($C148&lt;&gt;"",$C148='Store History'!$C$4,OR('Store History'!$C$5="",$F148='Store History'!$C$5)),1,0)</f>
        <v/>
      </c>
      <c r="X148" s="47">
        <f>IF($W148=1,SUM($W148:$W$1005),"")</f>
        <v/>
      </c>
    </row>
    <row r="149">
      <c r="A149" s="59" t="n"/>
      <c r="B149" s="60" t="n"/>
      <c r="C149" s="60" t="n"/>
      <c r="D149" s="45">
        <f>IF($C149="","",IFERROR(INDEX('Chain Program'!$B$6:$B$120,MATCH($C149,'Chain Program'!$A$6:$A$120,0)),"Unknown ID"))</f>
        <v/>
      </c>
      <c r="E149" s="45">
        <f>IF($C149="","",IFERROR(INDEX('Chain Program'!$D$6:$D$120,MATCH($C149,'Chain Program'!$A$6:$A$120,0)),"Unknown ID"))</f>
        <v/>
      </c>
      <c r="F149" s="60" t="n"/>
      <c r="G149" s="60" t="n"/>
      <c r="H149" s="56">
        <f>IF(OR($C149="",$A149=""),"",IF(COUNTIFS('Promo Calendar'!$A$6:$A$400,$C149,'Promo Calendar'!$D$6:$D$400,IF($G149="","All",$G149),'Promo Calendar'!$I$6:$I$400,"&lt;="&amp;$A149,'Promo Calendar'!$J$6:$J$400,"&gt;="&amp;$A149,'Promo Calendar'!$G$6:$G$400,"&gt;0")&gt;0,_xlfn.MINIFS('Promo Calendar'!$G$6:$G$400,'Promo Calendar'!$A$6:$A$400,$C149,'Promo Calendar'!$D$6:$D$400,IF($G149="","All",$G149),'Promo Calendar'!$I$6:$I$400,"&lt;="&amp;$A149,'Promo Calendar'!$J$6:$J$400,"&gt;="&amp;$A149,'Promo Calendar'!$G$6:$G$400,"&gt;0"),IF(COUNTIFS('Promo Calendar'!$A$6:$A$400,$C149,'Promo Calendar'!$D$6:$D$400,"All",'Promo Calendar'!$I$6:$I$400,"&lt;="&amp;$A149,'Promo Calendar'!$J$6:$J$400,"&gt;="&amp;$A149,'Promo Calendar'!$G$6:$G$400,"&gt;0")&gt;0,_xlfn.MINIFS('Promo Calendar'!$G$6:$G$400,'Promo Calendar'!$A$6:$A$400,$C149,'Promo Calendar'!$D$6:$D$400,"All",'Promo Calendar'!$I$6:$I$400,"&lt;="&amp;$A149,'Promo Calendar'!$J$6:$J$400,"&gt;="&amp;$A149,'Promo Calendar'!$G$6:$G$400,"&gt;0"),IFERROR(IF(INDEX('Chain Program'!$M$6:$M$120,MATCH($C149,'Chain Program'!$A$6:$A$120,0))="","Not set",INDEX('Chain Program'!$M$6:$M$120,MATCH($C149,'Chain Program'!$A$6:$A$120,0))),"Not set"))))</f>
        <v/>
      </c>
      <c r="I149" s="61" t="n"/>
      <c r="J149" s="45">
        <f>IF($I149="","",IF(NOT(ISNUMBER($H149)),"No plan price",IF(ABS($I149-$H149)&lt;0.005,"Match",IF($I149&gt;$H149,"Over plan","Under plan"))))</f>
        <v/>
      </c>
      <c r="K149" s="60" t="n"/>
      <c r="L149" s="60" t="n"/>
      <c r="M149" s="60" t="n"/>
      <c r="N149" s="60" t="n"/>
      <c r="O149" s="60" t="n"/>
      <c r="P149" s="62" t="n"/>
      <c r="Q149" s="62" t="n"/>
      <c r="R149" s="60" t="n"/>
      <c r="S149" s="59" t="n"/>
      <c r="T149" s="60" t="n"/>
      <c r="U149" s="59" t="n"/>
      <c r="V149" s="45">
        <f>IF(OR($A149="",$T149="",$T149="No Issue"),"",IF($T149="Resolved",IF($U149="","",$U149-$A149),TODAY()-$A149))</f>
        <v/>
      </c>
      <c r="W149" s="47">
        <f>IF(AND($C149&lt;&gt;"",$C149='Store History'!$C$4,OR('Store History'!$C$5="",$F149='Store History'!$C$5)),1,0)</f>
        <v/>
      </c>
      <c r="X149" s="47">
        <f>IF($W149=1,SUM($W149:$W$1005),"")</f>
        <v/>
      </c>
    </row>
    <row r="150">
      <c r="A150" s="59" t="n"/>
      <c r="B150" s="60" t="n"/>
      <c r="C150" s="60" t="n"/>
      <c r="D150" s="45">
        <f>IF($C150="","",IFERROR(INDEX('Chain Program'!$B$6:$B$120,MATCH($C150,'Chain Program'!$A$6:$A$120,0)),"Unknown ID"))</f>
        <v/>
      </c>
      <c r="E150" s="45">
        <f>IF($C150="","",IFERROR(INDEX('Chain Program'!$D$6:$D$120,MATCH($C150,'Chain Program'!$A$6:$A$120,0)),"Unknown ID"))</f>
        <v/>
      </c>
      <c r="F150" s="60" t="n"/>
      <c r="G150" s="60" t="n"/>
      <c r="H150" s="56">
        <f>IF(OR($C150="",$A150=""),"",IF(COUNTIFS('Promo Calendar'!$A$6:$A$400,$C150,'Promo Calendar'!$D$6:$D$400,IF($G150="","All",$G150),'Promo Calendar'!$I$6:$I$400,"&lt;="&amp;$A150,'Promo Calendar'!$J$6:$J$400,"&gt;="&amp;$A150,'Promo Calendar'!$G$6:$G$400,"&gt;0")&gt;0,_xlfn.MINIFS('Promo Calendar'!$G$6:$G$400,'Promo Calendar'!$A$6:$A$400,$C150,'Promo Calendar'!$D$6:$D$400,IF($G150="","All",$G150),'Promo Calendar'!$I$6:$I$400,"&lt;="&amp;$A150,'Promo Calendar'!$J$6:$J$400,"&gt;="&amp;$A150,'Promo Calendar'!$G$6:$G$400,"&gt;0"),IF(COUNTIFS('Promo Calendar'!$A$6:$A$400,$C150,'Promo Calendar'!$D$6:$D$400,"All",'Promo Calendar'!$I$6:$I$400,"&lt;="&amp;$A150,'Promo Calendar'!$J$6:$J$400,"&gt;="&amp;$A150,'Promo Calendar'!$G$6:$G$400,"&gt;0")&gt;0,_xlfn.MINIFS('Promo Calendar'!$G$6:$G$400,'Promo Calendar'!$A$6:$A$400,$C150,'Promo Calendar'!$D$6:$D$400,"All",'Promo Calendar'!$I$6:$I$400,"&lt;="&amp;$A150,'Promo Calendar'!$J$6:$J$400,"&gt;="&amp;$A150,'Promo Calendar'!$G$6:$G$400,"&gt;0"),IFERROR(IF(INDEX('Chain Program'!$M$6:$M$120,MATCH($C150,'Chain Program'!$A$6:$A$120,0))="","Not set",INDEX('Chain Program'!$M$6:$M$120,MATCH($C150,'Chain Program'!$A$6:$A$120,0))),"Not set"))))</f>
        <v/>
      </c>
      <c r="I150" s="61" t="n"/>
      <c r="J150" s="45">
        <f>IF($I150="","",IF(NOT(ISNUMBER($H150)),"No plan price",IF(ABS($I150-$H150)&lt;0.005,"Match",IF($I150&gt;$H150,"Over plan","Under plan"))))</f>
        <v/>
      </c>
      <c r="K150" s="60" t="n"/>
      <c r="L150" s="60" t="n"/>
      <c r="M150" s="60" t="n"/>
      <c r="N150" s="60" t="n"/>
      <c r="O150" s="60" t="n"/>
      <c r="P150" s="62" t="n"/>
      <c r="Q150" s="62" t="n"/>
      <c r="R150" s="60" t="n"/>
      <c r="S150" s="59" t="n"/>
      <c r="T150" s="60" t="n"/>
      <c r="U150" s="59" t="n"/>
      <c r="V150" s="45">
        <f>IF(OR($A150="",$T150="",$T150="No Issue"),"",IF($T150="Resolved",IF($U150="","",$U150-$A150),TODAY()-$A150))</f>
        <v/>
      </c>
      <c r="W150" s="47">
        <f>IF(AND($C150&lt;&gt;"",$C150='Store History'!$C$4,OR('Store History'!$C$5="",$F150='Store History'!$C$5)),1,0)</f>
        <v/>
      </c>
      <c r="X150" s="47">
        <f>IF($W150=1,SUM($W150:$W$1005),"")</f>
        <v/>
      </c>
    </row>
    <row r="151">
      <c r="A151" s="59" t="n"/>
      <c r="B151" s="60" t="n"/>
      <c r="C151" s="60" t="n"/>
      <c r="D151" s="45">
        <f>IF($C151="","",IFERROR(INDEX('Chain Program'!$B$6:$B$120,MATCH($C151,'Chain Program'!$A$6:$A$120,0)),"Unknown ID"))</f>
        <v/>
      </c>
      <c r="E151" s="45">
        <f>IF($C151="","",IFERROR(INDEX('Chain Program'!$D$6:$D$120,MATCH($C151,'Chain Program'!$A$6:$A$120,0)),"Unknown ID"))</f>
        <v/>
      </c>
      <c r="F151" s="60" t="n"/>
      <c r="G151" s="60" t="n"/>
      <c r="H151" s="56">
        <f>IF(OR($C151="",$A151=""),"",IF(COUNTIFS('Promo Calendar'!$A$6:$A$400,$C151,'Promo Calendar'!$D$6:$D$400,IF($G151="","All",$G151),'Promo Calendar'!$I$6:$I$400,"&lt;="&amp;$A151,'Promo Calendar'!$J$6:$J$400,"&gt;="&amp;$A151,'Promo Calendar'!$G$6:$G$400,"&gt;0")&gt;0,_xlfn.MINIFS('Promo Calendar'!$G$6:$G$400,'Promo Calendar'!$A$6:$A$400,$C151,'Promo Calendar'!$D$6:$D$400,IF($G151="","All",$G151),'Promo Calendar'!$I$6:$I$400,"&lt;="&amp;$A151,'Promo Calendar'!$J$6:$J$400,"&gt;="&amp;$A151,'Promo Calendar'!$G$6:$G$400,"&gt;0"),IF(COUNTIFS('Promo Calendar'!$A$6:$A$400,$C151,'Promo Calendar'!$D$6:$D$400,"All",'Promo Calendar'!$I$6:$I$400,"&lt;="&amp;$A151,'Promo Calendar'!$J$6:$J$400,"&gt;="&amp;$A151,'Promo Calendar'!$G$6:$G$400,"&gt;0")&gt;0,_xlfn.MINIFS('Promo Calendar'!$G$6:$G$400,'Promo Calendar'!$A$6:$A$400,$C151,'Promo Calendar'!$D$6:$D$400,"All",'Promo Calendar'!$I$6:$I$400,"&lt;="&amp;$A151,'Promo Calendar'!$J$6:$J$400,"&gt;="&amp;$A151,'Promo Calendar'!$G$6:$G$400,"&gt;0"),IFERROR(IF(INDEX('Chain Program'!$M$6:$M$120,MATCH($C151,'Chain Program'!$A$6:$A$120,0))="","Not set",INDEX('Chain Program'!$M$6:$M$120,MATCH($C151,'Chain Program'!$A$6:$A$120,0))),"Not set"))))</f>
        <v/>
      </c>
      <c r="I151" s="61" t="n"/>
      <c r="J151" s="45">
        <f>IF($I151="","",IF(NOT(ISNUMBER($H151)),"No plan price",IF(ABS($I151-$H151)&lt;0.005,"Match",IF($I151&gt;$H151,"Over plan","Under plan"))))</f>
        <v/>
      </c>
      <c r="K151" s="60" t="n"/>
      <c r="L151" s="60" t="n"/>
      <c r="M151" s="60" t="n"/>
      <c r="N151" s="60" t="n"/>
      <c r="O151" s="60" t="n"/>
      <c r="P151" s="62" t="n"/>
      <c r="Q151" s="62" t="n"/>
      <c r="R151" s="60" t="n"/>
      <c r="S151" s="59" t="n"/>
      <c r="T151" s="60" t="n"/>
      <c r="U151" s="59" t="n"/>
      <c r="V151" s="45">
        <f>IF(OR($A151="",$T151="",$T151="No Issue"),"",IF($T151="Resolved",IF($U151="","",$U151-$A151),TODAY()-$A151))</f>
        <v/>
      </c>
      <c r="W151" s="47">
        <f>IF(AND($C151&lt;&gt;"",$C151='Store History'!$C$4,OR('Store History'!$C$5="",$F151='Store History'!$C$5)),1,0)</f>
        <v/>
      </c>
      <c r="X151" s="47">
        <f>IF($W151=1,SUM($W151:$W$1005),"")</f>
        <v/>
      </c>
    </row>
    <row r="152">
      <c r="A152" s="59" t="n"/>
      <c r="B152" s="60" t="n"/>
      <c r="C152" s="60" t="n"/>
      <c r="D152" s="45">
        <f>IF($C152="","",IFERROR(INDEX('Chain Program'!$B$6:$B$120,MATCH($C152,'Chain Program'!$A$6:$A$120,0)),"Unknown ID"))</f>
        <v/>
      </c>
      <c r="E152" s="45">
        <f>IF($C152="","",IFERROR(INDEX('Chain Program'!$D$6:$D$120,MATCH($C152,'Chain Program'!$A$6:$A$120,0)),"Unknown ID"))</f>
        <v/>
      </c>
      <c r="F152" s="60" t="n"/>
      <c r="G152" s="60" t="n"/>
      <c r="H152" s="56">
        <f>IF(OR($C152="",$A152=""),"",IF(COUNTIFS('Promo Calendar'!$A$6:$A$400,$C152,'Promo Calendar'!$D$6:$D$400,IF($G152="","All",$G152),'Promo Calendar'!$I$6:$I$400,"&lt;="&amp;$A152,'Promo Calendar'!$J$6:$J$400,"&gt;="&amp;$A152,'Promo Calendar'!$G$6:$G$400,"&gt;0")&gt;0,_xlfn.MINIFS('Promo Calendar'!$G$6:$G$400,'Promo Calendar'!$A$6:$A$400,$C152,'Promo Calendar'!$D$6:$D$400,IF($G152="","All",$G152),'Promo Calendar'!$I$6:$I$400,"&lt;="&amp;$A152,'Promo Calendar'!$J$6:$J$400,"&gt;="&amp;$A152,'Promo Calendar'!$G$6:$G$400,"&gt;0"),IF(COUNTIFS('Promo Calendar'!$A$6:$A$400,$C152,'Promo Calendar'!$D$6:$D$400,"All",'Promo Calendar'!$I$6:$I$400,"&lt;="&amp;$A152,'Promo Calendar'!$J$6:$J$400,"&gt;="&amp;$A152,'Promo Calendar'!$G$6:$G$400,"&gt;0")&gt;0,_xlfn.MINIFS('Promo Calendar'!$G$6:$G$400,'Promo Calendar'!$A$6:$A$400,$C152,'Promo Calendar'!$D$6:$D$400,"All",'Promo Calendar'!$I$6:$I$400,"&lt;="&amp;$A152,'Promo Calendar'!$J$6:$J$400,"&gt;="&amp;$A152,'Promo Calendar'!$G$6:$G$400,"&gt;0"),IFERROR(IF(INDEX('Chain Program'!$M$6:$M$120,MATCH($C152,'Chain Program'!$A$6:$A$120,0))="","Not set",INDEX('Chain Program'!$M$6:$M$120,MATCH($C152,'Chain Program'!$A$6:$A$120,0))),"Not set"))))</f>
        <v/>
      </c>
      <c r="I152" s="61" t="n"/>
      <c r="J152" s="45">
        <f>IF($I152="","",IF(NOT(ISNUMBER($H152)),"No plan price",IF(ABS($I152-$H152)&lt;0.005,"Match",IF($I152&gt;$H152,"Over plan","Under plan"))))</f>
        <v/>
      </c>
      <c r="K152" s="60" t="n"/>
      <c r="L152" s="60" t="n"/>
      <c r="M152" s="60" t="n"/>
      <c r="N152" s="60" t="n"/>
      <c r="O152" s="60" t="n"/>
      <c r="P152" s="62" t="n"/>
      <c r="Q152" s="62" t="n"/>
      <c r="R152" s="60" t="n"/>
      <c r="S152" s="59" t="n"/>
      <c r="T152" s="60" t="n"/>
      <c r="U152" s="59" t="n"/>
      <c r="V152" s="45">
        <f>IF(OR($A152="",$T152="",$T152="No Issue"),"",IF($T152="Resolved",IF($U152="","",$U152-$A152),TODAY()-$A152))</f>
        <v/>
      </c>
      <c r="W152" s="47">
        <f>IF(AND($C152&lt;&gt;"",$C152='Store History'!$C$4,OR('Store History'!$C$5="",$F152='Store History'!$C$5)),1,0)</f>
        <v/>
      </c>
      <c r="X152" s="47">
        <f>IF($W152=1,SUM($W152:$W$1005),"")</f>
        <v/>
      </c>
    </row>
    <row r="153">
      <c r="A153" s="59" t="n"/>
      <c r="B153" s="60" t="n"/>
      <c r="C153" s="60" t="n"/>
      <c r="D153" s="45">
        <f>IF($C153="","",IFERROR(INDEX('Chain Program'!$B$6:$B$120,MATCH($C153,'Chain Program'!$A$6:$A$120,0)),"Unknown ID"))</f>
        <v/>
      </c>
      <c r="E153" s="45">
        <f>IF($C153="","",IFERROR(INDEX('Chain Program'!$D$6:$D$120,MATCH($C153,'Chain Program'!$A$6:$A$120,0)),"Unknown ID"))</f>
        <v/>
      </c>
      <c r="F153" s="60" t="n"/>
      <c r="G153" s="60" t="n"/>
      <c r="H153" s="56">
        <f>IF(OR($C153="",$A153=""),"",IF(COUNTIFS('Promo Calendar'!$A$6:$A$400,$C153,'Promo Calendar'!$D$6:$D$400,IF($G153="","All",$G153),'Promo Calendar'!$I$6:$I$400,"&lt;="&amp;$A153,'Promo Calendar'!$J$6:$J$400,"&gt;="&amp;$A153,'Promo Calendar'!$G$6:$G$400,"&gt;0")&gt;0,_xlfn.MINIFS('Promo Calendar'!$G$6:$G$400,'Promo Calendar'!$A$6:$A$400,$C153,'Promo Calendar'!$D$6:$D$400,IF($G153="","All",$G153),'Promo Calendar'!$I$6:$I$400,"&lt;="&amp;$A153,'Promo Calendar'!$J$6:$J$400,"&gt;="&amp;$A153,'Promo Calendar'!$G$6:$G$400,"&gt;0"),IF(COUNTIFS('Promo Calendar'!$A$6:$A$400,$C153,'Promo Calendar'!$D$6:$D$400,"All",'Promo Calendar'!$I$6:$I$400,"&lt;="&amp;$A153,'Promo Calendar'!$J$6:$J$400,"&gt;="&amp;$A153,'Promo Calendar'!$G$6:$G$400,"&gt;0")&gt;0,_xlfn.MINIFS('Promo Calendar'!$G$6:$G$400,'Promo Calendar'!$A$6:$A$400,$C153,'Promo Calendar'!$D$6:$D$400,"All",'Promo Calendar'!$I$6:$I$400,"&lt;="&amp;$A153,'Promo Calendar'!$J$6:$J$400,"&gt;="&amp;$A153,'Promo Calendar'!$G$6:$G$400,"&gt;0"),IFERROR(IF(INDEX('Chain Program'!$M$6:$M$120,MATCH($C153,'Chain Program'!$A$6:$A$120,0))="","Not set",INDEX('Chain Program'!$M$6:$M$120,MATCH($C153,'Chain Program'!$A$6:$A$120,0))),"Not set"))))</f>
        <v/>
      </c>
      <c r="I153" s="61" t="n"/>
      <c r="J153" s="45">
        <f>IF($I153="","",IF(NOT(ISNUMBER($H153)),"No plan price",IF(ABS($I153-$H153)&lt;0.005,"Match",IF($I153&gt;$H153,"Over plan","Under plan"))))</f>
        <v/>
      </c>
      <c r="K153" s="60" t="n"/>
      <c r="L153" s="60" t="n"/>
      <c r="M153" s="60" t="n"/>
      <c r="N153" s="60" t="n"/>
      <c r="O153" s="60" t="n"/>
      <c r="P153" s="62" t="n"/>
      <c r="Q153" s="62" t="n"/>
      <c r="R153" s="60" t="n"/>
      <c r="S153" s="59" t="n"/>
      <c r="T153" s="60" t="n"/>
      <c r="U153" s="59" t="n"/>
      <c r="V153" s="45">
        <f>IF(OR($A153="",$T153="",$T153="No Issue"),"",IF($T153="Resolved",IF($U153="","",$U153-$A153),TODAY()-$A153))</f>
        <v/>
      </c>
      <c r="W153" s="47">
        <f>IF(AND($C153&lt;&gt;"",$C153='Store History'!$C$4,OR('Store History'!$C$5="",$F153='Store History'!$C$5)),1,0)</f>
        <v/>
      </c>
      <c r="X153" s="47">
        <f>IF($W153=1,SUM($W153:$W$1005),"")</f>
        <v/>
      </c>
    </row>
    <row r="154">
      <c r="A154" s="59" t="n"/>
      <c r="B154" s="60" t="n"/>
      <c r="C154" s="60" t="n"/>
      <c r="D154" s="45">
        <f>IF($C154="","",IFERROR(INDEX('Chain Program'!$B$6:$B$120,MATCH($C154,'Chain Program'!$A$6:$A$120,0)),"Unknown ID"))</f>
        <v/>
      </c>
      <c r="E154" s="45">
        <f>IF($C154="","",IFERROR(INDEX('Chain Program'!$D$6:$D$120,MATCH($C154,'Chain Program'!$A$6:$A$120,0)),"Unknown ID"))</f>
        <v/>
      </c>
      <c r="F154" s="60" t="n"/>
      <c r="G154" s="60" t="n"/>
      <c r="H154" s="56">
        <f>IF(OR($C154="",$A154=""),"",IF(COUNTIFS('Promo Calendar'!$A$6:$A$400,$C154,'Promo Calendar'!$D$6:$D$400,IF($G154="","All",$G154),'Promo Calendar'!$I$6:$I$400,"&lt;="&amp;$A154,'Promo Calendar'!$J$6:$J$400,"&gt;="&amp;$A154,'Promo Calendar'!$G$6:$G$400,"&gt;0")&gt;0,_xlfn.MINIFS('Promo Calendar'!$G$6:$G$400,'Promo Calendar'!$A$6:$A$400,$C154,'Promo Calendar'!$D$6:$D$400,IF($G154="","All",$G154),'Promo Calendar'!$I$6:$I$400,"&lt;="&amp;$A154,'Promo Calendar'!$J$6:$J$400,"&gt;="&amp;$A154,'Promo Calendar'!$G$6:$G$400,"&gt;0"),IF(COUNTIFS('Promo Calendar'!$A$6:$A$400,$C154,'Promo Calendar'!$D$6:$D$400,"All",'Promo Calendar'!$I$6:$I$400,"&lt;="&amp;$A154,'Promo Calendar'!$J$6:$J$400,"&gt;="&amp;$A154,'Promo Calendar'!$G$6:$G$400,"&gt;0")&gt;0,_xlfn.MINIFS('Promo Calendar'!$G$6:$G$400,'Promo Calendar'!$A$6:$A$400,$C154,'Promo Calendar'!$D$6:$D$400,"All",'Promo Calendar'!$I$6:$I$400,"&lt;="&amp;$A154,'Promo Calendar'!$J$6:$J$400,"&gt;="&amp;$A154,'Promo Calendar'!$G$6:$G$400,"&gt;0"),IFERROR(IF(INDEX('Chain Program'!$M$6:$M$120,MATCH($C154,'Chain Program'!$A$6:$A$120,0))="","Not set",INDEX('Chain Program'!$M$6:$M$120,MATCH($C154,'Chain Program'!$A$6:$A$120,0))),"Not set"))))</f>
        <v/>
      </c>
      <c r="I154" s="61" t="n"/>
      <c r="J154" s="45">
        <f>IF($I154="","",IF(NOT(ISNUMBER($H154)),"No plan price",IF(ABS($I154-$H154)&lt;0.005,"Match",IF($I154&gt;$H154,"Over plan","Under plan"))))</f>
        <v/>
      </c>
      <c r="K154" s="60" t="n"/>
      <c r="L154" s="60" t="n"/>
      <c r="M154" s="60" t="n"/>
      <c r="N154" s="60" t="n"/>
      <c r="O154" s="60" t="n"/>
      <c r="P154" s="62" t="n"/>
      <c r="Q154" s="62" t="n"/>
      <c r="R154" s="60" t="n"/>
      <c r="S154" s="59" t="n"/>
      <c r="T154" s="60" t="n"/>
      <c r="U154" s="59" t="n"/>
      <c r="V154" s="45">
        <f>IF(OR($A154="",$T154="",$T154="No Issue"),"",IF($T154="Resolved",IF($U154="","",$U154-$A154),TODAY()-$A154))</f>
        <v/>
      </c>
      <c r="W154" s="47">
        <f>IF(AND($C154&lt;&gt;"",$C154='Store History'!$C$4,OR('Store History'!$C$5="",$F154='Store History'!$C$5)),1,0)</f>
        <v/>
      </c>
      <c r="X154" s="47">
        <f>IF($W154=1,SUM($W154:$W$1005),"")</f>
        <v/>
      </c>
    </row>
    <row r="155">
      <c r="A155" s="59" t="n"/>
      <c r="B155" s="60" t="n"/>
      <c r="C155" s="60" t="n"/>
      <c r="D155" s="45">
        <f>IF($C155="","",IFERROR(INDEX('Chain Program'!$B$6:$B$120,MATCH($C155,'Chain Program'!$A$6:$A$120,0)),"Unknown ID"))</f>
        <v/>
      </c>
      <c r="E155" s="45">
        <f>IF($C155="","",IFERROR(INDEX('Chain Program'!$D$6:$D$120,MATCH($C155,'Chain Program'!$A$6:$A$120,0)),"Unknown ID"))</f>
        <v/>
      </c>
      <c r="F155" s="60" t="n"/>
      <c r="G155" s="60" t="n"/>
      <c r="H155" s="56">
        <f>IF(OR($C155="",$A155=""),"",IF(COUNTIFS('Promo Calendar'!$A$6:$A$400,$C155,'Promo Calendar'!$D$6:$D$400,IF($G155="","All",$G155),'Promo Calendar'!$I$6:$I$400,"&lt;="&amp;$A155,'Promo Calendar'!$J$6:$J$400,"&gt;="&amp;$A155,'Promo Calendar'!$G$6:$G$400,"&gt;0")&gt;0,_xlfn.MINIFS('Promo Calendar'!$G$6:$G$400,'Promo Calendar'!$A$6:$A$400,$C155,'Promo Calendar'!$D$6:$D$400,IF($G155="","All",$G155),'Promo Calendar'!$I$6:$I$400,"&lt;="&amp;$A155,'Promo Calendar'!$J$6:$J$400,"&gt;="&amp;$A155,'Promo Calendar'!$G$6:$G$400,"&gt;0"),IF(COUNTIFS('Promo Calendar'!$A$6:$A$400,$C155,'Promo Calendar'!$D$6:$D$400,"All",'Promo Calendar'!$I$6:$I$400,"&lt;="&amp;$A155,'Promo Calendar'!$J$6:$J$400,"&gt;="&amp;$A155,'Promo Calendar'!$G$6:$G$400,"&gt;0")&gt;0,_xlfn.MINIFS('Promo Calendar'!$G$6:$G$400,'Promo Calendar'!$A$6:$A$400,$C155,'Promo Calendar'!$D$6:$D$400,"All",'Promo Calendar'!$I$6:$I$400,"&lt;="&amp;$A155,'Promo Calendar'!$J$6:$J$400,"&gt;="&amp;$A155,'Promo Calendar'!$G$6:$G$400,"&gt;0"),IFERROR(IF(INDEX('Chain Program'!$M$6:$M$120,MATCH($C155,'Chain Program'!$A$6:$A$120,0))="","Not set",INDEX('Chain Program'!$M$6:$M$120,MATCH($C155,'Chain Program'!$A$6:$A$120,0))),"Not set"))))</f>
        <v/>
      </c>
      <c r="I155" s="61" t="n"/>
      <c r="J155" s="45">
        <f>IF($I155="","",IF(NOT(ISNUMBER($H155)),"No plan price",IF(ABS($I155-$H155)&lt;0.005,"Match",IF($I155&gt;$H155,"Over plan","Under plan"))))</f>
        <v/>
      </c>
      <c r="K155" s="60" t="n"/>
      <c r="L155" s="60" t="n"/>
      <c r="M155" s="60" t="n"/>
      <c r="N155" s="60" t="n"/>
      <c r="O155" s="60" t="n"/>
      <c r="P155" s="62" t="n"/>
      <c r="Q155" s="62" t="n"/>
      <c r="R155" s="60" t="n"/>
      <c r="S155" s="59" t="n"/>
      <c r="T155" s="60" t="n"/>
      <c r="U155" s="59" t="n"/>
      <c r="V155" s="45">
        <f>IF(OR($A155="",$T155="",$T155="No Issue"),"",IF($T155="Resolved",IF($U155="","",$U155-$A155),TODAY()-$A155))</f>
        <v/>
      </c>
      <c r="W155" s="47">
        <f>IF(AND($C155&lt;&gt;"",$C155='Store History'!$C$4,OR('Store History'!$C$5="",$F155='Store History'!$C$5)),1,0)</f>
        <v/>
      </c>
      <c r="X155" s="47">
        <f>IF($W155=1,SUM($W155:$W$1005),"")</f>
        <v/>
      </c>
    </row>
    <row r="156">
      <c r="A156" s="59" t="n"/>
      <c r="B156" s="60" t="n"/>
      <c r="C156" s="60" t="n"/>
      <c r="D156" s="45">
        <f>IF($C156="","",IFERROR(INDEX('Chain Program'!$B$6:$B$120,MATCH($C156,'Chain Program'!$A$6:$A$120,0)),"Unknown ID"))</f>
        <v/>
      </c>
      <c r="E156" s="45">
        <f>IF($C156="","",IFERROR(INDEX('Chain Program'!$D$6:$D$120,MATCH($C156,'Chain Program'!$A$6:$A$120,0)),"Unknown ID"))</f>
        <v/>
      </c>
      <c r="F156" s="60" t="n"/>
      <c r="G156" s="60" t="n"/>
      <c r="H156" s="56">
        <f>IF(OR($C156="",$A156=""),"",IF(COUNTIFS('Promo Calendar'!$A$6:$A$400,$C156,'Promo Calendar'!$D$6:$D$400,IF($G156="","All",$G156),'Promo Calendar'!$I$6:$I$400,"&lt;="&amp;$A156,'Promo Calendar'!$J$6:$J$400,"&gt;="&amp;$A156,'Promo Calendar'!$G$6:$G$400,"&gt;0")&gt;0,_xlfn.MINIFS('Promo Calendar'!$G$6:$G$400,'Promo Calendar'!$A$6:$A$400,$C156,'Promo Calendar'!$D$6:$D$400,IF($G156="","All",$G156),'Promo Calendar'!$I$6:$I$400,"&lt;="&amp;$A156,'Promo Calendar'!$J$6:$J$400,"&gt;="&amp;$A156,'Promo Calendar'!$G$6:$G$400,"&gt;0"),IF(COUNTIFS('Promo Calendar'!$A$6:$A$400,$C156,'Promo Calendar'!$D$6:$D$400,"All",'Promo Calendar'!$I$6:$I$400,"&lt;="&amp;$A156,'Promo Calendar'!$J$6:$J$400,"&gt;="&amp;$A156,'Promo Calendar'!$G$6:$G$400,"&gt;0")&gt;0,_xlfn.MINIFS('Promo Calendar'!$G$6:$G$400,'Promo Calendar'!$A$6:$A$400,$C156,'Promo Calendar'!$D$6:$D$400,"All",'Promo Calendar'!$I$6:$I$400,"&lt;="&amp;$A156,'Promo Calendar'!$J$6:$J$400,"&gt;="&amp;$A156,'Promo Calendar'!$G$6:$G$400,"&gt;0"),IFERROR(IF(INDEX('Chain Program'!$M$6:$M$120,MATCH($C156,'Chain Program'!$A$6:$A$120,0))="","Not set",INDEX('Chain Program'!$M$6:$M$120,MATCH($C156,'Chain Program'!$A$6:$A$120,0))),"Not set"))))</f>
        <v/>
      </c>
      <c r="I156" s="61" t="n"/>
      <c r="J156" s="45">
        <f>IF($I156="","",IF(NOT(ISNUMBER($H156)),"No plan price",IF(ABS($I156-$H156)&lt;0.005,"Match",IF($I156&gt;$H156,"Over plan","Under plan"))))</f>
        <v/>
      </c>
      <c r="K156" s="60" t="n"/>
      <c r="L156" s="60" t="n"/>
      <c r="M156" s="60" t="n"/>
      <c r="N156" s="60" t="n"/>
      <c r="O156" s="60" t="n"/>
      <c r="P156" s="62" t="n"/>
      <c r="Q156" s="62" t="n"/>
      <c r="R156" s="60" t="n"/>
      <c r="S156" s="59" t="n"/>
      <c r="T156" s="60" t="n"/>
      <c r="U156" s="59" t="n"/>
      <c r="V156" s="45">
        <f>IF(OR($A156="",$T156="",$T156="No Issue"),"",IF($T156="Resolved",IF($U156="","",$U156-$A156),TODAY()-$A156))</f>
        <v/>
      </c>
      <c r="W156" s="47">
        <f>IF(AND($C156&lt;&gt;"",$C156='Store History'!$C$4,OR('Store History'!$C$5="",$F156='Store History'!$C$5)),1,0)</f>
        <v/>
      </c>
      <c r="X156" s="47">
        <f>IF($W156=1,SUM($W156:$W$1005),"")</f>
        <v/>
      </c>
    </row>
    <row r="157">
      <c r="A157" s="59" t="n"/>
      <c r="B157" s="60" t="n"/>
      <c r="C157" s="60" t="n"/>
      <c r="D157" s="45">
        <f>IF($C157="","",IFERROR(INDEX('Chain Program'!$B$6:$B$120,MATCH($C157,'Chain Program'!$A$6:$A$120,0)),"Unknown ID"))</f>
        <v/>
      </c>
      <c r="E157" s="45">
        <f>IF($C157="","",IFERROR(INDEX('Chain Program'!$D$6:$D$120,MATCH($C157,'Chain Program'!$A$6:$A$120,0)),"Unknown ID"))</f>
        <v/>
      </c>
      <c r="F157" s="60" t="n"/>
      <c r="G157" s="60" t="n"/>
      <c r="H157" s="56">
        <f>IF(OR($C157="",$A157=""),"",IF(COUNTIFS('Promo Calendar'!$A$6:$A$400,$C157,'Promo Calendar'!$D$6:$D$400,IF($G157="","All",$G157),'Promo Calendar'!$I$6:$I$400,"&lt;="&amp;$A157,'Promo Calendar'!$J$6:$J$400,"&gt;="&amp;$A157,'Promo Calendar'!$G$6:$G$400,"&gt;0")&gt;0,_xlfn.MINIFS('Promo Calendar'!$G$6:$G$400,'Promo Calendar'!$A$6:$A$400,$C157,'Promo Calendar'!$D$6:$D$400,IF($G157="","All",$G157),'Promo Calendar'!$I$6:$I$400,"&lt;="&amp;$A157,'Promo Calendar'!$J$6:$J$400,"&gt;="&amp;$A157,'Promo Calendar'!$G$6:$G$400,"&gt;0"),IF(COUNTIFS('Promo Calendar'!$A$6:$A$400,$C157,'Promo Calendar'!$D$6:$D$400,"All",'Promo Calendar'!$I$6:$I$400,"&lt;="&amp;$A157,'Promo Calendar'!$J$6:$J$400,"&gt;="&amp;$A157,'Promo Calendar'!$G$6:$G$400,"&gt;0")&gt;0,_xlfn.MINIFS('Promo Calendar'!$G$6:$G$400,'Promo Calendar'!$A$6:$A$400,$C157,'Promo Calendar'!$D$6:$D$400,"All",'Promo Calendar'!$I$6:$I$400,"&lt;="&amp;$A157,'Promo Calendar'!$J$6:$J$400,"&gt;="&amp;$A157,'Promo Calendar'!$G$6:$G$400,"&gt;0"),IFERROR(IF(INDEX('Chain Program'!$M$6:$M$120,MATCH($C157,'Chain Program'!$A$6:$A$120,0))="","Not set",INDEX('Chain Program'!$M$6:$M$120,MATCH($C157,'Chain Program'!$A$6:$A$120,0))),"Not set"))))</f>
        <v/>
      </c>
      <c r="I157" s="61" t="n"/>
      <c r="J157" s="45">
        <f>IF($I157="","",IF(NOT(ISNUMBER($H157)),"No plan price",IF(ABS($I157-$H157)&lt;0.005,"Match",IF($I157&gt;$H157,"Over plan","Under plan"))))</f>
        <v/>
      </c>
      <c r="K157" s="60" t="n"/>
      <c r="L157" s="60" t="n"/>
      <c r="M157" s="60" t="n"/>
      <c r="N157" s="60" t="n"/>
      <c r="O157" s="60" t="n"/>
      <c r="P157" s="62" t="n"/>
      <c r="Q157" s="62" t="n"/>
      <c r="R157" s="60" t="n"/>
      <c r="S157" s="59" t="n"/>
      <c r="T157" s="60" t="n"/>
      <c r="U157" s="59" t="n"/>
      <c r="V157" s="45">
        <f>IF(OR($A157="",$T157="",$T157="No Issue"),"",IF($T157="Resolved",IF($U157="","",$U157-$A157),TODAY()-$A157))</f>
        <v/>
      </c>
      <c r="W157" s="47">
        <f>IF(AND($C157&lt;&gt;"",$C157='Store History'!$C$4,OR('Store History'!$C$5="",$F157='Store History'!$C$5)),1,0)</f>
        <v/>
      </c>
      <c r="X157" s="47">
        <f>IF($W157=1,SUM($W157:$W$1005),"")</f>
        <v/>
      </c>
    </row>
    <row r="158">
      <c r="A158" s="59" t="n"/>
      <c r="B158" s="60" t="n"/>
      <c r="C158" s="60" t="n"/>
      <c r="D158" s="45">
        <f>IF($C158="","",IFERROR(INDEX('Chain Program'!$B$6:$B$120,MATCH($C158,'Chain Program'!$A$6:$A$120,0)),"Unknown ID"))</f>
        <v/>
      </c>
      <c r="E158" s="45">
        <f>IF($C158="","",IFERROR(INDEX('Chain Program'!$D$6:$D$120,MATCH($C158,'Chain Program'!$A$6:$A$120,0)),"Unknown ID"))</f>
        <v/>
      </c>
      <c r="F158" s="60" t="n"/>
      <c r="G158" s="60" t="n"/>
      <c r="H158" s="56">
        <f>IF(OR($C158="",$A158=""),"",IF(COUNTIFS('Promo Calendar'!$A$6:$A$400,$C158,'Promo Calendar'!$D$6:$D$400,IF($G158="","All",$G158),'Promo Calendar'!$I$6:$I$400,"&lt;="&amp;$A158,'Promo Calendar'!$J$6:$J$400,"&gt;="&amp;$A158,'Promo Calendar'!$G$6:$G$400,"&gt;0")&gt;0,_xlfn.MINIFS('Promo Calendar'!$G$6:$G$400,'Promo Calendar'!$A$6:$A$400,$C158,'Promo Calendar'!$D$6:$D$400,IF($G158="","All",$G158),'Promo Calendar'!$I$6:$I$400,"&lt;="&amp;$A158,'Promo Calendar'!$J$6:$J$400,"&gt;="&amp;$A158,'Promo Calendar'!$G$6:$G$400,"&gt;0"),IF(COUNTIFS('Promo Calendar'!$A$6:$A$400,$C158,'Promo Calendar'!$D$6:$D$400,"All",'Promo Calendar'!$I$6:$I$400,"&lt;="&amp;$A158,'Promo Calendar'!$J$6:$J$400,"&gt;="&amp;$A158,'Promo Calendar'!$G$6:$G$400,"&gt;0")&gt;0,_xlfn.MINIFS('Promo Calendar'!$G$6:$G$400,'Promo Calendar'!$A$6:$A$400,$C158,'Promo Calendar'!$D$6:$D$400,"All",'Promo Calendar'!$I$6:$I$400,"&lt;="&amp;$A158,'Promo Calendar'!$J$6:$J$400,"&gt;="&amp;$A158,'Promo Calendar'!$G$6:$G$400,"&gt;0"),IFERROR(IF(INDEX('Chain Program'!$M$6:$M$120,MATCH($C158,'Chain Program'!$A$6:$A$120,0))="","Not set",INDEX('Chain Program'!$M$6:$M$120,MATCH($C158,'Chain Program'!$A$6:$A$120,0))),"Not set"))))</f>
        <v/>
      </c>
      <c r="I158" s="61" t="n"/>
      <c r="J158" s="45">
        <f>IF($I158="","",IF(NOT(ISNUMBER($H158)),"No plan price",IF(ABS($I158-$H158)&lt;0.005,"Match",IF($I158&gt;$H158,"Over plan","Under plan"))))</f>
        <v/>
      </c>
      <c r="K158" s="60" t="n"/>
      <c r="L158" s="60" t="n"/>
      <c r="M158" s="60" t="n"/>
      <c r="N158" s="60" t="n"/>
      <c r="O158" s="60" t="n"/>
      <c r="P158" s="62" t="n"/>
      <c r="Q158" s="62" t="n"/>
      <c r="R158" s="60" t="n"/>
      <c r="S158" s="59" t="n"/>
      <c r="T158" s="60" t="n"/>
      <c r="U158" s="59" t="n"/>
      <c r="V158" s="45">
        <f>IF(OR($A158="",$T158="",$T158="No Issue"),"",IF($T158="Resolved",IF($U158="","",$U158-$A158),TODAY()-$A158))</f>
        <v/>
      </c>
      <c r="W158" s="47">
        <f>IF(AND($C158&lt;&gt;"",$C158='Store History'!$C$4,OR('Store History'!$C$5="",$F158='Store History'!$C$5)),1,0)</f>
        <v/>
      </c>
      <c r="X158" s="47">
        <f>IF($W158=1,SUM($W158:$W$1005),"")</f>
        <v/>
      </c>
    </row>
    <row r="159">
      <c r="A159" s="59" t="n"/>
      <c r="B159" s="60" t="n"/>
      <c r="C159" s="60" t="n"/>
      <c r="D159" s="45">
        <f>IF($C159="","",IFERROR(INDEX('Chain Program'!$B$6:$B$120,MATCH($C159,'Chain Program'!$A$6:$A$120,0)),"Unknown ID"))</f>
        <v/>
      </c>
      <c r="E159" s="45">
        <f>IF($C159="","",IFERROR(INDEX('Chain Program'!$D$6:$D$120,MATCH($C159,'Chain Program'!$A$6:$A$120,0)),"Unknown ID"))</f>
        <v/>
      </c>
      <c r="F159" s="60" t="n"/>
      <c r="G159" s="60" t="n"/>
      <c r="H159" s="56">
        <f>IF(OR($C159="",$A159=""),"",IF(COUNTIFS('Promo Calendar'!$A$6:$A$400,$C159,'Promo Calendar'!$D$6:$D$400,IF($G159="","All",$G159),'Promo Calendar'!$I$6:$I$400,"&lt;="&amp;$A159,'Promo Calendar'!$J$6:$J$400,"&gt;="&amp;$A159,'Promo Calendar'!$G$6:$G$400,"&gt;0")&gt;0,_xlfn.MINIFS('Promo Calendar'!$G$6:$G$400,'Promo Calendar'!$A$6:$A$400,$C159,'Promo Calendar'!$D$6:$D$400,IF($G159="","All",$G159),'Promo Calendar'!$I$6:$I$400,"&lt;="&amp;$A159,'Promo Calendar'!$J$6:$J$400,"&gt;="&amp;$A159,'Promo Calendar'!$G$6:$G$400,"&gt;0"),IF(COUNTIFS('Promo Calendar'!$A$6:$A$400,$C159,'Promo Calendar'!$D$6:$D$400,"All",'Promo Calendar'!$I$6:$I$400,"&lt;="&amp;$A159,'Promo Calendar'!$J$6:$J$400,"&gt;="&amp;$A159,'Promo Calendar'!$G$6:$G$400,"&gt;0")&gt;0,_xlfn.MINIFS('Promo Calendar'!$G$6:$G$400,'Promo Calendar'!$A$6:$A$400,$C159,'Promo Calendar'!$D$6:$D$400,"All",'Promo Calendar'!$I$6:$I$400,"&lt;="&amp;$A159,'Promo Calendar'!$J$6:$J$400,"&gt;="&amp;$A159,'Promo Calendar'!$G$6:$G$400,"&gt;0"),IFERROR(IF(INDEX('Chain Program'!$M$6:$M$120,MATCH($C159,'Chain Program'!$A$6:$A$120,0))="","Not set",INDEX('Chain Program'!$M$6:$M$120,MATCH($C159,'Chain Program'!$A$6:$A$120,0))),"Not set"))))</f>
        <v/>
      </c>
      <c r="I159" s="61" t="n"/>
      <c r="J159" s="45">
        <f>IF($I159="","",IF(NOT(ISNUMBER($H159)),"No plan price",IF(ABS($I159-$H159)&lt;0.005,"Match",IF($I159&gt;$H159,"Over plan","Under plan"))))</f>
        <v/>
      </c>
      <c r="K159" s="60" t="n"/>
      <c r="L159" s="60" t="n"/>
      <c r="M159" s="60" t="n"/>
      <c r="N159" s="60" t="n"/>
      <c r="O159" s="60" t="n"/>
      <c r="P159" s="62" t="n"/>
      <c r="Q159" s="62" t="n"/>
      <c r="R159" s="60" t="n"/>
      <c r="S159" s="59" t="n"/>
      <c r="T159" s="60" t="n"/>
      <c r="U159" s="59" t="n"/>
      <c r="V159" s="45">
        <f>IF(OR($A159="",$T159="",$T159="No Issue"),"",IF($T159="Resolved",IF($U159="","",$U159-$A159),TODAY()-$A159))</f>
        <v/>
      </c>
      <c r="W159" s="47">
        <f>IF(AND($C159&lt;&gt;"",$C159='Store History'!$C$4,OR('Store History'!$C$5="",$F159='Store History'!$C$5)),1,0)</f>
        <v/>
      </c>
      <c r="X159" s="47">
        <f>IF($W159=1,SUM($W159:$W$1005),"")</f>
        <v/>
      </c>
    </row>
    <row r="160">
      <c r="A160" s="59" t="n"/>
      <c r="B160" s="60" t="n"/>
      <c r="C160" s="60" t="n"/>
      <c r="D160" s="45">
        <f>IF($C160="","",IFERROR(INDEX('Chain Program'!$B$6:$B$120,MATCH($C160,'Chain Program'!$A$6:$A$120,0)),"Unknown ID"))</f>
        <v/>
      </c>
      <c r="E160" s="45">
        <f>IF($C160="","",IFERROR(INDEX('Chain Program'!$D$6:$D$120,MATCH($C160,'Chain Program'!$A$6:$A$120,0)),"Unknown ID"))</f>
        <v/>
      </c>
      <c r="F160" s="60" t="n"/>
      <c r="G160" s="60" t="n"/>
      <c r="H160" s="56">
        <f>IF(OR($C160="",$A160=""),"",IF(COUNTIFS('Promo Calendar'!$A$6:$A$400,$C160,'Promo Calendar'!$D$6:$D$400,IF($G160="","All",$G160),'Promo Calendar'!$I$6:$I$400,"&lt;="&amp;$A160,'Promo Calendar'!$J$6:$J$400,"&gt;="&amp;$A160,'Promo Calendar'!$G$6:$G$400,"&gt;0")&gt;0,_xlfn.MINIFS('Promo Calendar'!$G$6:$G$400,'Promo Calendar'!$A$6:$A$400,$C160,'Promo Calendar'!$D$6:$D$400,IF($G160="","All",$G160),'Promo Calendar'!$I$6:$I$400,"&lt;="&amp;$A160,'Promo Calendar'!$J$6:$J$400,"&gt;="&amp;$A160,'Promo Calendar'!$G$6:$G$400,"&gt;0"),IF(COUNTIFS('Promo Calendar'!$A$6:$A$400,$C160,'Promo Calendar'!$D$6:$D$400,"All",'Promo Calendar'!$I$6:$I$400,"&lt;="&amp;$A160,'Promo Calendar'!$J$6:$J$400,"&gt;="&amp;$A160,'Promo Calendar'!$G$6:$G$400,"&gt;0")&gt;0,_xlfn.MINIFS('Promo Calendar'!$G$6:$G$400,'Promo Calendar'!$A$6:$A$400,$C160,'Promo Calendar'!$D$6:$D$400,"All",'Promo Calendar'!$I$6:$I$400,"&lt;="&amp;$A160,'Promo Calendar'!$J$6:$J$400,"&gt;="&amp;$A160,'Promo Calendar'!$G$6:$G$400,"&gt;0"),IFERROR(IF(INDEX('Chain Program'!$M$6:$M$120,MATCH($C160,'Chain Program'!$A$6:$A$120,0))="","Not set",INDEX('Chain Program'!$M$6:$M$120,MATCH($C160,'Chain Program'!$A$6:$A$120,0))),"Not set"))))</f>
        <v/>
      </c>
      <c r="I160" s="61" t="n"/>
      <c r="J160" s="45">
        <f>IF($I160="","",IF(NOT(ISNUMBER($H160)),"No plan price",IF(ABS($I160-$H160)&lt;0.005,"Match",IF($I160&gt;$H160,"Over plan","Under plan"))))</f>
        <v/>
      </c>
      <c r="K160" s="60" t="n"/>
      <c r="L160" s="60" t="n"/>
      <c r="M160" s="60" t="n"/>
      <c r="N160" s="60" t="n"/>
      <c r="O160" s="60" t="n"/>
      <c r="P160" s="62" t="n"/>
      <c r="Q160" s="62" t="n"/>
      <c r="R160" s="60" t="n"/>
      <c r="S160" s="59" t="n"/>
      <c r="T160" s="60" t="n"/>
      <c r="U160" s="59" t="n"/>
      <c r="V160" s="45">
        <f>IF(OR($A160="",$T160="",$T160="No Issue"),"",IF($T160="Resolved",IF($U160="","",$U160-$A160),TODAY()-$A160))</f>
        <v/>
      </c>
      <c r="W160" s="47">
        <f>IF(AND($C160&lt;&gt;"",$C160='Store History'!$C$4,OR('Store History'!$C$5="",$F160='Store History'!$C$5)),1,0)</f>
        <v/>
      </c>
      <c r="X160" s="47">
        <f>IF($W160=1,SUM($W160:$W$1005),"")</f>
        <v/>
      </c>
    </row>
    <row r="161">
      <c r="A161" s="59" t="n"/>
      <c r="B161" s="60" t="n"/>
      <c r="C161" s="60" t="n"/>
      <c r="D161" s="45">
        <f>IF($C161="","",IFERROR(INDEX('Chain Program'!$B$6:$B$120,MATCH($C161,'Chain Program'!$A$6:$A$120,0)),"Unknown ID"))</f>
        <v/>
      </c>
      <c r="E161" s="45">
        <f>IF($C161="","",IFERROR(INDEX('Chain Program'!$D$6:$D$120,MATCH($C161,'Chain Program'!$A$6:$A$120,0)),"Unknown ID"))</f>
        <v/>
      </c>
      <c r="F161" s="60" t="n"/>
      <c r="G161" s="60" t="n"/>
      <c r="H161" s="56">
        <f>IF(OR($C161="",$A161=""),"",IF(COUNTIFS('Promo Calendar'!$A$6:$A$400,$C161,'Promo Calendar'!$D$6:$D$400,IF($G161="","All",$G161),'Promo Calendar'!$I$6:$I$400,"&lt;="&amp;$A161,'Promo Calendar'!$J$6:$J$400,"&gt;="&amp;$A161,'Promo Calendar'!$G$6:$G$400,"&gt;0")&gt;0,_xlfn.MINIFS('Promo Calendar'!$G$6:$G$400,'Promo Calendar'!$A$6:$A$400,$C161,'Promo Calendar'!$D$6:$D$400,IF($G161="","All",$G161),'Promo Calendar'!$I$6:$I$400,"&lt;="&amp;$A161,'Promo Calendar'!$J$6:$J$400,"&gt;="&amp;$A161,'Promo Calendar'!$G$6:$G$400,"&gt;0"),IF(COUNTIFS('Promo Calendar'!$A$6:$A$400,$C161,'Promo Calendar'!$D$6:$D$400,"All",'Promo Calendar'!$I$6:$I$400,"&lt;="&amp;$A161,'Promo Calendar'!$J$6:$J$400,"&gt;="&amp;$A161,'Promo Calendar'!$G$6:$G$400,"&gt;0")&gt;0,_xlfn.MINIFS('Promo Calendar'!$G$6:$G$400,'Promo Calendar'!$A$6:$A$400,$C161,'Promo Calendar'!$D$6:$D$400,"All",'Promo Calendar'!$I$6:$I$400,"&lt;="&amp;$A161,'Promo Calendar'!$J$6:$J$400,"&gt;="&amp;$A161,'Promo Calendar'!$G$6:$G$400,"&gt;0"),IFERROR(IF(INDEX('Chain Program'!$M$6:$M$120,MATCH($C161,'Chain Program'!$A$6:$A$120,0))="","Not set",INDEX('Chain Program'!$M$6:$M$120,MATCH($C161,'Chain Program'!$A$6:$A$120,0))),"Not set"))))</f>
        <v/>
      </c>
      <c r="I161" s="61" t="n"/>
      <c r="J161" s="45">
        <f>IF($I161="","",IF(NOT(ISNUMBER($H161)),"No plan price",IF(ABS($I161-$H161)&lt;0.005,"Match",IF($I161&gt;$H161,"Over plan","Under plan"))))</f>
        <v/>
      </c>
      <c r="K161" s="60" t="n"/>
      <c r="L161" s="60" t="n"/>
      <c r="M161" s="60" t="n"/>
      <c r="N161" s="60" t="n"/>
      <c r="O161" s="60" t="n"/>
      <c r="P161" s="62" t="n"/>
      <c r="Q161" s="62" t="n"/>
      <c r="R161" s="60" t="n"/>
      <c r="S161" s="59" t="n"/>
      <c r="T161" s="60" t="n"/>
      <c r="U161" s="59" t="n"/>
      <c r="V161" s="45">
        <f>IF(OR($A161="",$T161="",$T161="No Issue"),"",IF($T161="Resolved",IF($U161="","",$U161-$A161),TODAY()-$A161))</f>
        <v/>
      </c>
      <c r="W161" s="47">
        <f>IF(AND($C161&lt;&gt;"",$C161='Store History'!$C$4,OR('Store History'!$C$5="",$F161='Store History'!$C$5)),1,0)</f>
        <v/>
      </c>
      <c r="X161" s="47">
        <f>IF($W161=1,SUM($W161:$W$1005),"")</f>
        <v/>
      </c>
    </row>
    <row r="162">
      <c r="A162" s="59" t="n"/>
      <c r="B162" s="60" t="n"/>
      <c r="C162" s="60" t="n"/>
      <c r="D162" s="45">
        <f>IF($C162="","",IFERROR(INDEX('Chain Program'!$B$6:$B$120,MATCH($C162,'Chain Program'!$A$6:$A$120,0)),"Unknown ID"))</f>
        <v/>
      </c>
      <c r="E162" s="45">
        <f>IF($C162="","",IFERROR(INDEX('Chain Program'!$D$6:$D$120,MATCH($C162,'Chain Program'!$A$6:$A$120,0)),"Unknown ID"))</f>
        <v/>
      </c>
      <c r="F162" s="60" t="n"/>
      <c r="G162" s="60" t="n"/>
      <c r="H162" s="56">
        <f>IF(OR($C162="",$A162=""),"",IF(COUNTIFS('Promo Calendar'!$A$6:$A$400,$C162,'Promo Calendar'!$D$6:$D$400,IF($G162="","All",$G162),'Promo Calendar'!$I$6:$I$400,"&lt;="&amp;$A162,'Promo Calendar'!$J$6:$J$400,"&gt;="&amp;$A162,'Promo Calendar'!$G$6:$G$400,"&gt;0")&gt;0,_xlfn.MINIFS('Promo Calendar'!$G$6:$G$400,'Promo Calendar'!$A$6:$A$400,$C162,'Promo Calendar'!$D$6:$D$400,IF($G162="","All",$G162),'Promo Calendar'!$I$6:$I$400,"&lt;="&amp;$A162,'Promo Calendar'!$J$6:$J$400,"&gt;="&amp;$A162,'Promo Calendar'!$G$6:$G$400,"&gt;0"),IF(COUNTIFS('Promo Calendar'!$A$6:$A$400,$C162,'Promo Calendar'!$D$6:$D$400,"All",'Promo Calendar'!$I$6:$I$400,"&lt;="&amp;$A162,'Promo Calendar'!$J$6:$J$400,"&gt;="&amp;$A162,'Promo Calendar'!$G$6:$G$400,"&gt;0")&gt;0,_xlfn.MINIFS('Promo Calendar'!$G$6:$G$400,'Promo Calendar'!$A$6:$A$400,$C162,'Promo Calendar'!$D$6:$D$400,"All",'Promo Calendar'!$I$6:$I$400,"&lt;="&amp;$A162,'Promo Calendar'!$J$6:$J$400,"&gt;="&amp;$A162,'Promo Calendar'!$G$6:$G$400,"&gt;0"),IFERROR(IF(INDEX('Chain Program'!$M$6:$M$120,MATCH($C162,'Chain Program'!$A$6:$A$120,0))="","Not set",INDEX('Chain Program'!$M$6:$M$120,MATCH($C162,'Chain Program'!$A$6:$A$120,0))),"Not set"))))</f>
        <v/>
      </c>
      <c r="I162" s="61" t="n"/>
      <c r="J162" s="45">
        <f>IF($I162="","",IF(NOT(ISNUMBER($H162)),"No plan price",IF(ABS($I162-$H162)&lt;0.005,"Match",IF($I162&gt;$H162,"Over plan","Under plan"))))</f>
        <v/>
      </c>
      <c r="K162" s="60" t="n"/>
      <c r="L162" s="60" t="n"/>
      <c r="M162" s="60" t="n"/>
      <c r="N162" s="60" t="n"/>
      <c r="O162" s="60" t="n"/>
      <c r="P162" s="62" t="n"/>
      <c r="Q162" s="62" t="n"/>
      <c r="R162" s="60" t="n"/>
      <c r="S162" s="59" t="n"/>
      <c r="T162" s="60" t="n"/>
      <c r="U162" s="59" t="n"/>
      <c r="V162" s="45">
        <f>IF(OR($A162="",$T162="",$T162="No Issue"),"",IF($T162="Resolved",IF($U162="","",$U162-$A162),TODAY()-$A162))</f>
        <v/>
      </c>
      <c r="W162" s="47">
        <f>IF(AND($C162&lt;&gt;"",$C162='Store History'!$C$4,OR('Store History'!$C$5="",$F162='Store History'!$C$5)),1,0)</f>
        <v/>
      </c>
      <c r="X162" s="47">
        <f>IF($W162=1,SUM($W162:$W$1005),"")</f>
        <v/>
      </c>
    </row>
    <row r="163">
      <c r="A163" s="59" t="n"/>
      <c r="B163" s="60" t="n"/>
      <c r="C163" s="60" t="n"/>
      <c r="D163" s="45">
        <f>IF($C163="","",IFERROR(INDEX('Chain Program'!$B$6:$B$120,MATCH($C163,'Chain Program'!$A$6:$A$120,0)),"Unknown ID"))</f>
        <v/>
      </c>
      <c r="E163" s="45">
        <f>IF($C163="","",IFERROR(INDEX('Chain Program'!$D$6:$D$120,MATCH($C163,'Chain Program'!$A$6:$A$120,0)),"Unknown ID"))</f>
        <v/>
      </c>
      <c r="F163" s="60" t="n"/>
      <c r="G163" s="60" t="n"/>
      <c r="H163" s="56">
        <f>IF(OR($C163="",$A163=""),"",IF(COUNTIFS('Promo Calendar'!$A$6:$A$400,$C163,'Promo Calendar'!$D$6:$D$400,IF($G163="","All",$G163),'Promo Calendar'!$I$6:$I$400,"&lt;="&amp;$A163,'Promo Calendar'!$J$6:$J$400,"&gt;="&amp;$A163,'Promo Calendar'!$G$6:$G$400,"&gt;0")&gt;0,_xlfn.MINIFS('Promo Calendar'!$G$6:$G$400,'Promo Calendar'!$A$6:$A$400,$C163,'Promo Calendar'!$D$6:$D$400,IF($G163="","All",$G163),'Promo Calendar'!$I$6:$I$400,"&lt;="&amp;$A163,'Promo Calendar'!$J$6:$J$400,"&gt;="&amp;$A163,'Promo Calendar'!$G$6:$G$400,"&gt;0"),IF(COUNTIFS('Promo Calendar'!$A$6:$A$400,$C163,'Promo Calendar'!$D$6:$D$400,"All",'Promo Calendar'!$I$6:$I$400,"&lt;="&amp;$A163,'Promo Calendar'!$J$6:$J$400,"&gt;="&amp;$A163,'Promo Calendar'!$G$6:$G$400,"&gt;0")&gt;0,_xlfn.MINIFS('Promo Calendar'!$G$6:$G$400,'Promo Calendar'!$A$6:$A$400,$C163,'Promo Calendar'!$D$6:$D$400,"All",'Promo Calendar'!$I$6:$I$400,"&lt;="&amp;$A163,'Promo Calendar'!$J$6:$J$400,"&gt;="&amp;$A163,'Promo Calendar'!$G$6:$G$400,"&gt;0"),IFERROR(IF(INDEX('Chain Program'!$M$6:$M$120,MATCH($C163,'Chain Program'!$A$6:$A$120,0))="","Not set",INDEX('Chain Program'!$M$6:$M$120,MATCH($C163,'Chain Program'!$A$6:$A$120,0))),"Not set"))))</f>
        <v/>
      </c>
      <c r="I163" s="61" t="n"/>
      <c r="J163" s="45">
        <f>IF($I163="","",IF(NOT(ISNUMBER($H163)),"No plan price",IF(ABS($I163-$H163)&lt;0.005,"Match",IF($I163&gt;$H163,"Over plan","Under plan"))))</f>
        <v/>
      </c>
      <c r="K163" s="60" t="n"/>
      <c r="L163" s="60" t="n"/>
      <c r="M163" s="60" t="n"/>
      <c r="N163" s="60" t="n"/>
      <c r="O163" s="60" t="n"/>
      <c r="P163" s="62" t="n"/>
      <c r="Q163" s="62" t="n"/>
      <c r="R163" s="60" t="n"/>
      <c r="S163" s="59" t="n"/>
      <c r="T163" s="60" t="n"/>
      <c r="U163" s="59" t="n"/>
      <c r="V163" s="45">
        <f>IF(OR($A163="",$T163="",$T163="No Issue"),"",IF($T163="Resolved",IF($U163="","",$U163-$A163),TODAY()-$A163))</f>
        <v/>
      </c>
      <c r="W163" s="47">
        <f>IF(AND($C163&lt;&gt;"",$C163='Store History'!$C$4,OR('Store History'!$C$5="",$F163='Store History'!$C$5)),1,0)</f>
        <v/>
      </c>
      <c r="X163" s="47">
        <f>IF($W163=1,SUM($W163:$W$1005),"")</f>
        <v/>
      </c>
    </row>
    <row r="164">
      <c r="A164" s="59" t="n"/>
      <c r="B164" s="60" t="n"/>
      <c r="C164" s="60" t="n"/>
      <c r="D164" s="45">
        <f>IF($C164="","",IFERROR(INDEX('Chain Program'!$B$6:$B$120,MATCH($C164,'Chain Program'!$A$6:$A$120,0)),"Unknown ID"))</f>
        <v/>
      </c>
      <c r="E164" s="45">
        <f>IF($C164="","",IFERROR(INDEX('Chain Program'!$D$6:$D$120,MATCH($C164,'Chain Program'!$A$6:$A$120,0)),"Unknown ID"))</f>
        <v/>
      </c>
      <c r="F164" s="60" t="n"/>
      <c r="G164" s="60" t="n"/>
      <c r="H164" s="56">
        <f>IF(OR($C164="",$A164=""),"",IF(COUNTIFS('Promo Calendar'!$A$6:$A$400,$C164,'Promo Calendar'!$D$6:$D$400,IF($G164="","All",$G164),'Promo Calendar'!$I$6:$I$400,"&lt;="&amp;$A164,'Promo Calendar'!$J$6:$J$400,"&gt;="&amp;$A164,'Promo Calendar'!$G$6:$G$400,"&gt;0")&gt;0,_xlfn.MINIFS('Promo Calendar'!$G$6:$G$400,'Promo Calendar'!$A$6:$A$400,$C164,'Promo Calendar'!$D$6:$D$400,IF($G164="","All",$G164),'Promo Calendar'!$I$6:$I$400,"&lt;="&amp;$A164,'Promo Calendar'!$J$6:$J$400,"&gt;="&amp;$A164,'Promo Calendar'!$G$6:$G$400,"&gt;0"),IF(COUNTIFS('Promo Calendar'!$A$6:$A$400,$C164,'Promo Calendar'!$D$6:$D$400,"All",'Promo Calendar'!$I$6:$I$400,"&lt;="&amp;$A164,'Promo Calendar'!$J$6:$J$400,"&gt;="&amp;$A164,'Promo Calendar'!$G$6:$G$400,"&gt;0")&gt;0,_xlfn.MINIFS('Promo Calendar'!$G$6:$G$400,'Promo Calendar'!$A$6:$A$400,$C164,'Promo Calendar'!$D$6:$D$400,"All",'Promo Calendar'!$I$6:$I$400,"&lt;="&amp;$A164,'Promo Calendar'!$J$6:$J$400,"&gt;="&amp;$A164,'Promo Calendar'!$G$6:$G$400,"&gt;0"),IFERROR(IF(INDEX('Chain Program'!$M$6:$M$120,MATCH($C164,'Chain Program'!$A$6:$A$120,0))="","Not set",INDEX('Chain Program'!$M$6:$M$120,MATCH($C164,'Chain Program'!$A$6:$A$120,0))),"Not set"))))</f>
        <v/>
      </c>
      <c r="I164" s="61" t="n"/>
      <c r="J164" s="45">
        <f>IF($I164="","",IF(NOT(ISNUMBER($H164)),"No plan price",IF(ABS($I164-$H164)&lt;0.005,"Match",IF($I164&gt;$H164,"Over plan","Under plan"))))</f>
        <v/>
      </c>
      <c r="K164" s="60" t="n"/>
      <c r="L164" s="60" t="n"/>
      <c r="M164" s="60" t="n"/>
      <c r="N164" s="60" t="n"/>
      <c r="O164" s="60" t="n"/>
      <c r="P164" s="62" t="n"/>
      <c r="Q164" s="62" t="n"/>
      <c r="R164" s="60" t="n"/>
      <c r="S164" s="59" t="n"/>
      <c r="T164" s="60" t="n"/>
      <c r="U164" s="59" t="n"/>
      <c r="V164" s="45">
        <f>IF(OR($A164="",$T164="",$T164="No Issue"),"",IF($T164="Resolved",IF($U164="","",$U164-$A164),TODAY()-$A164))</f>
        <v/>
      </c>
      <c r="W164" s="47">
        <f>IF(AND($C164&lt;&gt;"",$C164='Store History'!$C$4,OR('Store History'!$C$5="",$F164='Store History'!$C$5)),1,0)</f>
        <v/>
      </c>
      <c r="X164" s="47">
        <f>IF($W164=1,SUM($W164:$W$1005),"")</f>
        <v/>
      </c>
    </row>
    <row r="165">
      <c r="A165" s="59" t="n"/>
      <c r="B165" s="60" t="n"/>
      <c r="C165" s="60" t="n"/>
      <c r="D165" s="45">
        <f>IF($C165="","",IFERROR(INDEX('Chain Program'!$B$6:$B$120,MATCH($C165,'Chain Program'!$A$6:$A$120,0)),"Unknown ID"))</f>
        <v/>
      </c>
      <c r="E165" s="45">
        <f>IF($C165="","",IFERROR(INDEX('Chain Program'!$D$6:$D$120,MATCH($C165,'Chain Program'!$A$6:$A$120,0)),"Unknown ID"))</f>
        <v/>
      </c>
      <c r="F165" s="60" t="n"/>
      <c r="G165" s="60" t="n"/>
      <c r="H165" s="56">
        <f>IF(OR($C165="",$A165=""),"",IF(COUNTIFS('Promo Calendar'!$A$6:$A$400,$C165,'Promo Calendar'!$D$6:$D$400,IF($G165="","All",$G165),'Promo Calendar'!$I$6:$I$400,"&lt;="&amp;$A165,'Promo Calendar'!$J$6:$J$400,"&gt;="&amp;$A165,'Promo Calendar'!$G$6:$G$400,"&gt;0")&gt;0,_xlfn.MINIFS('Promo Calendar'!$G$6:$G$400,'Promo Calendar'!$A$6:$A$400,$C165,'Promo Calendar'!$D$6:$D$400,IF($G165="","All",$G165),'Promo Calendar'!$I$6:$I$400,"&lt;="&amp;$A165,'Promo Calendar'!$J$6:$J$400,"&gt;="&amp;$A165,'Promo Calendar'!$G$6:$G$400,"&gt;0"),IF(COUNTIFS('Promo Calendar'!$A$6:$A$400,$C165,'Promo Calendar'!$D$6:$D$400,"All",'Promo Calendar'!$I$6:$I$400,"&lt;="&amp;$A165,'Promo Calendar'!$J$6:$J$400,"&gt;="&amp;$A165,'Promo Calendar'!$G$6:$G$400,"&gt;0")&gt;0,_xlfn.MINIFS('Promo Calendar'!$G$6:$G$400,'Promo Calendar'!$A$6:$A$400,$C165,'Promo Calendar'!$D$6:$D$400,"All",'Promo Calendar'!$I$6:$I$400,"&lt;="&amp;$A165,'Promo Calendar'!$J$6:$J$400,"&gt;="&amp;$A165,'Promo Calendar'!$G$6:$G$400,"&gt;0"),IFERROR(IF(INDEX('Chain Program'!$M$6:$M$120,MATCH($C165,'Chain Program'!$A$6:$A$120,0))="","Not set",INDEX('Chain Program'!$M$6:$M$120,MATCH($C165,'Chain Program'!$A$6:$A$120,0))),"Not set"))))</f>
        <v/>
      </c>
      <c r="I165" s="61" t="n"/>
      <c r="J165" s="45">
        <f>IF($I165="","",IF(NOT(ISNUMBER($H165)),"No plan price",IF(ABS($I165-$H165)&lt;0.005,"Match",IF($I165&gt;$H165,"Over plan","Under plan"))))</f>
        <v/>
      </c>
      <c r="K165" s="60" t="n"/>
      <c r="L165" s="60" t="n"/>
      <c r="M165" s="60" t="n"/>
      <c r="N165" s="60" t="n"/>
      <c r="O165" s="60" t="n"/>
      <c r="P165" s="62" t="n"/>
      <c r="Q165" s="62" t="n"/>
      <c r="R165" s="60" t="n"/>
      <c r="S165" s="59" t="n"/>
      <c r="T165" s="60" t="n"/>
      <c r="U165" s="59" t="n"/>
      <c r="V165" s="45">
        <f>IF(OR($A165="",$T165="",$T165="No Issue"),"",IF($T165="Resolved",IF($U165="","",$U165-$A165),TODAY()-$A165))</f>
        <v/>
      </c>
      <c r="W165" s="47">
        <f>IF(AND($C165&lt;&gt;"",$C165='Store History'!$C$4,OR('Store History'!$C$5="",$F165='Store History'!$C$5)),1,0)</f>
        <v/>
      </c>
      <c r="X165" s="47">
        <f>IF($W165=1,SUM($W165:$W$1005),"")</f>
        <v/>
      </c>
    </row>
    <row r="166">
      <c r="A166" s="59" t="n"/>
      <c r="B166" s="60" t="n"/>
      <c r="C166" s="60" t="n"/>
      <c r="D166" s="45">
        <f>IF($C166="","",IFERROR(INDEX('Chain Program'!$B$6:$B$120,MATCH($C166,'Chain Program'!$A$6:$A$120,0)),"Unknown ID"))</f>
        <v/>
      </c>
      <c r="E166" s="45">
        <f>IF($C166="","",IFERROR(INDEX('Chain Program'!$D$6:$D$120,MATCH($C166,'Chain Program'!$A$6:$A$120,0)),"Unknown ID"))</f>
        <v/>
      </c>
      <c r="F166" s="60" t="n"/>
      <c r="G166" s="60" t="n"/>
      <c r="H166" s="56">
        <f>IF(OR($C166="",$A166=""),"",IF(COUNTIFS('Promo Calendar'!$A$6:$A$400,$C166,'Promo Calendar'!$D$6:$D$400,IF($G166="","All",$G166),'Promo Calendar'!$I$6:$I$400,"&lt;="&amp;$A166,'Promo Calendar'!$J$6:$J$400,"&gt;="&amp;$A166,'Promo Calendar'!$G$6:$G$400,"&gt;0")&gt;0,_xlfn.MINIFS('Promo Calendar'!$G$6:$G$400,'Promo Calendar'!$A$6:$A$400,$C166,'Promo Calendar'!$D$6:$D$400,IF($G166="","All",$G166),'Promo Calendar'!$I$6:$I$400,"&lt;="&amp;$A166,'Promo Calendar'!$J$6:$J$400,"&gt;="&amp;$A166,'Promo Calendar'!$G$6:$G$400,"&gt;0"),IF(COUNTIFS('Promo Calendar'!$A$6:$A$400,$C166,'Promo Calendar'!$D$6:$D$400,"All",'Promo Calendar'!$I$6:$I$400,"&lt;="&amp;$A166,'Promo Calendar'!$J$6:$J$400,"&gt;="&amp;$A166,'Promo Calendar'!$G$6:$G$400,"&gt;0")&gt;0,_xlfn.MINIFS('Promo Calendar'!$G$6:$G$400,'Promo Calendar'!$A$6:$A$400,$C166,'Promo Calendar'!$D$6:$D$400,"All",'Promo Calendar'!$I$6:$I$400,"&lt;="&amp;$A166,'Promo Calendar'!$J$6:$J$400,"&gt;="&amp;$A166,'Promo Calendar'!$G$6:$G$400,"&gt;0"),IFERROR(IF(INDEX('Chain Program'!$M$6:$M$120,MATCH($C166,'Chain Program'!$A$6:$A$120,0))="","Not set",INDEX('Chain Program'!$M$6:$M$120,MATCH($C166,'Chain Program'!$A$6:$A$120,0))),"Not set"))))</f>
        <v/>
      </c>
      <c r="I166" s="61" t="n"/>
      <c r="J166" s="45">
        <f>IF($I166="","",IF(NOT(ISNUMBER($H166)),"No plan price",IF(ABS($I166-$H166)&lt;0.005,"Match",IF($I166&gt;$H166,"Over plan","Under plan"))))</f>
        <v/>
      </c>
      <c r="K166" s="60" t="n"/>
      <c r="L166" s="60" t="n"/>
      <c r="M166" s="60" t="n"/>
      <c r="N166" s="60" t="n"/>
      <c r="O166" s="60" t="n"/>
      <c r="P166" s="62" t="n"/>
      <c r="Q166" s="62" t="n"/>
      <c r="R166" s="60" t="n"/>
      <c r="S166" s="59" t="n"/>
      <c r="T166" s="60" t="n"/>
      <c r="U166" s="59" t="n"/>
      <c r="V166" s="45">
        <f>IF(OR($A166="",$T166="",$T166="No Issue"),"",IF($T166="Resolved",IF($U166="","",$U166-$A166),TODAY()-$A166))</f>
        <v/>
      </c>
      <c r="W166" s="47">
        <f>IF(AND($C166&lt;&gt;"",$C166='Store History'!$C$4,OR('Store History'!$C$5="",$F166='Store History'!$C$5)),1,0)</f>
        <v/>
      </c>
      <c r="X166" s="47">
        <f>IF($W166=1,SUM($W166:$W$1005),"")</f>
        <v/>
      </c>
    </row>
    <row r="167">
      <c r="A167" s="59" t="n"/>
      <c r="B167" s="60" t="n"/>
      <c r="C167" s="60" t="n"/>
      <c r="D167" s="45">
        <f>IF($C167="","",IFERROR(INDEX('Chain Program'!$B$6:$B$120,MATCH($C167,'Chain Program'!$A$6:$A$120,0)),"Unknown ID"))</f>
        <v/>
      </c>
      <c r="E167" s="45">
        <f>IF($C167="","",IFERROR(INDEX('Chain Program'!$D$6:$D$120,MATCH($C167,'Chain Program'!$A$6:$A$120,0)),"Unknown ID"))</f>
        <v/>
      </c>
      <c r="F167" s="60" t="n"/>
      <c r="G167" s="60" t="n"/>
      <c r="H167" s="56">
        <f>IF(OR($C167="",$A167=""),"",IF(COUNTIFS('Promo Calendar'!$A$6:$A$400,$C167,'Promo Calendar'!$D$6:$D$400,IF($G167="","All",$G167),'Promo Calendar'!$I$6:$I$400,"&lt;="&amp;$A167,'Promo Calendar'!$J$6:$J$400,"&gt;="&amp;$A167,'Promo Calendar'!$G$6:$G$400,"&gt;0")&gt;0,_xlfn.MINIFS('Promo Calendar'!$G$6:$G$400,'Promo Calendar'!$A$6:$A$400,$C167,'Promo Calendar'!$D$6:$D$400,IF($G167="","All",$G167),'Promo Calendar'!$I$6:$I$400,"&lt;="&amp;$A167,'Promo Calendar'!$J$6:$J$400,"&gt;="&amp;$A167,'Promo Calendar'!$G$6:$G$400,"&gt;0"),IF(COUNTIFS('Promo Calendar'!$A$6:$A$400,$C167,'Promo Calendar'!$D$6:$D$400,"All",'Promo Calendar'!$I$6:$I$400,"&lt;="&amp;$A167,'Promo Calendar'!$J$6:$J$400,"&gt;="&amp;$A167,'Promo Calendar'!$G$6:$G$400,"&gt;0")&gt;0,_xlfn.MINIFS('Promo Calendar'!$G$6:$G$400,'Promo Calendar'!$A$6:$A$400,$C167,'Promo Calendar'!$D$6:$D$400,"All",'Promo Calendar'!$I$6:$I$400,"&lt;="&amp;$A167,'Promo Calendar'!$J$6:$J$400,"&gt;="&amp;$A167,'Promo Calendar'!$G$6:$G$400,"&gt;0"),IFERROR(IF(INDEX('Chain Program'!$M$6:$M$120,MATCH($C167,'Chain Program'!$A$6:$A$120,0))="","Not set",INDEX('Chain Program'!$M$6:$M$120,MATCH($C167,'Chain Program'!$A$6:$A$120,0))),"Not set"))))</f>
        <v/>
      </c>
      <c r="I167" s="61" t="n"/>
      <c r="J167" s="45">
        <f>IF($I167="","",IF(NOT(ISNUMBER($H167)),"No plan price",IF(ABS($I167-$H167)&lt;0.005,"Match",IF($I167&gt;$H167,"Over plan","Under plan"))))</f>
        <v/>
      </c>
      <c r="K167" s="60" t="n"/>
      <c r="L167" s="60" t="n"/>
      <c r="M167" s="60" t="n"/>
      <c r="N167" s="60" t="n"/>
      <c r="O167" s="60" t="n"/>
      <c r="P167" s="62" t="n"/>
      <c r="Q167" s="62" t="n"/>
      <c r="R167" s="60" t="n"/>
      <c r="S167" s="59" t="n"/>
      <c r="T167" s="60" t="n"/>
      <c r="U167" s="59" t="n"/>
      <c r="V167" s="45">
        <f>IF(OR($A167="",$T167="",$T167="No Issue"),"",IF($T167="Resolved",IF($U167="","",$U167-$A167),TODAY()-$A167))</f>
        <v/>
      </c>
      <c r="W167" s="47">
        <f>IF(AND($C167&lt;&gt;"",$C167='Store History'!$C$4,OR('Store History'!$C$5="",$F167='Store History'!$C$5)),1,0)</f>
        <v/>
      </c>
      <c r="X167" s="47">
        <f>IF($W167=1,SUM($W167:$W$1005),"")</f>
        <v/>
      </c>
    </row>
    <row r="168">
      <c r="A168" s="59" t="n"/>
      <c r="B168" s="60" t="n"/>
      <c r="C168" s="60" t="n"/>
      <c r="D168" s="45">
        <f>IF($C168="","",IFERROR(INDEX('Chain Program'!$B$6:$B$120,MATCH($C168,'Chain Program'!$A$6:$A$120,0)),"Unknown ID"))</f>
        <v/>
      </c>
      <c r="E168" s="45">
        <f>IF($C168="","",IFERROR(INDEX('Chain Program'!$D$6:$D$120,MATCH($C168,'Chain Program'!$A$6:$A$120,0)),"Unknown ID"))</f>
        <v/>
      </c>
      <c r="F168" s="60" t="n"/>
      <c r="G168" s="60" t="n"/>
      <c r="H168" s="56">
        <f>IF(OR($C168="",$A168=""),"",IF(COUNTIFS('Promo Calendar'!$A$6:$A$400,$C168,'Promo Calendar'!$D$6:$D$400,IF($G168="","All",$G168),'Promo Calendar'!$I$6:$I$400,"&lt;="&amp;$A168,'Promo Calendar'!$J$6:$J$400,"&gt;="&amp;$A168,'Promo Calendar'!$G$6:$G$400,"&gt;0")&gt;0,_xlfn.MINIFS('Promo Calendar'!$G$6:$G$400,'Promo Calendar'!$A$6:$A$400,$C168,'Promo Calendar'!$D$6:$D$400,IF($G168="","All",$G168),'Promo Calendar'!$I$6:$I$400,"&lt;="&amp;$A168,'Promo Calendar'!$J$6:$J$400,"&gt;="&amp;$A168,'Promo Calendar'!$G$6:$G$400,"&gt;0"),IF(COUNTIFS('Promo Calendar'!$A$6:$A$400,$C168,'Promo Calendar'!$D$6:$D$400,"All",'Promo Calendar'!$I$6:$I$400,"&lt;="&amp;$A168,'Promo Calendar'!$J$6:$J$400,"&gt;="&amp;$A168,'Promo Calendar'!$G$6:$G$400,"&gt;0")&gt;0,_xlfn.MINIFS('Promo Calendar'!$G$6:$G$400,'Promo Calendar'!$A$6:$A$400,$C168,'Promo Calendar'!$D$6:$D$400,"All",'Promo Calendar'!$I$6:$I$400,"&lt;="&amp;$A168,'Promo Calendar'!$J$6:$J$400,"&gt;="&amp;$A168,'Promo Calendar'!$G$6:$G$400,"&gt;0"),IFERROR(IF(INDEX('Chain Program'!$M$6:$M$120,MATCH($C168,'Chain Program'!$A$6:$A$120,0))="","Not set",INDEX('Chain Program'!$M$6:$M$120,MATCH($C168,'Chain Program'!$A$6:$A$120,0))),"Not set"))))</f>
        <v/>
      </c>
      <c r="I168" s="61" t="n"/>
      <c r="J168" s="45">
        <f>IF($I168="","",IF(NOT(ISNUMBER($H168)),"No plan price",IF(ABS($I168-$H168)&lt;0.005,"Match",IF($I168&gt;$H168,"Over plan","Under plan"))))</f>
        <v/>
      </c>
      <c r="K168" s="60" t="n"/>
      <c r="L168" s="60" t="n"/>
      <c r="M168" s="60" t="n"/>
      <c r="N168" s="60" t="n"/>
      <c r="O168" s="60" t="n"/>
      <c r="P168" s="62" t="n"/>
      <c r="Q168" s="62" t="n"/>
      <c r="R168" s="60" t="n"/>
      <c r="S168" s="59" t="n"/>
      <c r="T168" s="60" t="n"/>
      <c r="U168" s="59" t="n"/>
      <c r="V168" s="45">
        <f>IF(OR($A168="",$T168="",$T168="No Issue"),"",IF($T168="Resolved",IF($U168="","",$U168-$A168),TODAY()-$A168))</f>
        <v/>
      </c>
      <c r="W168" s="47">
        <f>IF(AND($C168&lt;&gt;"",$C168='Store History'!$C$4,OR('Store History'!$C$5="",$F168='Store History'!$C$5)),1,0)</f>
        <v/>
      </c>
      <c r="X168" s="47">
        <f>IF($W168=1,SUM($W168:$W$1005),"")</f>
        <v/>
      </c>
    </row>
    <row r="169">
      <c r="A169" s="59" t="n"/>
      <c r="B169" s="60" t="n"/>
      <c r="C169" s="60" t="n"/>
      <c r="D169" s="45">
        <f>IF($C169="","",IFERROR(INDEX('Chain Program'!$B$6:$B$120,MATCH($C169,'Chain Program'!$A$6:$A$120,0)),"Unknown ID"))</f>
        <v/>
      </c>
      <c r="E169" s="45">
        <f>IF($C169="","",IFERROR(INDEX('Chain Program'!$D$6:$D$120,MATCH($C169,'Chain Program'!$A$6:$A$120,0)),"Unknown ID"))</f>
        <v/>
      </c>
      <c r="F169" s="60" t="n"/>
      <c r="G169" s="60" t="n"/>
      <c r="H169" s="56">
        <f>IF(OR($C169="",$A169=""),"",IF(COUNTIFS('Promo Calendar'!$A$6:$A$400,$C169,'Promo Calendar'!$D$6:$D$400,IF($G169="","All",$G169),'Promo Calendar'!$I$6:$I$400,"&lt;="&amp;$A169,'Promo Calendar'!$J$6:$J$400,"&gt;="&amp;$A169,'Promo Calendar'!$G$6:$G$400,"&gt;0")&gt;0,_xlfn.MINIFS('Promo Calendar'!$G$6:$G$400,'Promo Calendar'!$A$6:$A$400,$C169,'Promo Calendar'!$D$6:$D$400,IF($G169="","All",$G169),'Promo Calendar'!$I$6:$I$400,"&lt;="&amp;$A169,'Promo Calendar'!$J$6:$J$400,"&gt;="&amp;$A169,'Promo Calendar'!$G$6:$G$400,"&gt;0"),IF(COUNTIFS('Promo Calendar'!$A$6:$A$400,$C169,'Promo Calendar'!$D$6:$D$400,"All",'Promo Calendar'!$I$6:$I$400,"&lt;="&amp;$A169,'Promo Calendar'!$J$6:$J$400,"&gt;="&amp;$A169,'Promo Calendar'!$G$6:$G$400,"&gt;0")&gt;0,_xlfn.MINIFS('Promo Calendar'!$G$6:$G$400,'Promo Calendar'!$A$6:$A$400,$C169,'Promo Calendar'!$D$6:$D$400,"All",'Promo Calendar'!$I$6:$I$400,"&lt;="&amp;$A169,'Promo Calendar'!$J$6:$J$400,"&gt;="&amp;$A169,'Promo Calendar'!$G$6:$G$400,"&gt;0"),IFERROR(IF(INDEX('Chain Program'!$M$6:$M$120,MATCH($C169,'Chain Program'!$A$6:$A$120,0))="","Not set",INDEX('Chain Program'!$M$6:$M$120,MATCH($C169,'Chain Program'!$A$6:$A$120,0))),"Not set"))))</f>
        <v/>
      </c>
      <c r="I169" s="61" t="n"/>
      <c r="J169" s="45">
        <f>IF($I169="","",IF(NOT(ISNUMBER($H169)),"No plan price",IF(ABS($I169-$H169)&lt;0.005,"Match",IF($I169&gt;$H169,"Over plan","Under plan"))))</f>
        <v/>
      </c>
      <c r="K169" s="60" t="n"/>
      <c r="L169" s="60" t="n"/>
      <c r="M169" s="60" t="n"/>
      <c r="N169" s="60" t="n"/>
      <c r="O169" s="60" t="n"/>
      <c r="P169" s="62" t="n"/>
      <c r="Q169" s="62" t="n"/>
      <c r="R169" s="60" t="n"/>
      <c r="S169" s="59" t="n"/>
      <c r="T169" s="60" t="n"/>
      <c r="U169" s="59" t="n"/>
      <c r="V169" s="45">
        <f>IF(OR($A169="",$T169="",$T169="No Issue"),"",IF($T169="Resolved",IF($U169="","",$U169-$A169),TODAY()-$A169))</f>
        <v/>
      </c>
      <c r="W169" s="47">
        <f>IF(AND($C169&lt;&gt;"",$C169='Store History'!$C$4,OR('Store History'!$C$5="",$F169='Store History'!$C$5)),1,0)</f>
        <v/>
      </c>
      <c r="X169" s="47">
        <f>IF($W169=1,SUM($W169:$W$1005),"")</f>
        <v/>
      </c>
    </row>
    <row r="170">
      <c r="A170" s="59" t="n"/>
      <c r="B170" s="60" t="n"/>
      <c r="C170" s="60" t="n"/>
      <c r="D170" s="45">
        <f>IF($C170="","",IFERROR(INDEX('Chain Program'!$B$6:$B$120,MATCH($C170,'Chain Program'!$A$6:$A$120,0)),"Unknown ID"))</f>
        <v/>
      </c>
      <c r="E170" s="45">
        <f>IF($C170="","",IFERROR(INDEX('Chain Program'!$D$6:$D$120,MATCH($C170,'Chain Program'!$A$6:$A$120,0)),"Unknown ID"))</f>
        <v/>
      </c>
      <c r="F170" s="60" t="n"/>
      <c r="G170" s="60" t="n"/>
      <c r="H170" s="56">
        <f>IF(OR($C170="",$A170=""),"",IF(COUNTIFS('Promo Calendar'!$A$6:$A$400,$C170,'Promo Calendar'!$D$6:$D$400,IF($G170="","All",$G170),'Promo Calendar'!$I$6:$I$400,"&lt;="&amp;$A170,'Promo Calendar'!$J$6:$J$400,"&gt;="&amp;$A170,'Promo Calendar'!$G$6:$G$400,"&gt;0")&gt;0,_xlfn.MINIFS('Promo Calendar'!$G$6:$G$400,'Promo Calendar'!$A$6:$A$400,$C170,'Promo Calendar'!$D$6:$D$400,IF($G170="","All",$G170),'Promo Calendar'!$I$6:$I$400,"&lt;="&amp;$A170,'Promo Calendar'!$J$6:$J$400,"&gt;="&amp;$A170,'Promo Calendar'!$G$6:$G$400,"&gt;0"),IF(COUNTIFS('Promo Calendar'!$A$6:$A$400,$C170,'Promo Calendar'!$D$6:$D$400,"All",'Promo Calendar'!$I$6:$I$400,"&lt;="&amp;$A170,'Promo Calendar'!$J$6:$J$400,"&gt;="&amp;$A170,'Promo Calendar'!$G$6:$G$400,"&gt;0")&gt;0,_xlfn.MINIFS('Promo Calendar'!$G$6:$G$400,'Promo Calendar'!$A$6:$A$400,$C170,'Promo Calendar'!$D$6:$D$400,"All",'Promo Calendar'!$I$6:$I$400,"&lt;="&amp;$A170,'Promo Calendar'!$J$6:$J$400,"&gt;="&amp;$A170,'Promo Calendar'!$G$6:$G$400,"&gt;0"),IFERROR(IF(INDEX('Chain Program'!$M$6:$M$120,MATCH($C170,'Chain Program'!$A$6:$A$120,0))="","Not set",INDEX('Chain Program'!$M$6:$M$120,MATCH($C170,'Chain Program'!$A$6:$A$120,0))),"Not set"))))</f>
        <v/>
      </c>
      <c r="I170" s="61" t="n"/>
      <c r="J170" s="45">
        <f>IF($I170="","",IF(NOT(ISNUMBER($H170)),"No plan price",IF(ABS($I170-$H170)&lt;0.005,"Match",IF($I170&gt;$H170,"Over plan","Under plan"))))</f>
        <v/>
      </c>
      <c r="K170" s="60" t="n"/>
      <c r="L170" s="60" t="n"/>
      <c r="M170" s="60" t="n"/>
      <c r="N170" s="60" t="n"/>
      <c r="O170" s="60" t="n"/>
      <c r="P170" s="62" t="n"/>
      <c r="Q170" s="62" t="n"/>
      <c r="R170" s="60" t="n"/>
      <c r="S170" s="59" t="n"/>
      <c r="T170" s="60" t="n"/>
      <c r="U170" s="59" t="n"/>
      <c r="V170" s="45">
        <f>IF(OR($A170="",$T170="",$T170="No Issue"),"",IF($T170="Resolved",IF($U170="","",$U170-$A170),TODAY()-$A170))</f>
        <v/>
      </c>
      <c r="W170" s="47">
        <f>IF(AND($C170&lt;&gt;"",$C170='Store History'!$C$4,OR('Store History'!$C$5="",$F170='Store History'!$C$5)),1,0)</f>
        <v/>
      </c>
      <c r="X170" s="47">
        <f>IF($W170=1,SUM($W170:$W$1005),"")</f>
        <v/>
      </c>
    </row>
    <row r="171">
      <c r="A171" s="59" t="n"/>
      <c r="B171" s="60" t="n"/>
      <c r="C171" s="60" t="n"/>
      <c r="D171" s="45">
        <f>IF($C171="","",IFERROR(INDEX('Chain Program'!$B$6:$B$120,MATCH($C171,'Chain Program'!$A$6:$A$120,0)),"Unknown ID"))</f>
        <v/>
      </c>
      <c r="E171" s="45">
        <f>IF($C171="","",IFERROR(INDEX('Chain Program'!$D$6:$D$120,MATCH($C171,'Chain Program'!$A$6:$A$120,0)),"Unknown ID"))</f>
        <v/>
      </c>
      <c r="F171" s="60" t="n"/>
      <c r="G171" s="60" t="n"/>
      <c r="H171" s="56">
        <f>IF(OR($C171="",$A171=""),"",IF(COUNTIFS('Promo Calendar'!$A$6:$A$400,$C171,'Promo Calendar'!$D$6:$D$400,IF($G171="","All",$G171),'Promo Calendar'!$I$6:$I$400,"&lt;="&amp;$A171,'Promo Calendar'!$J$6:$J$400,"&gt;="&amp;$A171,'Promo Calendar'!$G$6:$G$400,"&gt;0")&gt;0,_xlfn.MINIFS('Promo Calendar'!$G$6:$G$400,'Promo Calendar'!$A$6:$A$400,$C171,'Promo Calendar'!$D$6:$D$400,IF($G171="","All",$G171),'Promo Calendar'!$I$6:$I$400,"&lt;="&amp;$A171,'Promo Calendar'!$J$6:$J$400,"&gt;="&amp;$A171,'Promo Calendar'!$G$6:$G$400,"&gt;0"),IF(COUNTIFS('Promo Calendar'!$A$6:$A$400,$C171,'Promo Calendar'!$D$6:$D$400,"All",'Promo Calendar'!$I$6:$I$400,"&lt;="&amp;$A171,'Promo Calendar'!$J$6:$J$400,"&gt;="&amp;$A171,'Promo Calendar'!$G$6:$G$400,"&gt;0")&gt;0,_xlfn.MINIFS('Promo Calendar'!$G$6:$G$400,'Promo Calendar'!$A$6:$A$400,$C171,'Promo Calendar'!$D$6:$D$400,"All",'Promo Calendar'!$I$6:$I$400,"&lt;="&amp;$A171,'Promo Calendar'!$J$6:$J$400,"&gt;="&amp;$A171,'Promo Calendar'!$G$6:$G$400,"&gt;0"),IFERROR(IF(INDEX('Chain Program'!$M$6:$M$120,MATCH($C171,'Chain Program'!$A$6:$A$120,0))="","Not set",INDEX('Chain Program'!$M$6:$M$120,MATCH($C171,'Chain Program'!$A$6:$A$120,0))),"Not set"))))</f>
        <v/>
      </c>
      <c r="I171" s="61" t="n"/>
      <c r="J171" s="45">
        <f>IF($I171="","",IF(NOT(ISNUMBER($H171)),"No plan price",IF(ABS($I171-$H171)&lt;0.005,"Match",IF($I171&gt;$H171,"Over plan","Under plan"))))</f>
        <v/>
      </c>
      <c r="K171" s="60" t="n"/>
      <c r="L171" s="60" t="n"/>
      <c r="M171" s="60" t="n"/>
      <c r="N171" s="60" t="n"/>
      <c r="O171" s="60" t="n"/>
      <c r="P171" s="62" t="n"/>
      <c r="Q171" s="62" t="n"/>
      <c r="R171" s="60" t="n"/>
      <c r="S171" s="59" t="n"/>
      <c r="T171" s="60" t="n"/>
      <c r="U171" s="59" t="n"/>
      <c r="V171" s="45">
        <f>IF(OR($A171="",$T171="",$T171="No Issue"),"",IF($T171="Resolved",IF($U171="","",$U171-$A171),TODAY()-$A171))</f>
        <v/>
      </c>
      <c r="W171" s="47">
        <f>IF(AND($C171&lt;&gt;"",$C171='Store History'!$C$4,OR('Store History'!$C$5="",$F171='Store History'!$C$5)),1,0)</f>
        <v/>
      </c>
      <c r="X171" s="47">
        <f>IF($W171=1,SUM($W171:$W$1005),"")</f>
        <v/>
      </c>
    </row>
    <row r="172">
      <c r="A172" s="59" t="n"/>
      <c r="B172" s="60" t="n"/>
      <c r="C172" s="60" t="n"/>
      <c r="D172" s="45">
        <f>IF($C172="","",IFERROR(INDEX('Chain Program'!$B$6:$B$120,MATCH($C172,'Chain Program'!$A$6:$A$120,0)),"Unknown ID"))</f>
        <v/>
      </c>
      <c r="E172" s="45">
        <f>IF($C172="","",IFERROR(INDEX('Chain Program'!$D$6:$D$120,MATCH($C172,'Chain Program'!$A$6:$A$120,0)),"Unknown ID"))</f>
        <v/>
      </c>
      <c r="F172" s="60" t="n"/>
      <c r="G172" s="60" t="n"/>
      <c r="H172" s="56">
        <f>IF(OR($C172="",$A172=""),"",IF(COUNTIFS('Promo Calendar'!$A$6:$A$400,$C172,'Promo Calendar'!$D$6:$D$400,IF($G172="","All",$G172),'Promo Calendar'!$I$6:$I$400,"&lt;="&amp;$A172,'Promo Calendar'!$J$6:$J$400,"&gt;="&amp;$A172,'Promo Calendar'!$G$6:$G$400,"&gt;0")&gt;0,_xlfn.MINIFS('Promo Calendar'!$G$6:$G$400,'Promo Calendar'!$A$6:$A$400,$C172,'Promo Calendar'!$D$6:$D$400,IF($G172="","All",$G172),'Promo Calendar'!$I$6:$I$400,"&lt;="&amp;$A172,'Promo Calendar'!$J$6:$J$400,"&gt;="&amp;$A172,'Promo Calendar'!$G$6:$G$400,"&gt;0"),IF(COUNTIFS('Promo Calendar'!$A$6:$A$400,$C172,'Promo Calendar'!$D$6:$D$400,"All",'Promo Calendar'!$I$6:$I$400,"&lt;="&amp;$A172,'Promo Calendar'!$J$6:$J$400,"&gt;="&amp;$A172,'Promo Calendar'!$G$6:$G$400,"&gt;0")&gt;0,_xlfn.MINIFS('Promo Calendar'!$G$6:$G$400,'Promo Calendar'!$A$6:$A$400,$C172,'Promo Calendar'!$D$6:$D$400,"All",'Promo Calendar'!$I$6:$I$400,"&lt;="&amp;$A172,'Promo Calendar'!$J$6:$J$400,"&gt;="&amp;$A172,'Promo Calendar'!$G$6:$G$400,"&gt;0"),IFERROR(IF(INDEX('Chain Program'!$M$6:$M$120,MATCH($C172,'Chain Program'!$A$6:$A$120,0))="","Not set",INDEX('Chain Program'!$M$6:$M$120,MATCH($C172,'Chain Program'!$A$6:$A$120,0))),"Not set"))))</f>
        <v/>
      </c>
      <c r="I172" s="61" t="n"/>
      <c r="J172" s="45">
        <f>IF($I172="","",IF(NOT(ISNUMBER($H172)),"No plan price",IF(ABS($I172-$H172)&lt;0.005,"Match",IF($I172&gt;$H172,"Over plan","Under plan"))))</f>
        <v/>
      </c>
      <c r="K172" s="60" t="n"/>
      <c r="L172" s="60" t="n"/>
      <c r="M172" s="60" t="n"/>
      <c r="N172" s="60" t="n"/>
      <c r="O172" s="60" t="n"/>
      <c r="P172" s="62" t="n"/>
      <c r="Q172" s="62" t="n"/>
      <c r="R172" s="60" t="n"/>
      <c r="S172" s="59" t="n"/>
      <c r="T172" s="60" t="n"/>
      <c r="U172" s="59" t="n"/>
      <c r="V172" s="45">
        <f>IF(OR($A172="",$T172="",$T172="No Issue"),"",IF($T172="Resolved",IF($U172="","",$U172-$A172),TODAY()-$A172))</f>
        <v/>
      </c>
      <c r="W172" s="47">
        <f>IF(AND($C172&lt;&gt;"",$C172='Store History'!$C$4,OR('Store History'!$C$5="",$F172='Store History'!$C$5)),1,0)</f>
        <v/>
      </c>
      <c r="X172" s="47">
        <f>IF($W172=1,SUM($W172:$W$1005),"")</f>
        <v/>
      </c>
    </row>
    <row r="173">
      <c r="A173" s="59" t="n"/>
      <c r="B173" s="60" t="n"/>
      <c r="C173" s="60" t="n"/>
      <c r="D173" s="45">
        <f>IF($C173="","",IFERROR(INDEX('Chain Program'!$B$6:$B$120,MATCH($C173,'Chain Program'!$A$6:$A$120,0)),"Unknown ID"))</f>
        <v/>
      </c>
      <c r="E173" s="45">
        <f>IF($C173="","",IFERROR(INDEX('Chain Program'!$D$6:$D$120,MATCH($C173,'Chain Program'!$A$6:$A$120,0)),"Unknown ID"))</f>
        <v/>
      </c>
      <c r="F173" s="60" t="n"/>
      <c r="G173" s="60" t="n"/>
      <c r="H173" s="56">
        <f>IF(OR($C173="",$A173=""),"",IF(COUNTIFS('Promo Calendar'!$A$6:$A$400,$C173,'Promo Calendar'!$D$6:$D$400,IF($G173="","All",$G173),'Promo Calendar'!$I$6:$I$400,"&lt;="&amp;$A173,'Promo Calendar'!$J$6:$J$400,"&gt;="&amp;$A173,'Promo Calendar'!$G$6:$G$400,"&gt;0")&gt;0,_xlfn.MINIFS('Promo Calendar'!$G$6:$G$400,'Promo Calendar'!$A$6:$A$400,$C173,'Promo Calendar'!$D$6:$D$400,IF($G173="","All",$G173),'Promo Calendar'!$I$6:$I$400,"&lt;="&amp;$A173,'Promo Calendar'!$J$6:$J$400,"&gt;="&amp;$A173,'Promo Calendar'!$G$6:$G$400,"&gt;0"),IF(COUNTIFS('Promo Calendar'!$A$6:$A$400,$C173,'Promo Calendar'!$D$6:$D$400,"All",'Promo Calendar'!$I$6:$I$400,"&lt;="&amp;$A173,'Promo Calendar'!$J$6:$J$400,"&gt;="&amp;$A173,'Promo Calendar'!$G$6:$G$400,"&gt;0")&gt;0,_xlfn.MINIFS('Promo Calendar'!$G$6:$G$400,'Promo Calendar'!$A$6:$A$400,$C173,'Promo Calendar'!$D$6:$D$400,"All",'Promo Calendar'!$I$6:$I$400,"&lt;="&amp;$A173,'Promo Calendar'!$J$6:$J$400,"&gt;="&amp;$A173,'Promo Calendar'!$G$6:$G$400,"&gt;0"),IFERROR(IF(INDEX('Chain Program'!$M$6:$M$120,MATCH($C173,'Chain Program'!$A$6:$A$120,0))="","Not set",INDEX('Chain Program'!$M$6:$M$120,MATCH($C173,'Chain Program'!$A$6:$A$120,0))),"Not set"))))</f>
        <v/>
      </c>
      <c r="I173" s="61" t="n"/>
      <c r="J173" s="45">
        <f>IF($I173="","",IF(NOT(ISNUMBER($H173)),"No plan price",IF(ABS($I173-$H173)&lt;0.005,"Match",IF($I173&gt;$H173,"Over plan","Under plan"))))</f>
        <v/>
      </c>
      <c r="K173" s="60" t="n"/>
      <c r="L173" s="60" t="n"/>
      <c r="M173" s="60" t="n"/>
      <c r="N173" s="60" t="n"/>
      <c r="O173" s="60" t="n"/>
      <c r="P173" s="62" t="n"/>
      <c r="Q173" s="62" t="n"/>
      <c r="R173" s="60" t="n"/>
      <c r="S173" s="59" t="n"/>
      <c r="T173" s="60" t="n"/>
      <c r="U173" s="59" t="n"/>
      <c r="V173" s="45">
        <f>IF(OR($A173="",$T173="",$T173="No Issue"),"",IF($T173="Resolved",IF($U173="","",$U173-$A173),TODAY()-$A173))</f>
        <v/>
      </c>
      <c r="W173" s="47">
        <f>IF(AND($C173&lt;&gt;"",$C173='Store History'!$C$4,OR('Store History'!$C$5="",$F173='Store History'!$C$5)),1,0)</f>
        <v/>
      </c>
      <c r="X173" s="47">
        <f>IF($W173=1,SUM($W173:$W$1005),"")</f>
        <v/>
      </c>
    </row>
    <row r="174">
      <c r="A174" s="59" t="n"/>
      <c r="B174" s="60" t="n"/>
      <c r="C174" s="60" t="n"/>
      <c r="D174" s="45">
        <f>IF($C174="","",IFERROR(INDEX('Chain Program'!$B$6:$B$120,MATCH($C174,'Chain Program'!$A$6:$A$120,0)),"Unknown ID"))</f>
        <v/>
      </c>
      <c r="E174" s="45">
        <f>IF($C174="","",IFERROR(INDEX('Chain Program'!$D$6:$D$120,MATCH($C174,'Chain Program'!$A$6:$A$120,0)),"Unknown ID"))</f>
        <v/>
      </c>
      <c r="F174" s="60" t="n"/>
      <c r="G174" s="60" t="n"/>
      <c r="H174" s="56">
        <f>IF(OR($C174="",$A174=""),"",IF(COUNTIFS('Promo Calendar'!$A$6:$A$400,$C174,'Promo Calendar'!$D$6:$D$400,IF($G174="","All",$G174),'Promo Calendar'!$I$6:$I$400,"&lt;="&amp;$A174,'Promo Calendar'!$J$6:$J$400,"&gt;="&amp;$A174,'Promo Calendar'!$G$6:$G$400,"&gt;0")&gt;0,_xlfn.MINIFS('Promo Calendar'!$G$6:$G$400,'Promo Calendar'!$A$6:$A$400,$C174,'Promo Calendar'!$D$6:$D$400,IF($G174="","All",$G174),'Promo Calendar'!$I$6:$I$400,"&lt;="&amp;$A174,'Promo Calendar'!$J$6:$J$400,"&gt;="&amp;$A174,'Promo Calendar'!$G$6:$G$400,"&gt;0"),IF(COUNTIFS('Promo Calendar'!$A$6:$A$400,$C174,'Promo Calendar'!$D$6:$D$400,"All",'Promo Calendar'!$I$6:$I$400,"&lt;="&amp;$A174,'Promo Calendar'!$J$6:$J$400,"&gt;="&amp;$A174,'Promo Calendar'!$G$6:$G$400,"&gt;0")&gt;0,_xlfn.MINIFS('Promo Calendar'!$G$6:$G$400,'Promo Calendar'!$A$6:$A$400,$C174,'Promo Calendar'!$D$6:$D$400,"All",'Promo Calendar'!$I$6:$I$400,"&lt;="&amp;$A174,'Promo Calendar'!$J$6:$J$400,"&gt;="&amp;$A174,'Promo Calendar'!$G$6:$G$400,"&gt;0"),IFERROR(IF(INDEX('Chain Program'!$M$6:$M$120,MATCH($C174,'Chain Program'!$A$6:$A$120,0))="","Not set",INDEX('Chain Program'!$M$6:$M$120,MATCH($C174,'Chain Program'!$A$6:$A$120,0))),"Not set"))))</f>
        <v/>
      </c>
      <c r="I174" s="61" t="n"/>
      <c r="J174" s="45">
        <f>IF($I174="","",IF(NOT(ISNUMBER($H174)),"No plan price",IF(ABS($I174-$H174)&lt;0.005,"Match",IF($I174&gt;$H174,"Over plan","Under plan"))))</f>
        <v/>
      </c>
      <c r="K174" s="60" t="n"/>
      <c r="L174" s="60" t="n"/>
      <c r="M174" s="60" t="n"/>
      <c r="N174" s="60" t="n"/>
      <c r="O174" s="60" t="n"/>
      <c r="P174" s="62" t="n"/>
      <c r="Q174" s="62" t="n"/>
      <c r="R174" s="60" t="n"/>
      <c r="S174" s="59" t="n"/>
      <c r="T174" s="60" t="n"/>
      <c r="U174" s="59" t="n"/>
      <c r="V174" s="45">
        <f>IF(OR($A174="",$T174="",$T174="No Issue"),"",IF($T174="Resolved",IF($U174="","",$U174-$A174),TODAY()-$A174))</f>
        <v/>
      </c>
      <c r="W174" s="47">
        <f>IF(AND($C174&lt;&gt;"",$C174='Store History'!$C$4,OR('Store History'!$C$5="",$F174='Store History'!$C$5)),1,0)</f>
        <v/>
      </c>
      <c r="X174" s="47">
        <f>IF($W174=1,SUM($W174:$W$1005),"")</f>
        <v/>
      </c>
    </row>
    <row r="175">
      <c r="A175" s="59" t="n"/>
      <c r="B175" s="60" t="n"/>
      <c r="C175" s="60" t="n"/>
      <c r="D175" s="45">
        <f>IF($C175="","",IFERROR(INDEX('Chain Program'!$B$6:$B$120,MATCH($C175,'Chain Program'!$A$6:$A$120,0)),"Unknown ID"))</f>
        <v/>
      </c>
      <c r="E175" s="45">
        <f>IF($C175="","",IFERROR(INDEX('Chain Program'!$D$6:$D$120,MATCH($C175,'Chain Program'!$A$6:$A$120,0)),"Unknown ID"))</f>
        <v/>
      </c>
      <c r="F175" s="60" t="n"/>
      <c r="G175" s="60" t="n"/>
      <c r="H175" s="56">
        <f>IF(OR($C175="",$A175=""),"",IF(COUNTIFS('Promo Calendar'!$A$6:$A$400,$C175,'Promo Calendar'!$D$6:$D$400,IF($G175="","All",$G175),'Promo Calendar'!$I$6:$I$400,"&lt;="&amp;$A175,'Promo Calendar'!$J$6:$J$400,"&gt;="&amp;$A175,'Promo Calendar'!$G$6:$G$400,"&gt;0")&gt;0,_xlfn.MINIFS('Promo Calendar'!$G$6:$G$400,'Promo Calendar'!$A$6:$A$400,$C175,'Promo Calendar'!$D$6:$D$400,IF($G175="","All",$G175),'Promo Calendar'!$I$6:$I$400,"&lt;="&amp;$A175,'Promo Calendar'!$J$6:$J$400,"&gt;="&amp;$A175,'Promo Calendar'!$G$6:$G$400,"&gt;0"),IF(COUNTIFS('Promo Calendar'!$A$6:$A$400,$C175,'Promo Calendar'!$D$6:$D$400,"All",'Promo Calendar'!$I$6:$I$400,"&lt;="&amp;$A175,'Promo Calendar'!$J$6:$J$400,"&gt;="&amp;$A175,'Promo Calendar'!$G$6:$G$400,"&gt;0")&gt;0,_xlfn.MINIFS('Promo Calendar'!$G$6:$G$400,'Promo Calendar'!$A$6:$A$400,$C175,'Promo Calendar'!$D$6:$D$400,"All",'Promo Calendar'!$I$6:$I$400,"&lt;="&amp;$A175,'Promo Calendar'!$J$6:$J$400,"&gt;="&amp;$A175,'Promo Calendar'!$G$6:$G$400,"&gt;0"),IFERROR(IF(INDEX('Chain Program'!$M$6:$M$120,MATCH($C175,'Chain Program'!$A$6:$A$120,0))="","Not set",INDEX('Chain Program'!$M$6:$M$120,MATCH($C175,'Chain Program'!$A$6:$A$120,0))),"Not set"))))</f>
        <v/>
      </c>
      <c r="I175" s="61" t="n"/>
      <c r="J175" s="45">
        <f>IF($I175="","",IF(NOT(ISNUMBER($H175)),"No plan price",IF(ABS($I175-$H175)&lt;0.005,"Match",IF($I175&gt;$H175,"Over plan","Under plan"))))</f>
        <v/>
      </c>
      <c r="K175" s="60" t="n"/>
      <c r="L175" s="60" t="n"/>
      <c r="M175" s="60" t="n"/>
      <c r="N175" s="60" t="n"/>
      <c r="O175" s="60" t="n"/>
      <c r="P175" s="62" t="n"/>
      <c r="Q175" s="62" t="n"/>
      <c r="R175" s="60" t="n"/>
      <c r="S175" s="59" t="n"/>
      <c r="T175" s="60" t="n"/>
      <c r="U175" s="59" t="n"/>
      <c r="V175" s="45">
        <f>IF(OR($A175="",$T175="",$T175="No Issue"),"",IF($T175="Resolved",IF($U175="","",$U175-$A175),TODAY()-$A175))</f>
        <v/>
      </c>
      <c r="W175" s="47">
        <f>IF(AND($C175&lt;&gt;"",$C175='Store History'!$C$4,OR('Store History'!$C$5="",$F175='Store History'!$C$5)),1,0)</f>
        <v/>
      </c>
      <c r="X175" s="47">
        <f>IF($W175=1,SUM($W175:$W$1005),"")</f>
        <v/>
      </c>
    </row>
    <row r="176">
      <c r="A176" s="59" t="n"/>
      <c r="B176" s="60" t="n"/>
      <c r="C176" s="60" t="n"/>
      <c r="D176" s="45">
        <f>IF($C176="","",IFERROR(INDEX('Chain Program'!$B$6:$B$120,MATCH($C176,'Chain Program'!$A$6:$A$120,0)),"Unknown ID"))</f>
        <v/>
      </c>
      <c r="E176" s="45">
        <f>IF($C176="","",IFERROR(INDEX('Chain Program'!$D$6:$D$120,MATCH($C176,'Chain Program'!$A$6:$A$120,0)),"Unknown ID"))</f>
        <v/>
      </c>
      <c r="F176" s="60" t="n"/>
      <c r="G176" s="60" t="n"/>
      <c r="H176" s="56">
        <f>IF(OR($C176="",$A176=""),"",IF(COUNTIFS('Promo Calendar'!$A$6:$A$400,$C176,'Promo Calendar'!$D$6:$D$400,IF($G176="","All",$G176),'Promo Calendar'!$I$6:$I$400,"&lt;="&amp;$A176,'Promo Calendar'!$J$6:$J$400,"&gt;="&amp;$A176,'Promo Calendar'!$G$6:$G$400,"&gt;0")&gt;0,_xlfn.MINIFS('Promo Calendar'!$G$6:$G$400,'Promo Calendar'!$A$6:$A$400,$C176,'Promo Calendar'!$D$6:$D$400,IF($G176="","All",$G176),'Promo Calendar'!$I$6:$I$400,"&lt;="&amp;$A176,'Promo Calendar'!$J$6:$J$400,"&gt;="&amp;$A176,'Promo Calendar'!$G$6:$G$400,"&gt;0"),IF(COUNTIFS('Promo Calendar'!$A$6:$A$400,$C176,'Promo Calendar'!$D$6:$D$400,"All",'Promo Calendar'!$I$6:$I$400,"&lt;="&amp;$A176,'Promo Calendar'!$J$6:$J$400,"&gt;="&amp;$A176,'Promo Calendar'!$G$6:$G$400,"&gt;0")&gt;0,_xlfn.MINIFS('Promo Calendar'!$G$6:$G$400,'Promo Calendar'!$A$6:$A$400,$C176,'Promo Calendar'!$D$6:$D$400,"All",'Promo Calendar'!$I$6:$I$400,"&lt;="&amp;$A176,'Promo Calendar'!$J$6:$J$400,"&gt;="&amp;$A176,'Promo Calendar'!$G$6:$G$400,"&gt;0"),IFERROR(IF(INDEX('Chain Program'!$M$6:$M$120,MATCH($C176,'Chain Program'!$A$6:$A$120,0))="","Not set",INDEX('Chain Program'!$M$6:$M$120,MATCH($C176,'Chain Program'!$A$6:$A$120,0))),"Not set"))))</f>
        <v/>
      </c>
      <c r="I176" s="61" t="n"/>
      <c r="J176" s="45">
        <f>IF($I176="","",IF(NOT(ISNUMBER($H176)),"No plan price",IF(ABS($I176-$H176)&lt;0.005,"Match",IF($I176&gt;$H176,"Over plan","Under plan"))))</f>
        <v/>
      </c>
      <c r="K176" s="60" t="n"/>
      <c r="L176" s="60" t="n"/>
      <c r="M176" s="60" t="n"/>
      <c r="N176" s="60" t="n"/>
      <c r="O176" s="60" t="n"/>
      <c r="P176" s="62" t="n"/>
      <c r="Q176" s="62" t="n"/>
      <c r="R176" s="60" t="n"/>
      <c r="S176" s="59" t="n"/>
      <c r="T176" s="60" t="n"/>
      <c r="U176" s="59" t="n"/>
      <c r="V176" s="45">
        <f>IF(OR($A176="",$T176="",$T176="No Issue"),"",IF($T176="Resolved",IF($U176="","",$U176-$A176),TODAY()-$A176))</f>
        <v/>
      </c>
      <c r="W176" s="47">
        <f>IF(AND($C176&lt;&gt;"",$C176='Store History'!$C$4,OR('Store History'!$C$5="",$F176='Store History'!$C$5)),1,0)</f>
        <v/>
      </c>
      <c r="X176" s="47">
        <f>IF($W176=1,SUM($W176:$W$1005),"")</f>
        <v/>
      </c>
    </row>
    <row r="177">
      <c r="A177" s="59" t="n"/>
      <c r="B177" s="60" t="n"/>
      <c r="C177" s="60" t="n"/>
      <c r="D177" s="45">
        <f>IF($C177="","",IFERROR(INDEX('Chain Program'!$B$6:$B$120,MATCH($C177,'Chain Program'!$A$6:$A$120,0)),"Unknown ID"))</f>
        <v/>
      </c>
      <c r="E177" s="45">
        <f>IF($C177="","",IFERROR(INDEX('Chain Program'!$D$6:$D$120,MATCH($C177,'Chain Program'!$A$6:$A$120,0)),"Unknown ID"))</f>
        <v/>
      </c>
      <c r="F177" s="60" t="n"/>
      <c r="G177" s="60" t="n"/>
      <c r="H177" s="56">
        <f>IF(OR($C177="",$A177=""),"",IF(COUNTIFS('Promo Calendar'!$A$6:$A$400,$C177,'Promo Calendar'!$D$6:$D$400,IF($G177="","All",$G177),'Promo Calendar'!$I$6:$I$400,"&lt;="&amp;$A177,'Promo Calendar'!$J$6:$J$400,"&gt;="&amp;$A177,'Promo Calendar'!$G$6:$G$400,"&gt;0")&gt;0,_xlfn.MINIFS('Promo Calendar'!$G$6:$G$400,'Promo Calendar'!$A$6:$A$400,$C177,'Promo Calendar'!$D$6:$D$400,IF($G177="","All",$G177),'Promo Calendar'!$I$6:$I$400,"&lt;="&amp;$A177,'Promo Calendar'!$J$6:$J$400,"&gt;="&amp;$A177,'Promo Calendar'!$G$6:$G$400,"&gt;0"),IF(COUNTIFS('Promo Calendar'!$A$6:$A$400,$C177,'Promo Calendar'!$D$6:$D$400,"All",'Promo Calendar'!$I$6:$I$400,"&lt;="&amp;$A177,'Promo Calendar'!$J$6:$J$400,"&gt;="&amp;$A177,'Promo Calendar'!$G$6:$G$400,"&gt;0")&gt;0,_xlfn.MINIFS('Promo Calendar'!$G$6:$G$400,'Promo Calendar'!$A$6:$A$400,$C177,'Promo Calendar'!$D$6:$D$400,"All",'Promo Calendar'!$I$6:$I$400,"&lt;="&amp;$A177,'Promo Calendar'!$J$6:$J$400,"&gt;="&amp;$A177,'Promo Calendar'!$G$6:$G$400,"&gt;0"),IFERROR(IF(INDEX('Chain Program'!$M$6:$M$120,MATCH($C177,'Chain Program'!$A$6:$A$120,0))="","Not set",INDEX('Chain Program'!$M$6:$M$120,MATCH($C177,'Chain Program'!$A$6:$A$120,0))),"Not set"))))</f>
        <v/>
      </c>
      <c r="I177" s="61" t="n"/>
      <c r="J177" s="45">
        <f>IF($I177="","",IF(NOT(ISNUMBER($H177)),"No plan price",IF(ABS($I177-$H177)&lt;0.005,"Match",IF($I177&gt;$H177,"Over plan","Under plan"))))</f>
        <v/>
      </c>
      <c r="K177" s="60" t="n"/>
      <c r="L177" s="60" t="n"/>
      <c r="M177" s="60" t="n"/>
      <c r="N177" s="60" t="n"/>
      <c r="O177" s="60" t="n"/>
      <c r="P177" s="62" t="n"/>
      <c r="Q177" s="62" t="n"/>
      <c r="R177" s="60" t="n"/>
      <c r="S177" s="59" t="n"/>
      <c r="T177" s="60" t="n"/>
      <c r="U177" s="59" t="n"/>
      <c r="V177" s="45">
        <f>IF(OR($A177="",$T177="",$T177="No Issue"),"",IF($T177="Resolved",IF($U177="","",$U177-$A177),TODAY()-$A177))</f>
        <v/>
      </c>
      <c r="W177" s="47">
        <f>IF(AND($C177&lt;&gt;"",$C177='Store History'!$C$4,OR('Store History'!$C$5="",$F177='Store History'!$C$5)),1,0)</f>
        <v/>
      </c>
      <c r="X177" s="47">
        <f>IF($W177=1,SUM($W177:$W$1005),"")</f>
        <v/>
      </c>
    </row>
    <row r="178">
      <c r="A178" s="59" t="n"/>
      <c r="B178" s="60" t="n"/>
      <c r="C178" s="60" t="n"/>
      <c r="D178" s="45">
        <f>IF($C178="","",IFERROR(INDEX('Chain Program'!$B$6:$B$120,MATCH($C178,'Chain Program'!$A$6:$A$120,0)),"Unknown ID"))</f>
        <v/>
      </c>
      <c r="E178" s="45">
        <f>IF($C178="","",IFERROR(INDEX('Chain Program'!$D$6:$D$120,MATCH($C178,'Chain Program'!$A$6:$A$120,0)),"Unknown ID"))</f>
        <v/>
      </c>
      <c r="F178" s="60" t="n"/>
      <c r="G178" s="60" t="n"/>
      <c r="H178" s="56">
        <f>IF(OR($C178="",$A178=""),"",IF(COUNTIFS('Promo Calendar'!$A$6:$A$400,$C178,'Promo Calendar'!$D$6:$D$400,IF($G178="","All",$G178),'Promo Calendar'!$I$6:$I$400,"&lt;="&amp;$A178,'Promo Calendar'!$J$6:$J$400,"&gt;="&amp;$A178,'Promo Calendar'!$G$6:$G$400,"&gt;0")&gt;0,_xlfn.MINIFS('Promo Calendar'!$G$6:$G$400,'Promo Calendar'!$A$6:$A$400,$C178,'Promo Calendar'!$D$6:$D$400,IF($G178="","All",$G178),'Promo Calendar'!$I$6:$I$400,"&lt;="&amp;$A178,'Promo Calendar'!$J$6:$J$400,"&gt;="&amp;$A178,'Promo Calendar'!$G$6:$G$400,"&gt;0"),IF(COUNTIFS('Promo Calendar'!$A$6:$A$400,$C178,'Promo Calendar'!$D$6:$D$400,"All",'Promo Calendar'!$I$6:$I$400,"&lt;="&amp;$A178,'Promo Calendar'!$J$6:$J$400,"&gt;="&amp;$A178,'Promo Calendar'!$G$6:$G$400,"&gt;0")&gt;0,_xlfn.MINIFS('Promo Calendar'!$G$6:$G$400,'Promo Calendar'!$A$6:$A$400,$C178,'Promo Calendar'!$D$6:$D$400,"All",'Promo Calendar'!$I$6:$I$400,"&lt;="&amp;$A178,'Promo Calendar'!$J$6:$J$400,"&gt;="&amp;$A178,'Promo Calendar'!$G$6:$G$400,"&gt;0"),IFERROR(IF(INDEX('Chain Program'!$M$6:$M$120,MATCH($C178,'Chain Program'!$A$6:$A$120,0))="","Not set",INDEX('Chain Program'!$M$6:$M$120,MATCH($C178,'Chain Program'!$A$6:$A$120,0))),"Not set"))))</f>
        <v/>
      </c>
      <c r="I178" s="61" t="n"/>
      <c r="J178" s="45">
        <f>IF($I178="","",IF(NOT(ISNUMBER($H178)),"No plan price",IF(ABS($I178-$H178)&lt;0.005,"Match",IF($I178&gt;$H178,"Over plan","Under plan"))))</f>
        <v/>
      </c>
      <c r="K178" s="60" t="n"/>
      <c r="L178" s="60" t="n"/>
      <c r="M178" s="60" t="n"/>
      <c r="N178" s="60" t="n"/>
      <c r="O178" s="60" t="n"/>
      <c r="P178" s="62" t="n"/>
      <c r="Q178" s="62" t="n"/>
      <c r="R178" s="60" t="n"/>
      <c r="S178" s="59" t="n"/>
      <c r="T178" s="60" t="n"/>
      <c r="U178" s="59" t="n"/>
      <c r="V178" s="45">
        <f>IF(OR($A178="",$T178="",$T178="No Issue"),"",IF($T178="Resolved",IF($U178="","",$U178-$A178),TODAY()-$A178))</f>
        <v/>
      </c>
      <c r="W178" s="47">
        <f>IF(AND($C178&lt;&gt;"",$C178='Store History'!$C$4,OR('Store History'!$C$5="",$F178='Store History'!$C$5)),1,0)</f>
        <v/>
      </c>
      <c r="X178" s="47">
        <f>IF($W178=1,SUM($W178:$W$1005),"")</f>
        <v/>
      </c>
    </row>
    <row r="179">
      <c r="A179" s="59" t="n"/>
      <c r="B179" s="60" t="n"/>
      <c r="C179" s="60" t="n"/>
      <c r="D179" s="45">
        <f>IF($C179="","",IFERROR(INDEX('Chain Program'!$B$6:$B$120,MATCH($C179,'Chain Program'!$A$6:$A$120,0)),"Unknown ID"))</f>
        <v/>
      </c>
      <c r="E179" s="45">
        <f>IF($C179="","",IFERROR(INDEX('Chain Program'!$D$6:$D$120,MATCH($C179,'Chain Program'!$A$6:$A$120,0)),"Unknown ID"))</f>
        <v/>
      </c>
      <c r="F179" s="60" t="n"/>
      <c r="G179" s="60" t="n"/>
      <c r="H179" s="56">
        <f>IF(OR($C179="",$A179=""),"",IF(COUNTIFS('Promo Calendar'!$A$6:$A$400,$C179,'Promo Calendar'!$D$6:$D$400,IF($G179="","All",$G179),'Promo Calendar'!$I$6:$I$400,"&lt;="&amp;$A179,'Promo Calendar'!$J$6:$J$400,"&gt;="&amp;$A179,'Promo Calendar'!$G$6:$G$400,"&gt;0")&gt;0,_xlfn.MINIFS('Promo Calendar'!$G$6:$G$400,'Promo Calendar'!$A$6:$A$400,$C179,'Promo Calendar'!$D$6:$D$400,IF($G179="","All",$G179),'Promo Calendar'!$I$6:$I$400,"&lt;="&amp;$A179,'Promo Calendar'!$J$6:$J$400,"&gt;="&amp;$A179,'Promo Calendar'!$G$6:$G$400,"&gt;0"),IF(COUNTIFS('Promo Calendar'!$A$6:$A$400,$C179,'Promo Calendar'!$D$6:$D$400,"All",'Promo Calendar'!$I$6:$I$400,"&lt;="&amp;$A179,'Promo Calendar'!$J$6:$J$400,"&gt;="&amp;$A179,'Promo Calendar'!$G$6:$G$400,"&gt;0")&gt;0,_xlfn.MINIFS('Promo Calendar'!$G$6:$G$400,'Promo Calendar'!$A$6:$A$400,$C179,'Promo Calendar'!$D$6:$D$400,"All",'Promo Calendar'!$I$6:$I$400,"&lt;="&amp;$A179,'Promo Calendar'!$J$6:$J$400,"&gt;="&amp;$A179,'Promo Calendar'!$G$6:$G$400,"&gt;0"),IFERROR(IF(INDEX('Chain Program'!$M$6:$M$120,MATCH($C179,'Chain Program'!$A$6:$A$120,0))="","Not set",INDEX('Chain Program'!$M$6:$M$120,MATCH($C179,'Chain Program'!$A$6:$A$120,0))),"Not set"))))</f>
        <v/>
      </c>
      <c r="I179" s="61" t="n"/>
      <c r="J179" s="45">
        <f>IF($I179="","",IF(NOT(ISNUMBER($H179)),"No plan price",IF(ABS($I179-$H179)&lt;0.005,"Match",IF($I179&gt;$H179,"Over plan","Under plan"))))</f>
        <v/>
      </c>
      <c r="K179" s="60" t="n"/>
      <c r="L179" s="60" t="n"/>
      <c r="M179" s="60" t="n"/>
      <c r="N179" s="60" t="n"/>
      <c r="O179" s="60" t="n"/>
      <c r="P179" s="62" t="n"/>
      <c r="Q179" s="62" t="n"/>
      <c r="R179" s="60" t="n"/>
      <c r="S179" s="59" t="n"/>
      <c r="T179" s="60" t="n"/>
      <c r="U179" s="59" t="n"/>
      <c r="V179" s="45">
        <f>IF(OR($A179="",$T179="",$T179="No Issue"),"",IF($T179="Resolved",IF($U179="","",$U179-$A179),TODAY()-$A179))</f>
        <v/>
      </c>
      <c r="W179" s="47">
        <f>IF(AND($C179&lt;&gt;"",$C179='Store History'!$C$4,OR('Store History'!$C$5="",$F179='Store History'!$C$5)),1,0)</f>
        <v/>
      </c>
      <c r="X179" s="47">
        <f>IF($W179=1,SUM($W179:$W$1005),"")</f>
        <v/>
      </c>
    </row>
    <row r="180">
      <c r="A180" s="59" t="n"/>
      <c r="B180" s="60" t="n"/>
      <c r="C180" s="60" t="n"/>
      <c r="D180" s="45">
        <f>IF($C180="","",IFERROR(INDEX('Chain Program'!$B$6:$B$120,MATCH($C180,'Chain Program'!$A$6:$A$120,0)),"Unknown ID"))</f>
        <v/>
      </c>
      <c r="E180" s="45">
        <f>IF($C180="","",IFERROR(INDEX('Chain Program'!$D$6:$D$120,MATCH($C180,'Chain Program'!$A$6:$A$120,0)),"Unknown ID"))</f>
        <v/>
      </c>
      <c r="F180" s="60" t="n"/>
      <c r="G180" s="60" t="n"/>
      <c r="H180" s="56">
        <f>IF(OR($C180="",$A180=""),"",IF(COUNTIFS('Promo Calendar'!$A$6:$A$400,$C180,'Promo Calendar'!$D$6:$D$400,IF($G180="","All",$G180),'Promo Calendar'!$I$6:$I$400,"&lt;="&amp;$A180,'Promo Calendar'!$J$6:$J$400,"&gt;="&amp;$A180,'Promo Calendar'!$G$6:$G$400,"&gt;0")&gt;0,_xlfn.MINIFS('Promo Calendar'!$G$6:$G$400,'Promo Calendar'!$A$6:$A$400,$C180,'Promo Calendar'!$D$6:$D$400,IF($G180="","All",$G180),'Promo Calendar'!$I$6:$I$400,"&lt;="&amp;$A180,'Promo Calendar'!$J$6:$J$400,"&gt;="&amp;$A180,'Promo Calendar'!$G$6:$G$400,"&gt;0"),IF(COUNTIFS('Promo Calendar'!$A$6:$A$400,$C180,'Promo Calendar'!$D$6:$D$400,"All",'Promo Calendar'!$I$6:$I$400,"&lt;="&amp;$A180,'Promo Calendar'!$J$6:$J$400,"&gt;="&amp;$A180,'Promo Calendar'!$G$6:$G$400,"&gt;0")&gt;0,_xlfn.MINIFS('Promo Calendar'!$G$6:$G$400,'Promo Calendar'!$A$6:$A$400,$C180,'Promo Calendar'!$D$6:$D$400,"All",'Promo Calendar'!$I$6:$I$400,"&lt;="&amp;$A180,'Promo Calendar'!$J$6:$J$400,"&gt;="&amp;$A180,'Promo Calendar'!$G$6:$G$400,"&gt;0"),IFERROR(IF(INDEX('Chain Program'!$M$6:$M$120,MATCH($C180,'Chain Program'!$A$6:$A$120,0))="","Not set",INDEX('Chain Program'!$M$6:$M$120,MATCH($C180,'Chain Program'!$A$6:$A$120,0))),"Not set"))))</f>
        <v/>
      </c>
      <c r="I180" s="61" t="n"/>
      <c r="J180" s="45">
        <f>IF($I180="","",IF(NOT(ISNUMBER($H180)),"No plan price",IF(ABS($I180-$H180)&lt;0.005,"Match",IF($I180&gt;$H180,"Over plan","Under plan"))))</f>
        <v/>
      </c>
      <c r="K180" s="60" t="n"/>
      <c r="L180" s="60" t="n"/>
      <c r="M180" s="60" t="n"/>
      <c r="N180" s="60" t="n"/>
      <c r="O180" s="60" t="n"/>
      <c r="P180" s="62" t="n"/>
      <c r="Q180" s="62" t="n"/>
      <c r="R180" s="60" t="n"/>
      <c r="S180" s="59" t="n"/>
      <c r="T180" s="60" t="n"/>
      <c r="U180" s="59" t="n"/>
      <c r="V180" s="45">
        <f>IF(OR($A180="",$T180="",$T180="No Issue"),"",IF($T180="Resolved",IF($U180="","",$U180-$A180),TODAY()-$A180))</f>
        <v/>
      </c>
      <c r="W180" s="47">
        <f>IF(AND($C180&lt;&gt;"",$C180='Store History'!$C$4,OR('Store History'!$C$5="",$F180='Store History'!$C$5)),1,0)</f>
        <v/>
      </c>
      <c r="X180" s="47">
        <f>IF($W180=1,SUM($W180:$W$1005),"")</f>
        <v/>
      </c>
    </row>
    <row r="181">
      <c r="A181" s="59" t="n"/>
      <c r="B181" s="60" t="n"/>
      <c r="C181" s="60" t="n"/>
      <c r="D181" s="45">
        <f>IF($C181="","",IFERROR(INDEX('Chain Program'!$B$6:$B$120,MATCH($C181,'Chain Program'!$A$6:$A$120,0)),"Unknown ID"))</f>
        <v/>
      </c>
      <c r="E181" s="45">
        <f>IF($C181="","",IFERROR(INDEX('Chain Program'!$D$6:$D$120,MATCH($C181,'Chain Program'!$A$6:$A$120,0)),"Unknown ID"))</f>
        <v/>
      </c>
      <c r="F181" s="60" t="n"/>
      <c r="G181" s="60" t="n"/>
      <c r="H181" s="56">
        <f>IF(OR($C181="",$A181=""),"",IF(COUNTIFS('Promo Calendar'!$A$6:$A$400,$C181,'Promo Calendar'!$D$6:$D$400,IF($G181="","All",$G181),'Promo Calendar'!$I$6:$I$400,"&lt;="&amp;$A181,'Promo Calendar'!$J$6:$J$400,"&gt;="&amp;$A181,'Promo Calendar'!$G$6:$G$400,"&gt;0")&gt;0,_xlfn.MINIFS('Promo Calendar'!$G$6:$G$400,'Promo Calendar'!$A$6:$A$400,$C181,'Promo Calendar'!$D$6:$D$400,IF($G181="","All",$G181),'Promo Calendar'!$I$6:$I$400,"&lt;="&amp;$A181,'Promo Calendar'!$J$6:$J$400,"&gt;="&amp;$A181,'Promo Calendar'!$G$6:$G$400,"&gt;0"),IF(COUNTIFS('Promo Calendar'!$A$6:$A$400,$C181,'Promo Calendar'!$D$6:$D$400,"All",'Promo Calendar'!$I$6:$I$400,"&lt;="&amp;$A181,'Promo Calendar'!$J$6:$J$400,"&gt;="&amp;$A181,'Promo Calendar'!$G$6:$G$400,"&gt;0")&gt;0,_xlfn.MINIFS('Promo Calendar'!$G$6:$G$400,'Promo Calendar'!$A$6:$A$400,$C181,'Promo Calendar'!$D$6:$D$400,"All",'Promo Calendar'!$I$6:$I$400,"&lt;="&amp;$A181,'Promo Calendar'!$J$6:$J$400,"&gt;="&amp;$A181,'Promo Calendar'!$G$6:$G$400,"&gt;0"),IFERROR(IF(INDEX('Chain Program'!$M$6:$M$120,MATCH($C181,'Chain Program'!$A$6:$A$120,0))="","Not set",INDEX('Chain Program'!$M$6:$M$120,MATCH($C181,'Chain Program'!$A$6:$A$120,0))),"Not set"))))</f>
        <v/>
      </c>
      <c r="I181" s="61" t="n"/>
      <c r="J181" s="45">
        <f>IF($I181="","",IF(NOT(ISNUMBER($H181)),"No plan price",IF(ABS($I181-$H181)&lt;0.005,"Match",IF($I181&gt;$H181,"Over plan","Under plan"))))</f>
        <v/>
      </c>
      <c r="K181" s="60" t="n"/>
      <c r="L181" s="60" t="n"/>
      <c r="M181" s="60" t="n"/>
      <c r="N181" s="60" t="n"/>
      <c r="O181" s="60" t="n"/>
      <c r="P181" s="62" t="n"/>
      <c r="Q181" s="62" t="n"/>
      <c r="R181" s="60" t="n"/>
      <c r="S181" s="59" t="n"/>
      <c r="T181" s="60" t="n"/>
      <c r="U181" s="59" t="n"/>
      <c r="V181" s="45">
        <f>IF(OR($A181="",$T181="",$T181="No Issue"),"",IF($T181="Resolved",IF($U181="","",$U181-$A181),TODAY()-$A181))</f>
        <v/>
      </c>
      <c r="W181" s="47">
        <f>IF(AND($C181&lt;&gt;"",$C181='Store History'!$C$4,OR('Store History'!$C$5="",$F181='Store History'!$C$5)),1,0)</f>
        <v/>
      </c>
      <c r="X181" s="47">
        <f>IF($W181=1,SUM($W181:$W$1005),"")</f>
        <v/>
      </c>
    </row>
    <row r="182">
      <c r="A182" s="59" t="n"/>
      <c r="B182" s="60" t="n"/>
      <c r="C182" s="60" t="n"/>
      <c r="D182" s="45">
        <f>IF($C182="","",IFERROR(INDEX('Chain Program'!$B$6:$B$120,MATCH($C182,'Chain Program'!$A$6:$A$120,0)),"Unknown ID"))</f>
        <v/>
      </c>
      <c r="E182" s="45">
        <f>IF($C182="","",IFERROR(INDEX('Chain Program'!$D$6:$D$120,MATCH($C182,'Chain Program'!$A$6:$A$120,0)),"Unknown ID"))</f>
        <v/>
      </c>
      <c r="F182" s="60" t="n"/>
      <c r="G182" s="60" t="n"/>
      <c r="H182" s="56">
        <f>IF(OR($C182="",$A182=""),"",IF(COUNTIFS('Promo Calendar'!$A$6:$A$400,$C182,'Promo Calendar'!$D$6:$D$400,IF($G182="","All",$G182),'Promo Calendar'!$I$6:$I$400,"&lt;="&amp;$A182,'Promo Calendar'!$J$6:$J$400,"&gt;="&amp;$A182,'Promo Calendar'!$G$6:$G$400,"&gt;0")&gt;0,_xlfn.MINIFS('Promo Calendar'!$G$6:$G$400,'Promo Calendar'!$A$6:$A$400,$C182,'Promo Calendar'!$D$6:$D$400,IF($G182="","All",$G182),'Promo Calendar'!$I$6:$I$400,"&lt;="&amp;$A182,'Promo Calendar'!$J$6:$J$400,"&gt;="&amp;$A182,'Promo Calendar'!$G$6:$G$400,"&gt;0"),IF(COUNTIFS('Promo Calendar'!$A$6:$A$400,$C182,'Promo Calendar'!$D$6:$D$400,"All",'Promo Calendar'!$I$6:$I$400,"&lt;="&amp;$A182,'Promo Calendar'!$J$6:$J$400,"&gt;="&amp;$A182,'Promo Calendar'!$G$6:$G$400,"&gt;0")&gt;0,_xlfn.MINIFS('Promo Calendar'!$G$6:$G$400,'Promo Calendar'!$A$6:$A$400,$C182,'Promo Calendar'!$D$6:$D$400,"All",'Promo Calendar'!$I$6:$I$400,"&lt;="&amp;$A182,'Promo Calendar'!$J$6:$J$400,"&gt;="&amp;$A182,'Promo Calendar'!$G$6:$G$400,"&gt;0"),IFERROR(IF(INDEX('Chain Program'!$M$6:$M$120,MATCH($C182,'Chain Program'!$A$6:$A$120,0))="","Not set",INDEX('Chain Program'!$M$6:$M$120,MATCH($C182,'Chain Program'!$A$6:$A$120,0))),"Not set"))))</f>
        <v/>
      </c>
      <c r="I182" s="61" t="n"/>
      <c r="J182" s="45">
        <f>IF($I182="","",IF(NOT(ISNUMBER($H182)),"No plan price",IF(ABS($I182-$H182)&lt;0.005,"Match",IF($I182&gt;$H182,"Over plan","Under plan"))))</f>
        <v/>
      </c>
      <c r="K182" s="60" t="n"/>
      <c r="L182" s="60" t="n"/>
      <c r="M182" s="60" t="n"/>
      <c r="N182" s="60" t="n"/>
      <c r="O182" s="60" t="n"/>
      <c r="P182" s="62" t="n"/>
      <c r="Q182" s="62" t="n"/>
      <c r="R182" s="60" t="n"/>
      <c r="S182" s="59" t="n"/>
      <c r="T182" s="60" t="n"/>
      <c r="U182" s="59" t="n"/>
      <c r="V182" s="45">
        <f>IF(OR($A182="",$T182="",$T182="No Issue"),"",IF($T182="Resolved",IF($U182="","",$U182-$A182),TODAY()-$A182))</f>
        <v/>
      </c>
      <c r="W182" s="47">
        <f>IF(AND($C182&lt;&gt;"",$C182='Store History'!$C$4,OR('Store History'!$C$5="",$F182='Store History'!$C$5)),1,0)</f>
        <v/>
      </c>
      <c r="X182" s="47">
        <f>IF($W182=1,SUM($W182:$W$1005),"")</f>
        <v/>
      </c>
    </row>
    <row r="183">
      <c r="A183" s="59" t="n"/>
      <c r="B183" s="60" t="n"/>
      <c r="C183" s="60" t="n"/>
      <c r="D183" s="45">
        <f>IF($C183="","",IFERROR(INDEX('Chain Program'!$B$6:$B$120,MATCH($C183,'Chain Program'!$A$6:$A$120,0)),"Unknown ID"))</f>
        <v/>
      </c>
      <c r="E183" s="45">
        <f>IF($C183="","",IFERROR(INDEX('Chain Program'!$D$6:$D$120,MATCH($C183,'Chain Program'!$A$6:$A$120,0)),"Unknown ID"))</f>
        <v/>
      </c>
      <c r="F183" s="60" t="n"/>
      <c r="G183" s="60" t="n"/>
      <c r="H183" s="56">
        <f>IF(OR($C183="",$A183=""),"",IF(COUNTIFS('Promo Calendar'!$A$6:$A$400,$C183,'Promo Calendar'!$D$6:$D$400,IF($G183="","All",$G183),'Promo Calendar'!$I$6:$I$400,"&lt;="&amp;$A183,'Promo Calendar'!$J$6:$J$400,"&gt;="&amp;$A183,'Promo Calendar'!$G$6:$G$400,"&gt;0")&gt;0,_xlfn.MINIFS('Promo Calendar'!$G$6:$G$400,'Promo Calendar'!$A$6:$A$400,$C183,'Promo Calendar'!$D$6:$D$400,IF($G183="","All",$G183),'Promo Calendar'!$I$6:$I$400,"&lt;="&amp;$A183,'Promo Calendar'!$J$6:$J$400,"&gt;="&amp;$A183,'Promo Calendar'!$G$6:$G$400,"&gt;0"),IF(COUNTIFS('Promo Calendar'!$A$6:$A$400,$C183,'Promo Calendar'!$D$6:$D$400,"All",'Promo Calendar'!$I$6:$I$400,"&lt;="&amp;$A183,'Promo Calendar'!$J$6:$J$400,"&gt;="&amp;$A183,'Promo Calendar'!$G$6:$G$400,"&gt;0")&gt;0,_xlfn.MINIFS('Promo Calendar'!$G$6:$G$400,'Promo Calendar'!$A$6:$A$400,$C183,'Promo Calendar'!$D$6:$D$400,"All",'Promo Calendar'!$I$6:$I$400,"&lt;="&amp;$A183,'Promo Calendar'!$J$6:$J$400,"&gt;="&amp;$A183,'Promo Calendar'!$G$6:$G$400,"&gt;0"),IFERROR(IF(INDEX('Chain Program'!$M$6:$M$120,MATCH($C183,'Chain Program'!$A$6:$A$120,0))="","Not set",INDEX('Chain Program'!$M$6:$M$120,MATCH($C183,'Chain Program'!$A$6:$A$120,0))),"Not set"))))</f>
        <v/>
      </c>
      <c r="I183" s="61" t="n"/>
      <c r="J183" s="45">
        <f>IF($I183="","",IF(NOT(ISNUMBER($H183)),"No plan price",IF(ABS($I183-$H183)&lt;0.005,"Match",IF($I183&gt;$H183,"Over plan","Under plan"))))</f>
        <v/>
      </c>
      <c r="K183" s="60" t="n"/>
      <c r="L183" s="60" t="n"/>
      <c r="M183" s="60" t="n"/>
      <c r="N183" s="60" t="n"/>
      <c r="O183" s="60" t="n"/>
      <c r="P183" s="62" t="n"/>
      <c r="Q183" s="62" t="n"/>
      <c r="R183" s="60" t="n"/>
      <c r="S183" s="59" t="n"/>
      <c r="T183" s="60" t="n"/>
      <c r="U183" s="59" t="n"/>
      <c r="V183" s="45">
        <f>IF(OR($A183="",$T183="",$T183="No Issue"),"",IF($T183="Resolved",IF($U183="","",$U183-$A183),TODAY()-$A183))</f>
        <v/>
      </c>
      <c r="W183" s="47">
        <f>IF(AND($C183&lt;&gt;"",$C183='Store History'!$C$4,OR('Store History'!$C$5="",$F183='Store History'!$C$5)),1,0)</f>
        <v/>
      </c>
      <c r="X183" s="47">
        <f>IF($W183=1,SUM($W183:$W$1005),"")</f>
        <v/>
      </c>
    </row>
    <row r="184">
      <c r="A184" s="59" t="n"/>
      <c r="B184" s="60" t="n"/>
      <c r="C184" s="60" t="n"/>
      <c r="D184" s="45">
        <f>IF($C184="","",IFERROR(INDEX('Chain Program'!$B$6:$B$120,MATCH($C184,'Chain Program'!$A$6:$A$120,0)),"Unknown ID"))</f>
        <v/>
      </c>
      <c r="E184" s="45">
        <f>IF($C184="","",IFERROR(INDEX('Chain Program'!$D$6:$D$120,MATCH($C184,'Chain Program'!$A$6:$A$120,0)),"Unknown ID"))</f>
        <v/>
      </c>
      <c r="F184" s="60" t="n"/>
      <c r="G184" s="60" t="n"/>
      <c r="H184" s="56">
        <f>IF(OR($C184="",$A184=""),"",IF(COUNTIFS('Promo Calendar'!$A$6:$A$400,$C184,'Promo Calendar'!$D$6:$D$400,IF($G184="","All",$G184),'Promo Calendar'!$I$6:$I$400,"&lt;="&amp;$A184,'Promo Calendar'!$J$6:$J$400,"&gt;="&amp;$A184,'Promo Calendar'!$G$6:$G$400,"&gt;0")&gt;0,_xlfn.MINIFS('Promo Calendar'!$G$6:$G$400,'Promo Calendar'!$A$6:$A$400,$C184,'Promo Calendar'!$D$6:$D$400,IF($G184="","All",$G184),'Promo Calendar'!$I$6:$I$400,"&lt;="&amp;$A184,'Promo Calendar'!$J$6:$J$400,"&gt;="&amp;$A184,'Promo Calendar'!$G$6:$G$400,"&gt;0"),IF(COUNTIFS('Promo Calendar'!$A$6:$A$400,$C184,'Promo Calendar'!$D$6:$D$400,"All",'Promo Calendar'!$I$6:$I$400,"&lt;="&amp;$A184,'Promo Calendar'!$J$6:$J$400,"&gt;="&amp;$A184,'Promo Calendar'!$G$6:$G$400,"&gt;0")&gt;0,_xlfn.MINIFS('Promo Calendar'!$G$6:$G$400,'Promo Calendar'!$A$6:$A$400,$C184,'Promo Calendar'!$D$6:$D$400,"All",'Promo Calendar'!$I$6:$I$400,"&lt;="&amp;$A184,'Promo Calendar'!$J$6:$J$400,"&gt;="&amp;$A184,'Promo Calendar'!$G$6:$G$400,"&gt;0"),IFERROR(IF(INDEX('Chain Program'!$M$6:$M$120,MATCH($C184,'Chain Program'!$A$6:$A$120,0))="","Not set",INDEX('Chain Program'!$M$6:$M$120,MATCH($C184,'Chain Program'!$A$6:$A$120,0))),"Not set"))))</f>
        <v/>
      </c>
      <c r="I184" s="61" t="n"/>
      <c r="J184" s="45">
        <f>IF($I184="","",IF(NOT(ISNUMBER($H184)),"No plan price",IF(ABS($I184-$H184)&lt;0.005,"Match",IF($I184&gt;$H184,"Over plan","Under plan"))))</f>
        <v/>
      </c>
      <c r="K184" s="60" t="n"/>
      <c r="L184" s="60" t="n"/>
      <c r="M184" s="60" t="n"/>
      <c r="N184" s="60" t="n"/>
      <c r="O184" s="60" t="n"/>
      <c r="P184" s="62" t="n"/>
      <c r="Q184" s="62" t="n"/>
      <c r="R184" s="60" t="n"/>
      <c r="S184" s="59" t="n"/>
      <c r="T184" s="60" t="n"/>
      <c r="U184" s="59" t="n"/>
      <c r="V184" s="45">
        <f>IF(OR($A184="",$T184="",$T184="No Issue"),"",IF($T184="Resolved",IF($U184="","",$U184-$A184),TODAY()-$A184))</f>
        <v/>
      </c>
      <c r="W184" s="47">
        <f>IF(AND($C184&lt;&gt;"",$C184='Store History'!$C$4,OR('Store History'!$C$5="",$F184='Store History'!$C$5)),1,0)</f>
        <v/>
      </c>
      <c r="X184" s="47">
        <f>IF($W184=1,SUM($W184:$W$1005),"")</f>
        <v/>
      </c>
    </row>
    <row r="185">
      <c r="A185" s="59" t="n"/>
      <c r="B185" s="60" t="n"/>
      <c r="C185" s="60" t="n"/>
      <c r="D185" s="45">
        <f>IF($C185="","",IFERROR(INDEX('Chain Program'!$B$6:$B$120,MATCH($C185,'Chain Program'!$A$6:$A$120,0)),"Unknown ID"))</f>
        <v/>
      </c>
      <c r="E185" s="45">
        <f>IF($C185="","",IFERROR(INDEX('Chain Program'!$D$6:$D$120,MATCH($C185,'Chain Program'!$A$6:$A$120,0)),"Unknown ID"))</f>
        <v/>
      </c>
      <c r="F185" s="60" t="n"/>
      <c r="G185" s="60" t="n"/>
      <c r="H185" s="56">
        <f>IF(OR($C185="",$A185=""),"",IF(COUNTIFS('Promo Calendar'!$A$6:$A$400,$C185,'Promo Calendar'!$D$6:$D$400,IF($G185="","All",$G185),'Promo Calendar'!$I$6:$I$400,"&lt;="&amp;$A185,'Promo Calendar'!$J$6:$J$400,"&gt;="&amp;$A185,'Promo Calendar'!$G$6:$G$400,"&gt;0")&gt;0,_xlfn.MINIFS('Promo Calendar'!$G$6:$G$400,'Promo Calendar'!$A$6:$A$400,$C185,'Promo Calendar'!$D$6:$D$400,IF($G185="","All",$G185),'Promo Calendar'!$I$6:$I$400,"&lt;="&amp;$A185,'Promo Calendar'!$J$6:$J$400,"&gt;="&amp;$A185,'Promo Calendar'!$G$6:$G$400,"&gt;0"),IF(COUNTIFS('Promo Calendar'!$A$6:$A$400,$C185,'Promo Calendar'!$D$6:$D$400,"All",'Promo Calendar'!$I$6:$I$400,"&lt;="&amp;$A185,'Promo Calendar'!$J$6:$J$400,"&gt;="&amp;$A185,'Promo Calendar'!$G$6:$G$400,"&gt;0")&gt;0,_xlfn.MINIFS('Promo Calendar'!$G$6:$G$400,'Promo Calendar'!$A$6:$A$400,$C185,'Promo Calendar'!$D$6:$D$400,"All",'Promo Calendar'!$I$6:$I$400,"&lt;="&amp;$A185,'Promo Calendar'!$J$6:$J$400,"&gt;="&amp;$A185,'Promo Calendar'!$G$6:$G$400,"&gt;0"),IFERROR(IF(INDEX('Chain Program'!$M$6:$M$120,MATCH($C185,'Chain Program'!$A$6:$A$120,0))="","Not set",INDEX('Chain Program'!$M$6:$M$120,MATCH($C185,'Chain Program'!$A$6:$A$120,0))),"Not set"))))</f>
        <v/>
      </c>
      <c r="I185" s="61" t="n"/>
      <c r="J185" s="45">
        <f>IF($I185="","",IF(NOT(ISNUMBER($H185)),"No plan price",IF(ABS($I185-$H185)&lt;0.005,"Match",IF($I185&gt;$H185,"Over plan","Under plan"))))</f>
        <v/>
      </c>
      <c r="K185" s="60" t="n"/>
      <c r="L185" s="60" t="n"/>
      <c r="M185" s="60" t="n"/>
      <c r="N185" s="60" t="n"/>
      <c r="O185" s="60" t="n"/>
      <c r="P185" s="62" t="n"/>
      <c r="Q185" s="62" t="n"/>
      <c r="R185" s="60" t="n"/>
      <c r="S185" s="59" t="n"/>
      <c r="T185" s="60" t="n"/>
      <c r="U185" s="59" t="n"/>
      <c r="V185" s="45">
        <f>IF(OR($A185="",$T185="",$T185="No Issue"),"",IF($T185="Resolved",IF($U185="","",$U185-$A185),TODAY()-$A185))</f>
        <v/>
      </c>
      <c r="W185" s="47">
        <f>IF(AND($C185&lt;&gt;"",$C185='Store History'!$C$4,OR('Store History'!$C$5="",$F185='Store History'!$C$5)),1,0)</f>
        <v/>
      </c>
      <c r="X185" s="47">
        <f>IF($W185=1,SUM($W185:$W$1005),"")</f>
        <v/>
      </c>
    </row>
    <row r="186">
      <c r="A186" s="59" t="n"/>
      <c r="B186" s="60" t="n"/>
      <c r="C186" s="60" t="n"/>
      <c r="D186" s="45">
        <f>IF($C186="","",IFERROR(INDEX('Chain Program'!$B$6:$B$120,MATCH($C186,'Chain Program'!$A$6:$A$120,0)),"Unknown ID"))</f>
        <v/>
      </c>
      <c r="E186" s="45">
        <f>IF($C186="","",IFERROR(INDEX('Chain Program'!$D$6:$D$120,MATCH($C186,'Chain Program'!$A$6:$A$120,0)),"Unknown ID"))</f>
        <v/>
      </c>
      <c r="F186" s="60" t="n"/>
      <c r="G186" s="60" t="n"/>
      <c r="H186" s="56">
        <f>IF(OR($C186="",$A186=""),"",IF(COUNTIFS('Promo Calendar'!$A$6:$A$400,$C186,'Promo Calendar'!$D$6:$D$400,IF($G186="","All",$G186),'Promo Calendar'!$I$6:$I$400,"&lt;="&amp;$A186,'Promo Calendar'!$J$6:$J$400,"&gt;="&amp;$A186,'Promo Calendar'!$G$6:$G$400,"&gt;0")&gt;0,_xlfn.MINIFS('Promo Calendar'!$G$6:$G$400,'Promo Calendar'!$A$6:$A$400,$C186,'Promo Calendar'!$D$6:$D$400,IF($G186="","All",$G186),'Promo Calendar'!$I$6:$I$400,"&lt;="&amp;$A186,'Promo Calendar'!$J$6:$J$400,"&gt;="&amp;$A186,'Promo Calendar'!$G$6:$G$400,"&gt;0"),IF(COUNTIFS('Promo Calendar'!$A$6:$A$400,$C186,'Promo Calendar'!$D$6:$D$400,"All",'Promo Calendar'!$I$6:$I$400,"&lt;="&amp;$A186,'Promo Calendar'!$J$6:$J$400,"&gt;="&amp;$A186,'Promo Calendar'!$G$6:$G$400,"&gt;0")&gt;0,_xlfn.MINIFS('Promo Calendar'!$G$6:$G$400,'Promo Calendar'!$A$6:$A$400,$C186,'Promo Calendar'!$D$6:$D$400,"All",'Promo Calendar'!$I$6:$I$400,"&lt;="&amp;$A186,'Promo Calendar'!$J$6:$J$400,"&gt;="&amp;$A186,'Promo Calendar'!$G$6:$G$400,"&gt;0"),IFERROR(IF(INDEX('Chain Program'!$M$6:$M$120,MATCH($C186,'Chain Program'!$A$6:$A$120,0))="","Not set",INDEX('Chain Program'!$M$6:$M$120,MATCH($C186,'Chain Program'!$A$6:$A$120,0))),"Not set"))))</f>
        <v/>
      </c>
      <c r="I186" s="61" t="n"/>
      <c r="J186" s="45">
        <f>IF($I186="","",IF(NOT(ISNUMBER($H186)),"No plan price",IF(ABS($I186-$H186)&lt;0.005,"Match",IF($I186&gt;$H186,"Over plan","Under plan"))))</f>
        <v/>
      </c>
      <c r="K186" s="60" t="n"/>
      <c r="L186" s="60" t="n"/>
      <c r="M186" s="60" t="n"/>
      <c r="N186" s="60" t="n"/>
      <c r="O186" s="60" t="n"/>
      <c r="P186" s="62" t="n"/>
      <c r="Q186" s="62" t="n"/>
      <c r="R186" s="60" t="n"/>
      <c r="S186" s="59" t="n"/>
      <c r="T186" s="60" t="n"/>
      <c r="U186" s="59" t="n"/>
      <c r="V186" s="45">
        <f>IF(OR($A186="",$T186="",$T186="No Issue"),"",IF($T186="Resolved",IF($U186="","",$U186-$A186),TODAY()-$A186))</f>
        <v/>
      </c>
      <c r="W186" s="47">
        <f>IF(AND($C186&lt;&gt;"",$C186='Store History'!$C$4,OR('Store History'!$C$5="",$F186='Store History'!$C$5)),1,0)</f>
        <v/>
      </c>
      <c r="X186" s="47">
        <f>IF($W186=1,SUM($W186:$W$1005),"")</f>
        <v/>
      </c>
    </row>
    <row r="187">
      <c r="A187" s="59" t="n"/>
      <c r="B187" s="60" t="n"/>
      <c r="C187" s="60" t="n"/>
      <c r="D187" s="45">
        <f>IF($C187="","",IFERROR(INDEX('Chain Program'!$B$6:$B$120,MATCH($C187,'Chain Program'!$A$6:$A$120,0)),"Unknown ID"))</f>
        <v/>
      </c>
      <c r="E187" s="45">
        <f>IF($C187="","",IFERROR(INDEX('Chain Program'!$D$6:$D$120,MATCH($C187,'Chain Program'!$A$6:$A$120,0)),"Unknown ID"))</f>
        <v/>
      </c>
      <c r="F187" s="60" t="n"/>
      <c r="G187" s="60" t="n"/>
      <c r="H187" s="56">
        <f>IF(OR($C187="",$A187=""),"",IF(COUNTIFS('Promo Calendar'!$A$6:$A$400,$C187,'Promo Calendar'!$D$6:$D$400,IF($G187="","All",$G187),'Promo Calendar'!$I$6:$I$400,"&lt;="&amp;$A187,'Promo Calendar'!$J$6:$J$400,"&gt;="&amp;$A187,'Promo Calendar'!$G$6:$G$400,"&gt;0")&gt;0,_xlfn.MINIFS('Promo Calendar'!$G$6:$G$400,'Promo Calendar'!$A$6:$A$400,$C187,'Promo Calendar'!$D$6:$D$400,IF($G187="","All",$G187),'Promo Calendar'!$I$6:$I$400,"&lt;="&amp;$A187,'Promo Calendar'!$J$6:$J$400,"&gt;="&amp;$A187,'Promo Calendar'!$G$6:$G$400,"&gt;0"),IF(COUNTIFS('Promo Calendar'!$A$6:$A$400,$C187,'Promo Calendar'!$D$6:$D$400,"All",'Promo Calendar'!$I$6:$I$400,"&lt;="&amp;$A187,'Promo Calendar'!$J$6:$J$400,"&gt;="&amp;$A187,'Promo Calendar'!$G$6:$G$400,"&gt;0")&gt;0,_xlfn.MINIFS('Promo Calendar'!$G$6:$G$400,'Promo Calendar'!$A$6:$A$400,$C187,'Promo Calendar'!$D$6:$D$400,"All",'Promo Calendar'!$I$6:$I$400,"&lt;="&amp;$A187,'Promo Calendar'!$J$6:$J$400,"&gt;="&amp;$A187,'Promo Calendar'!$G$6:$G$400,"&gt;0"),IFERROR(IF(INDEX('Chain Program'!$M$6:$M$120,MATCH($C187,'Chain Program'!$A$6:$A$120,0))="","Not set",INDEX('Chain Program'!$M$6:$M$120,MATCH($C187,'Chain Program'!$A$6:$A$120,0))),"Not set"))))</f>
        <v/>
      </c>
      <c r="I187" s="61" t="n"/>
      <c r="J187" s="45">
        <f>IF($I187="","",IF(NOT(ISNUMBER($H187)),"No plan price",IF(ABS($I187-$H187)&lt;0.005,"Match",IF($I187&gt;$H187,"Over plan","Under plan"))))</f>
        <v/>
      </c>
      <c r="K187" s="60" t="n"/>
      <c r="L187" s="60" t="n"/>
      <c r="M187" s="60" t="n"/>
      <c r="N187" s="60" t="n"/>
      <c r="O187" s="60" t="n"/>
      <c r="P187" s="62" t="n"/>
      <c r="Q187" s="62" t="n"/>
      <c r="R187" s="60" t="n"/>
      <c r="S187" s="59" t="n"/>
      <c r="T187" s="60" t="n"/>
      <c r="U187" s="59" t="n"/>
      <c r="V187" s="45">
        <f>IF(OR($A187="",$T187="",$T187="No Issue"),"",IF($T187="Resolved",IF($U187="","",$U187-$A187),TODAY()-$A187))</f>
        <v/>
      </c>
      <c r="W187" s="47">
        <f>IF(AND($C187&lt;&gt;"",$C187='Store History'!$C$4,OR('Store History'!$C$5="",$F187='Store History'!$C$5)),1,0)</f>
        <v/>
      </c>
      <c r="X187" s="47">
        <f>IF($W187=1,SUM($W187:$W$1005),"")</f>
        <v/>
      </c>
    </row>
    <row r="188">
      <c r="A188" s="59" t="n"/>
      <c r="B188" s="60" t="n"/>
      <c r="C188" s="60" t="n"/>
      <c r="D188" s="45">
        <f>IF($C188="","",IFERROR(INDEX('Chain Program'!$B$6:$B$120,MATCH($C188,'Chain Program'!$A$6:$A$120,0)),"Unknown ID"))</f>
        <v/>
      </c>
      <c r="E188" s="45">
        <f>IF($C188="","",IFERROR(INDEX('Chain Program'!$D$6:$D$120,MATCH($C188,'Chain Program'!$A$6:$A$120,0)),"Unknown ID"))</f>
        <v/>
      </c>
      <c r="F188" s="60" t="n"/>
      <c r="G188" s="60" t="n"/>
      <c r="H188" s="56">
        <f>IF(OR($C188="",$A188=""),"",IF(COUNTIFS('Promo Calendar'!$A$6:$A$400,$C188,'Promo Calendar'!$D$6:$D$400,IF($G188="","All",$G188),'Promo Calendar'!$I$6:$I$400,"&lt;="&amp;$A188,'Promo Calendar'!$J$6:$J$400,"&gt;="&amp;$A188,'Promo Calendar'!$G$6:$G$400,"&gt;0")&gt;0,_xlfn.MINIFS('Promo Calendar'!$G$6:$G$400,'Promo Calendar'!$A$6:$A$400,$C188,'Promo Calendar'!$D$6:$D$400,IF($G188="","All",$G188),'Promo Calendar'!$I$6:$I$400,"&lt;="&amp;$A188,'Promo Calendar'!$J$6:$J$400,"&gt;="&amp;$A188,'Promo Calendar'!$G$6:$G$400,"&gt;0"),IF(COUNTIFS('Promo Calendar'!$A$6:$A$400,$C188,'Promo Calendar'!$D$6:$D$400,"All",'Promo Calendar'!$I$6:$I$400,"&lt;="&amp;$A188,'Promo Calendar'!$J$6:$J$400,"&gt;="&amp;$A188,'Promo Calendar'!$G$6:$G$400,"&gt;0")&gt;0,_xlfn.MINIFS('Promo Calendar'!$G$6:$G$400,'Promo Calendar'!$A$6:$A$400,$C188,'Promo Calendar'!$D$6:$D$400,"All",'Promo Calendar'!$I$6:$I$400,"&lt;="&amp;$A188,'Promo Calendar'!$J$6:$J$400,"&gt;="&amp;$A188,'Promo Calendar'!$G$6:$G$400,"&gt;0"),IFERROR(IF(INDEX('Chain Program'!$M$6:$M$120,MATCH($C188,'Chain Program'!$A$6:$A$120,0))="","Not set",INDEX('Chain Program'!$M$6:$M$120,MATCH($C188,'Chain Program'!$A$6:$A$120,0))),"Not set"))))</f>
        <v/>
      </c>
      <c r="I188" s="61" t="n"/>
      <c r="J188" s="45">
        <f>IF($I188="","",IF(NOT(ISNUMBER($H188)),"No plan price",IF(ABS($I188-$H188)&lt;0.005,"Match",IF($I188&gt;$H188,"Over plan","Under plan"))))</f>
        <v/>
      </c>
      <c r="K188" s="60" t="n"/>
      <c r="L188" s="60" t="n"/>
      <c r="M188" s="60" t="n"/>
      <c r="N188" s="60" t="n"/>
      <c r="O188" s="60" t="n"/>
      <c r="P188" s="62" t="n"/>
      <c r="Q188" s="62" t="n"/>
      <c r="R188" s="60" t="n"/>
      <c r="S188" s="59" t="n"/>
      <c r="T188" s="60" t="n"/>
      <c r="U188" s="59" t="n"/>
      <c r="V188" s="45">
        <f>IF(OR($A188="",$T188="",$T188="No Issue"),"",IF($T188="Resolved",IF($U188="","",$U188-$A188),TODAY()-$A188))</f>
        <v/>
      </c>
      <c r="W188" s="47">
        <f>IF(AND($C188&lt;&gt;"",$C188='Store History'!$C$4,OR('Store History'!$C$5="",$F188='Store History'!$C$5)),1,0)</f>
        <v/>
      </c>
      <c r="X188" s="47">
        <f>IF($W188=1,SUM($W188:$W$1005),"")</f>
        <v/>
      </c>
    </row>
    <row r="189">
      <c r="A189" s="59" t="n"/>
      <c r="B189" s="60" t="n"/>
      <c r="C189" s="60" t="n"/>
      <c r="D189" s="45">
        <f>IF($C189="","",IFERROR(INDEX('Chain Program'!$B$6:$B$120,MATCH($C189,'Chain Program'!$A$6:$A$120,0)),"Unknown ID"))</f>
        <v/>
      </c>
      <c r="E189" s="45">
        <f>IF($C189="","",IFERROR(INDEX('Chain Program'!$D$6:$D$120,MATCH($C189,'Chain Program'!$A$6:$A$120,0)),"Unknown ID"))</f>
        <v/>
      </c>
      <c r="F189" s="60" t="n"/>
      <c r="G189" s="60" t="n"/>
      <c r="H189" s="56">
        <f>IF(OR($C189="",$A189=""),"",IF(COUNTIFS('Promo Calendar'!$A$6:$A$400,$C189,'Promo Calendar'!$D$6:$D$400,IF($G189="","All",$G189),'Promo Calendar'!$I$6:$I$400,"&lt;="&amp;$A189,'Promo Calendar'!$J$6:$J$400,"&gt;="&amp;$A189,'Promo Calendar'!$G$6:$G$400,"&gt;0")&gt;0,_xlfn.MINIFS('Promo Calendar'!$G$6:$G$400,'Promo Calendar'!$A$6:$A$400,$C189,'Promo Calendar'!$D$6:$D$400,IF($G189="","All",$G189),'Promo Calendar'!$I$6:$I$400,"&lt;="&amp;$A189,'Promo Calendar'!$J$6:$J$400,"&gt;="&amp;$A189,'Promo Calendar'!$G$6:$G$400,"&gt;0"),IF(COUNTIFS('Promo Calendar'!$A$6:$A$400,$C189,'Promo Calendar'!$D$6:$D$400,"All",'Promo Calendar'!$I$6:$I$400,"&lt;="&amp;$A189,'Promo Calendar'!$J$6:$J$400,"&gt;="&amp;$A189,'Promo Calendar'!$G$6:$G$400,"&gt;0")&gt;0,_xlfn.MINIFS('Promo Calendar'!$G$6:$G$400,'Promo Calendar'!$A$6:$A$400,$C189,'Promo Calendar'!$D$6:$D$400,"All",'Promo Calendar'!$I$6:$I$400,"&lt;="&amp;$A189,'Promo Calendar'!$J$6:$J$400,"&gt;="&amp;$A189,'Promo Calendar'!$G$6:$G$400,"&gt;0"),IFERROR(IF(INDEX('Chain Program'!$M$6:$M$120,MATCH($C189,'Chain Program'!$A$6:$A$120,0))="","Not set",INDEX('Chain Program'!$M$6:$M$120,MATCH($C189,'Chain Program'!$A$6:$A$120,0))),"Not set"))))</f>
        <v/>
      </c>
      <c r="I189" s="61" t="n"/>
      <c r="J189" s="45">
        <f>IF($I189="","",IF(NOT(ISNUMBER($H189)),"No plan price",IF(ABS($I189-$H189)&lt;0.005,"Match",IF($I189&gt;$H189,"Over plan","Under plan"))))</f>
        <v/>
      </c>
      <c r="K189" s="60" t="n"/>
      <c r="L189" s="60" t="n"/>
      <c r="M189" s="60" t="n"/>
      <c r="N189" s="60" t="n"/>
      <c r="O189" s="60" t="n"/>
      <c r="P189" s="62" t="n"/>
      <c r="Q189" s="62" t="n"/>
      <c r="R189" s="60" t="n"/>
      <c r="S189" s="59" t="n"/>
      <c r="T189" s="60" t="n"/>
      <c r="U189" s="59" t="n"/>
      <c r="V189" s="45">
        <f>IF(OR($A189="",$T189="",$T189="No Issue"),"",IF($T189="Resolved",IF($U189="","",$U189-$A189),TODAY()-$A189))</f>
        <v/>
      </c>
      <c r="W189" s="47">
        <f>IF(AND($C189&lt;&gt;"",$C189='Store History'!$C$4,OR('Store History'!$C$5="",$F189='Store History'!$C$5)),1,0)</f>
        <v/>
      </c>
      <c r="X189" s="47">
        <f>IF($W189=1,SUM($W189:$W$1005),"")</f>
        <v/>
      </c>
    </row>
    <row r="190">
      <c r="A190" s="59" t="n"/>
      <c r="B190" s="60" t="n"/>
      <c r="C190" s="60" t="n"/>
      <c r="D190" s="45">
        <f>IF($C190="","",IFERROR(INDEX('Chain Program'!$B$6:$B$120,MATCH($C190,'Chain Program'!$A$6:$A$120,0)),"Unknown ID"))</f>
        <v/>
      </c>
      <c r="E190" s="45">
        <f>IF($C190="","",IFERROR(INDEX('Chain Program'!$D$6:$D$120,MATCH($C190,'Chain Program'!$A$6:$A$120,0)),"Unknown ID"))</f>
        <v/>
      </c>
      <c r="F190" s="60" t="n"/>
      <c r="G190" s="60" t="n"/>
      <c r="H190" s="56">
        <f>IF(OR($C190="",$A190=""),"",IF(COUNTIFS('Promo Calendar'!$A$6:$A$400,$C190,'Promo Calendar'!$D$6:$D$400,IF($G190="","All",$G190),'Promo Calendar'!$I$6:$I$400,"&lt;="&amp;$A190,'Promo Calendar'!$J$6:$J$400,"&gt;="&amp;$A190,'Promo Calendar'!$G$6:$G$400,"&gt;0")&gt;0,_xlfn.MINIFS('Promo Calendar'!$G$6:$G$400,'Promo Calendar'!$A$6:$A$400,$C190,'Promo Calendar'!$D$6:$D$400,IF($G190="","All",$G190),'Promo Calendar'!$I$6:$I$400,"&lt;="&amp;$A190,'Promo Calendar'!$J$6:$J$400,"&gt;="&amp;$A190,'Promo Calendar'!$G$6:$G$400,"&gt;0"),IF(COUNTIFS('Promo Calendar'!$A$6:$A$400,$C190,'Promo Calendar'!$D$6:$D$400,"All",'Promo Calendar'!$I$6:$I$400,"&lt;="&amp;$A190,'Promo Calendar'!$J$6:$J$400,"&gt;="&amp;$A190,'Promo Calendar'!$G$6:$G$400,"&gt;0")&gt;0,_xlfn.MINIFS('Promo Calendar'!$G$6:$G$400,'Promo Calendar'!$A$6:$A$400,$C190,'Promo Calendar'!$D$6:$D$400,"All",'Promo Calendar'!$I$6:$I$400,"&lt;="&amp;$A190,'Promo Calendar'!$J$6:$J$400,"&gt;="&amp;$A190,'Promo Calendar'!$G$6:$G$400,"&gt;0"),IFERROR(IF(INDEX('Chain Program'!$M$6:$M$120,MATCH($C190,'Chain Program'!$A$6:$A$120,0))="","Not set",INDEX('Chain Program'!$M$6:$M$120,MATCH($C190,'Chain Program'!$A$6:$A$120,0))),"Not set"))))</f>
        <v/>
      </c>
      <c r="I190" s="61" t="n"/>
      <c r="J190" s="45">
        <f>IF($I190="","",IF(NOT(ISNUMBER($H190)),"No plan price",IF(ABS($I190-$H190)&lt;0.005,"Match",IF($I190&gt;$H190,"Over plan","Under plan"))))</f>
        <v/>
      </c>
      <c r="K190" s="60" t="n"/>
      <c r="L190" s="60" t="n"/>
      <c r="M190" s="60" t="n"/>
      <c r="N190" s="60" t="n"/>
      <c r="O190" s="60" t="n"/>
      <c r="P190" s="62" t="n"/>
      <c r="Q190" s="62" t="n"/>
      <c r="R190" s="60" t="n"/>
      <c r="S190" s="59" t="n"/>
      <c r="T190" s="60" t="n"/>
      <c r="U190" s="59" t="n"/>
      <c r="V190" s="45">
        <f>IF(OR($A190="",$T190="",$T190="No Issue"),"",IF($T190="Resolved",IF($U190="","",$U190-$A190),TODAY()-$A190))</f>
        <v/>
      </c>
      <c r="W190" s="47">
        <f>IF(AND($C190&lt;&gt;"",$C190='Store History'!$C$4,OR('Store History'!$C$5="",$F190='Store History'!$C$5)),1,0)</f>
        <v/>
      </c>
      <c r="X190" s="47">
        <f>IF($W190=1,SUM($W190:$W$1005),"")</f>
        <v/>
      </c>
    </row>
    <row r="191">
      <c r="A191" s="59" t="n"/>
      <c r="B191" s="60" t="n"/>
      <c r="C191" s="60" t="n"/>
      <c r="D191" s="45">
        <f>IF($C191="","",IFERROR(INDEX('Chain Program'!$B$6:$B$120,MATCH($C191,'Chain Program'!$A$6:$A$120,0)),"Unknown ID"))</f>
        <v/>
      </c>
      <c r="E191" s="45">
        <f>IF($C191="","",IFERROR(INDEX('Chain Program'!$D$6:$D$120,MATCH($C191,'Chain Program'!$A$6:$A$120,0)),"Unknown ID"))</f>
        <v/>
      </c>
      <c r="F191" s="60" t="n"/>
      <c r="G191" s="60" t="n"/>
      <c r="H191" s="56">
        <f>IF(OR($C191="",$A191=""),"",IF(COUNTIFS('Promo Calendar'!$A$6:$A$400,$C191,'Promo Calendar'!$D$6:$D$400,IF($G191="","All",$G191),'Promo Calendar'!$I$6:$I$400,"&lt;="&amp;$A191,'Promo Calendar'!$J$6:$J$400,"&gt;="&amp;$A191,'Promo Calendar'!$G$6:$G$400,"&gt;0")&gt;0,_xlfn.MINIFS('Promo Calendar'!$G$6:$G$400,'Promo Calendar'!$A$6:$A$400,$C191,'Promo Calendar'!$D$6:$D$400,IF($G191="","All",$G191),'Promo Calendar'!$I$6:$I$400,"&lt;="&amp;$A191,'Promo Calendar'!$J$6:$J$400,"&gt;="&amp;$A191,'Promo Calendar'!$G$6:$G$400,"&gt;0"),IF(COUNTIFS('Promo Calendar'!$A$6:$A$400,$C191,'Promo Calendar'!$D$6:$D$400,"All",'Promo Calendar'!$I$6:$I$400,"&lt;="&amp;$A191,'Promo Calendar'!$J$6:$J$400,"&gt;="&amp;$A191,'Promo Calendar'!$G$6:$G$400,"&gt;0")&gt;0,_xlfn.MINIFS('Promo Calendar'!$G$6:$G$400,'Promo Calendar'!$A$6:$A$400,$C191,'Promo Calendar'!$D$6:$D$400,"All",'Promo Calendar'!$I$6:$I$400,"&lt;="&amp;$A191,'Promo Calendar'!$J$6:$J$400,"&gt;="&amp;$A191,'Promo Calendar'!$G$6:$G$400,"&gt;0"),IFERROR(IF(INDEX('Chain Program'!$M$6:$M$120,MATCH($C191,'Chain Program'!$A$6:$A$120,0))="","Not set",INDEX('Chain Program'!$M$6:$M$120,MATCH($C191,'Chain Program'!$A$6:$A$120,0))),"Not set"))))</f>
        <v/>
      </c>
      <c r="I191" s="61" t="n"/>
      <c r="J191" s="45">
        <f>IF($I191="","",IF(NOT(ISNUMBER($H191)),"No plan price",IF(ABS($I191-$H191)&lt;0.005,"Match",IF($I191&gt;$H191,"Over plan","Under plan"))))</f>
        <v/>
      </c>
      <c r="K191" s="60" t="n"/>
      <c r="L191" s="60" t="n"/>
      <c r="M191" s="60" t="n"/>
      <c r="N191" s="60" t="n"/>
      <c r="O191" s="60" t="n"/>
      <c r="P191" s="62" t="n"/>
      <c r="Q191" s="62" t="n"/>
      <c r="R191" s="60" t="n"/>
      <c r="S191" s="59" t="n"/>
      <c r="T191" s="60" t="n"/>
      <c r="U191" s="59" t="n"/>
      <c r="V191" s="45">
        <f>IF(OR($A191="",$T191="",$T191="No Issue"),"",IF($T191="Resolved",IF($U191="","",$U191-$A191),TODAY()-$A191))</f>
        <v/>
      </c>
      <c r="W191" s="47">
        <f>IF(AND($C191&lt;&gt;"",$C191='Store History'!$C$4,OR('Store History'!$C$5="",$F191='Store History'!$C$5)),1,0)</f>
        <v/>
      </c>
      <c r="X191" s="47">
        <f>IF($W191=1,SUM($W191:$W$1005),"")</f>
        <v/>
      </c>
    </row>
    <row r="192">
      <c r="A192" s="59" t="n"/>
      <c r="B192" s="60" t="n"/>
      <c r="C192" s="60" t="n"/>
      <c r="D192" s="45">
        <f>IF($C192="","",IFERROR(INDEX('Chain Program'!$B$6:$B$120,MATCH($C192,'Chain Program'!$A$6:$A$120,0)),"Unknown ID"))</f>
        <v/>
      </c>
      <c r="E192" s="45">
        <f>IF($C192="","",IFERROR(INDEX('Chain Program'!$D$6:$D$120,MATCH($C192,'Chain Program'!$A$6:$A$120,0)),"Unknown ID"))</f>
        <v/>
      </c>
      <c r="F192" s="60" t="n"/>
      <c r="G192" s="60" t="n"/>
      <c r="H192" s="56">
        <f>IF(OR($C192="",$A192=""),"",IF(COUNTIFS('Promo Calendar'!$A$6:$A$400,$C192,'Promo Calendar'!$D$6:$D$400,IF($G192="","All",$G192),'Promo Calendar'!$I$6:$I$400,"&lt;="&amp;$A192,'Promo Calendar'!$J$6:$J$400,"&gt;="&amp;$A192,'Promo Calendar'!$G$6:$G$400,"&gt;0")&gt;0,_xlfn.MINIFS('Promo Calendar'!$G$6:$G$400,'Promo Calendar'!$A$6:$A$400,$C192,'Promo Calendar'!$D$6:$D$400,IF($G192="","All",$G192),'Promo Calendar'!$I$6:$I$400,"&lt;="&amp;$A192,'Promo Calendar'!$J$6:$J$400,"&gt;="&amp;$A192,'Promo Calendar'!$G$6:$G$400,"&gt;0"),IF(COUNTIFS('Promo Calendar'!$A$6:$A$400,$C192,'Promo Calendar'!$D$6:$D$400,"All",'Promo Calendar'!$I$6:$I$400,"&lt;="&amp;$A192,'Promo Calendar'!$J$6:$J$400,"&gt;="&amp;$A192,'Promo Calendar'!$G$6:$G$400,"&gt;0")&gt;0,_xlfn.MINIFS('Promo Calendar'!$G$6:$G$400,'Promo Calendar'!$A$6:$A$400,$C192,'Promo Calendar'!$D$6:$D$400,"All",'Promo Calendar'!$I$6:$I$400,"&lt;="&amp;$A192,'Promo Calendar'!$J$6:$J$400,"&gt;="&amp;$A192,'Promo Calendar'!$G$6:$G$400,"&gt;0"),IFERROR(IF(INDEX('Chain Program'!$M$6:$M$120,MATCH($C192,'Chain Program'!$A$6:$A$120,0))="","Not set",INDEX('Chain Program'!$M$6:$M$120,MATCH($C192,'Chain Program'!$A$6:$A$120,0))),"Not set"))))</f>
        <v/>
      </c>
      <c r="I192" s="61" t="n"/>
      <c r="J192" s="45">
        <f>IF($I192="","",IF(NOT(ISNUMBER($H192)),"No plan price",IF(ABS($I192-$H192)&lt;0.005,"Match",IF($I192&gt;$H192,"Over plan","Under plan"))))</f>
        <v/>
      </c>
      <c r="K192" s="60" t="n"/>
      <c r="L192" s="60" t="n"/>
      <c r="M192" s="60" t="n"/>
      <c r="N192" s="60" t="n"/>
      <c r="O192" s="60" t="n"/>
      <c r="P192" s="62" t="n"/>
      <c r="Q192" s="62" t="n"/>
      <c r="R192" s="60" t="n"/>
      <c r="S192" s="59" t="n"/>
      <c r="T192" s="60" t="n"/>
      <c r="U192" s="59" t="n"/>
      <c r="V192" s="45">
        <f>IF(OR($A192="",$T192="",$T192="No Issue"),"",IF($T192="Resolved",IF($U192="","",$U192-$A192),TODAY()-$A192))</f>
        <v/>
      </c>
      <c r="W192" s="47">
        <f>IF(AND($C192&lt;&gt;"",$C192='Store History'!$C$4,OR('Store History'!$C$5="",$F192='Store History'!$C$5)),1,0)</f>
        <v/>
      </c>
      <c r="X192" s="47">
        <f>IF($W192=1,SUM($W192:$W$1005),"")</f>
        <v/>
      </c>
    </row>
    <row r="193">
      <c r="A193" s="59" t="n"/>
      <c r="B193" s="60" t="n"/>
      <c r="C193" s="60" t="n"/>
      <c r="D193" s="45">
        <f>IF($C193="","",IFERROR(INDEX('Chain Program'!$B$6:$B$120,MATCH($C193,'Chain Program'!$A$6:$A$120,0)),"Unknown ID"))</f>
        <v/>
      </c>
      <c r="E193" s="45">
        <f>IF($C193="","",IFERROR(INDEX('Chain Program'!$D$6:$D$120,MATCH($C193,'Chain Program'!$A$6:$A$120,0)),"Unknown ID"))</f>
        <v/>
      </c>
      <c r="F193" s="60" t="n"/>
      <c r="G193" s="60" t="n"/>
      <c r="H193" s="56">
        <f>IF(OR($C193="",$A193=""),"",IF(COUNTIFS('Promo Calendar'!$A$6:$A$400,$C193,'Promo Calendar'!$D$6:$D$400,IF($G193="","All",$G193),'Promo Calendar'!$I$6:$I$400,"&lt;="&amp;$A193,'Promo Calendar'!$J$6:$J$400,"&gt;="&amp;$A193,'Promo Calendar'!$G$6:$G$400,"&gt;0")&gt;0,_xlfn.MINIFS('Promo Calendar'!$G$6:$G$400,'Promo Calendar'!$A$6:$A$400,$C193,'Promo Calendar'!$D$6:$D$400,IF($G193="","All",$G193),'Promo Calendar'!$I$6:$I$400,"&lt;="&amp;$A193,'Promo Calendar'!$J$6:$J$400,"&gt;="&amp;$A193,'Promo Calendar'!$G$6:$G$400,"&gt;0"),IF(COUNTIFS('Promo Calendar'!$A$6:$A$400,$C193,'Promo Calendar'!$D$6:$D$400,"All",'Promo Calendar'!$I$6:$I$400,"&lt;="&amp;$A193,'Promo Calendar'!$J$6:$J$400,"&gt;="&amp;$A193,'Promo Calendar'!$G$6:$G$400,"&gt;0")&gt;0,_xlfn.MINIFS('Promo Calendar'!$G$6:$G$400,'Promo Calendar'!$A$6:$A$400,$C193,'Promo Calendar'!$D$6:$D$400,"All",'Promo Calendar'!$I$6:$I$400,"&lt;="&amp;$A193,'Promo Calendar'!$J$6:$J$400,"&gt;="&amp;$A193,'Promo Calendar'!$G$6:$G$400,"&gt;0"),IFERROR(IF(INDEX('Chain Program'!$M$6:$M$120,MATCH($C193,'Chain Program'!$A$6:$A$120,0))="","Not set",INDEX('Chain Program'!$M$6:$M$120,MATCH($C193,'Chain Program'!$A$6:$A$120,0))),"Not set"))))</f>
        <v/>
      </c>
      <c r="I193" s="61" t="n"/>
      <c r="J193" s="45">
        <f>IF($I193="","",IF(NOT(ISNUMBER($H193)),"No plan price",IF(ABS($I193-$H193)&lt;0.005,"Match",IF($I193&gt;$H193,"Over plan","Under plan"))))</f>
        <v/>
      </c>
      <c r="K193" s="60" t="n"/>
      <c r="L193" s="60" t="n"/>
      <c r="M193" s="60" t="n"/>
      <c r="N193" s="60" t="n"/>
      <c r="O193" s="60" t="n"/>
      <c r="P193" s="62" t="n"/>
      <c r="Q193" s="62" t="n"/>
      <c r="R193" s="60" t="n"/>
      <c r="S193" s="59" t="n"/>
      <c r="T193" s="60" t="n"/>
      <c r="U193" s="59" t="n"/>
      <c r="V193" s="45">
        <f>IF(OR($A193="",$T193="",$T193="No Issue"),"",IF($T193="Resolved",IF($U193="","",$U193-$A193),TODAY()-$A193))</f>
        <v/>
      </c>
      <c r="W193" s="47">
        <f>IF(AND($C193&lt;&gt;"",$C193='Store History'!$C$4,OR('Store History'!$C$5="",$F193='Store History'!$C$5)),1,0)</f>
        <v/>
      </c>
      <c r="X193" s="47">
        <f>IF($W193=1,SUM($W193:$W$1005),"")</f>
        <v/>
      </c>
    </row>
    <row r="194">
      <c r="A194" s="59" t="n"/>
      <c r="B194" s="60" t="n"/>
      <c r="C194" s="60" t="n"/>
      <c r="D194" s="45">
        <f>IF($C194="","",IFERROR(INDEX('Chain Program'!$B$6:$B$120,MATCH($C194,'Chain Program'!$A$6:$A$120,0)),"Unknown ID"))</f>
        <v/>
      </c>
      <c r="E194" s="45">
        <f>IF($C194="","",IFERROR(INDEX('Chain Program'!$D$6:$D$120,MATCH($C194,'Chain Program'!$A$6:$A$120,0)),"Unknown ID"))</f>
        <v/>
      </c>
      <c r="F194" s="60" t="n"/>
      <c r="G194" s="60" t="n"/>
      <c r="H194" s="56">
        <f>IF(OR($C194="",$A194=""),"",IF(COUNTIFS('Promo Calendar'!$A$6:$A$400,$C194,'Promo Calendar'!$D$6:$D$400,IF($G194="","All",$G194),'Promo Calendar'!$I$6:$I$400,"&lt;="&amp;$A194,'Promo Calendar'!$J$6:$J$400,"&gt;="&amp;$A194,'Promo Calendar'!$G$6:$G$400,"&gt;0")&gt;0,_xlfn.MINIFS('Promo Calendar'!$G$6:$G$400,'Promo Calendar'!$A$6:$A$400,$C194,'Promo Calendar'!$D$6:$D$400,IF($G194="","All",$G194),'Promo Calendar'!$I$6:$I$400,"&lt;="&amp;$A194,'Promo Calendar'!$J$6:$J$400,"&gt;="&amp;$A194,'Promo Calendar'!$G$6:$G$400,"&gt;0"),IF(COUNTIFS('Promo Calendar'!$A$6:$A$400,$C194,'Promo Calendar'!$D$6:$D$400,"All",'Promo Calendar'!$I$6:$I$400,"&lt;="&amp;$A194,'Promo Calendar'!$J$6:$J$400,"&gt;="&amp;$A194,'Promo Calendar'!$G$6:$G$400,"&gt;0")&gt;0,_xlfn.MINIFS('Promo Calendar'!$G$6:$G$400,'Promo Calendar'!$A$6:$A$400,$C194,'Promo Calendar'!$D$6:$D$400,"All",'Promo Calendar'!$I$6:$I$400,"&lt;="&amp;$A194,'Promo Calendar'!$J$6:$J$400,"&gt;="&amp;$A194,'Promo Calendar'!$G$6:$G$400,"&gt;0"),IFERROR(IF(INDEX('Chain Program'!$M$6:$M$120,MATCH($C194,'Chain Program'!$A$6:$A$120,0))="","Not set",INDEX('Chain Program'!$M$6:$M$120,MATCH($C194,'Chain Program'!$A$6:$A$120,0))),"Not set"))))</f>
        <v/>
      </c>
      <c r="I194" s="61" t="n"/>
      <c r="J194" s="45">
        <f>IF($I194="","",IF(NOT(ISNUMBER($H194)),"No plan price",IF(ABS($I194-$H194)&lt;0.005,"Match",IF($I194&gt;$H194,"Over plan","Under plan"))))</f>
        <v/>
      </c>
      <c r="K194" s="60" t="n"/>
      <c r="L194" s="60" t="n"/>
      <c r="M194" s="60" t="n"/>
      <c r="N194" s="60" t="n"/>
      <c r="O194" s="60" t="n"/>
      <c r="P194" s="62" t="n"/>
      <c r="Q194" s="62" t="n"/>
      <c r="R194" s="60" t="n"/>
      <c r="S194" s="59" t="n"/>
      <c r="T194" s="60" t="n"/>
      <c r="U194" s="59" t="n"/>
      <c r="V194" s="45">
        <f>IF(OR($A194="",$T194="",$T194="No Issue"),"",IF($T194="Resolved",IF($U194="","",$U194-$A194),TODAY()-$A194))</f>
        <v/>
      </c>
      <c r="W194" s="47">
        <f>IF(AND($C194&lt;&gt;"",$C194='Store History'!$C$4,OR('Store History'!$C$5="",$F194='Store History'!$C$5)),1,0)</f>
        <v/>
      </c>
      <c r="X194" s="47">
        <f>IF($W194=1,SUM($W194:$W$1005),"")</f>
        <v/>
      </c>
    </row>
    <row r="195">
      <c r="A195" s="59" t="n"/>
      <c r="B195" s="60" t="n"/>
      <c r="C195" s="60" t="n"/>
      <c r="D195" s="45">
        <f>IF($C195="","",IFERROR(INDEX('Chain Program'!$B$6:$B$120,MATCH($C195,'Chain Program'!$A$6:$A$120,0)),"Unknown ID"))</f>
        <v/>
      </c>
      <c r="E195" s="45">
        <f>IF($C195="","",IFERROR(INDEX('Chain Program'!$D$6:$D$120,MATCH($C195,'Chain Program'!$A$6:$A$120,0)),"Unknown ID"))</f>
        <v/>
      </c>
      <c r="F195" s="60" t="n"/>
      <c r="G195" s="60" t="n"/>
      <c r="H195" s="56">
        <f>IF(OR($C195="",$A195=""),"",IF(COUNTIFS('Promo Calendar'!$A$6:$A$400,$C195,'Promo Calendar'!$D$6:$D$400,IF($G195="","All",$G195),'Promo Calendar'!$I$6:$I$400,"&lt;="&amp;$A195,'Promo Calendar'!$J$6:$J$400,"&gt;="&amp;$A195,'Promo Calendar'!$G$6:$G$400,"&gt;0")&gt;0,_xlfn.MINIFS('Promo Calendar'!$G$6:$G$400,'Promo Calendar'!$A$6:$A$400,$C195,'Promo Calendar'!$D$6:$D$400,IF($G195="","All",$G195),'Promo Calendar'!$I$6:$I$400,"&lt;="&amp;$A195,'Promo Calendar'!$J$6:$J$400,"&gt;="&amp;$A195,'Promo Calendar'!$G$6:$G$400,"&gt;0"),IF(COUNTIFS('Promo Calendar'!$A$6:$A$400,$C195,'Promo Calendar'!$D$6:$D$400,"All",'Promo Calendar'!$I$6:$I$400,"&lt;="&amp;$A195,'Promo Calendar'!$J$6:$J$400,"&gt;="&amp;$A195,'Promo Calendar'!$G$6:$G$400,"&gt;0")&gt;0,_xlfn.MINIFS('Promo Calendar'!$G$6:$G$400,'Promo Calendar'!$A$6:$A$400,$C195,'Promo Calendar'!$D$6:$D$400,"All",'Promo Calendar'!$I$6:$I$400,"&lt;="&amp;$A195,'Promo Calendar'!$J$6:$J$400,"&gt;="&amp;$A195,'Promo Calendar'!$G$6:$G$400,"&gt;0"),IFERROR(IF(INDEX('Chain Program'!$M$6:$M$120,MATCH($C195,'Chain Program'!$A$6:$A$120,0))="","Not set",INDEX('Chain Program'!$M$6:$M$120,MATCH($C195,'Chain Program'!$A$6:$A$120,0))),"Not set"))))</f>
        <v/>
      </c>
      <c r="I195" s="61" t="n"/>
      <c r="J195" s="45">
        <f>IF($I195="","",IF(NOT(ISNUMBER($H195)),"No plan price",IF(ABS($I195-$H195)&lt;0.005,"Match",IF($I195&gt;$H195,"Over plan","Under plan"))))</f>
        <v/>
      </c>
      <c r="K195" s="60" t="n"/>
      <c r="L195" s="60" t="n"/>
      <c r="M195" s="60" t="n"/>
      <c r="N195" s="60" t="n"/>
      <c r="O195" s="60" t="n"/>
      <c r="P195" s="62" t="n"/>
      <c r="Q195" s="62" t="n"/>
      <c r="R195" s="60" t="n"/>
      <c r="S195" s="59" t="n"/>
      <c r="T195" s="60" t="n"/>
      <c r="U195" s="59" t="n"/>
      <c r="V195" s="45">
        <f>IF(OR($A195="",$T195="",$T195="No Issue"),"",IF($T195="Resolved",IF($U195="","",$U195-$A195),TODAY()-$A195))</f>
        <v/>
      </c>
      <c r="W195" s="47">
        <f>IF(AND($C195&lt;&gt;"",$C195='Store History'!$C$4,OR('Store History'!$C$5="",$F195='Store History'!$C$5)),1,0)</f>
        <v/>
      </c>
      <c r="X195" s="47">
        <f>IF($W195=1,SUM($W195:$W$1005),"")</f>
        <v/>
      </c>
    </row>
    <row r="196">
      <c r="A196" s="59" t="n"/>
      <c r="B196" s="60" t="n"/>
      <c r="C196" s="60" t="n"/>
      <c r="D196" s="45">
        <f>IF($C196="","",IFERROR(INDEX('Chain Program'!$B$6:$B$120,MATCH($C196,'Chain Program'!$A$6:$A$120,0)),"Unknown ID"))</f>
        <v/>
      </c>
      <c r="E196" s="45">
        <f>IF($C196="","",IFERROR(INDEX('Chain Program'!$D$6:$D$120,MATCH($C196,'Chain Program'!$A$6:$A$120,0)),"Unknown ID"))</f>
        <v/>
      </c>
      <c r="F196" s="60" t="n"/>
      <c r="G196" s="60" t="n"/>
      <c r="H196" s="56">
        <f>IF(OR($C196="",$A196=""),"",IF(COUNTIFS('Promo Calendar'!$A$6:$A$400,$C196,'Promo Calendar'!$D$6:$D$400,IF($G196="","All",$G196),'Promo Calendar'!$I$6:$I$400,"&lt;="&amp;$A196,'Promo Calendar'!$J$6:$J$400,"&gt;="&amp;$A196,'Promo Calendar'!$G$6:$G$400,"&gt;0")&gt;0,_xlfn.MINIFS('Promo Calendar'!$G$6:$G$400,'Promo Calendar'!$A$6:$A$400,$C196,'Promo Calendar'!$D$6:$D$400,IF($G196="","All",$G196),'Promo Calendar'!$I$6:$I$400,"&lt;="&amp;$A196,'Promo Calendar'!$J$6:$J$400,"&gt;="&amp;$A196,'Promo Calendar'!$G$6:$G$400,"&gt;0"),IF(COUNTIFS('Promo Calendar'!$A$6:$A$400,$C196,'Promo Calendar'!$D$6:$D$400,"All",'Promo Calendar'!$I$6:$I$400,"&lt;="&amp;$A196,'Promo Calendar'!$J$6:$J$400,"&gt;="&amp;$A196,'Promo Calendar'!$G$6:$G$400,"&gt;0")&gt;0,_xlfn.MINIFS('Promo Calendar'!$G$6:$G$400,'Promo Calendar'!$A$6:$A$400,$C196,'Promo Calendar'!$D$6:$D$400,"All",'Promo Calendar'!$I$6:$I$400,"&lt;="&amp;$A196,'Promo Calendar'!$J$6:$J$400,"&gt;="&amp;$A196,'Promo Calendar'!$G$6:$G$400,"&gt;0"),IFERROR(IF(INDEX('Chain Program'!$M$6:$M$120,MATCH($C196,'Chain Program'!$A$6:$A$120,0))="","Not set",INDEX('Chain Program'!$M$6:$M$120,MATCH($C196,'Chain Program'!$A$6:$A$120,0))),"Not set"))))</f>
        <v/>
      </c>
      <c r="I196" s="61" t="n"/>
      <c r="J196" s="45">
        <f>IF($I196="","",IF(NOT(ISNUMBER($H196)),"No plan price",IF(ABS($I196-$H196)&lt;0.005,"Match",IF($I196&gt;$H196,"Over plan","Under plan"))))</f>
        <v/>
      </c>
      <c r="K196" s="60" t="n"/>
      <c r="L196" s="60" t="n"/>
      <c r="M196" s="60" t="n"/>
      <c r="N196" s="60" t="n"/>
      <c r="O196" s="60" t="n"/>
      <c r="P196" s="62" t="n"/>
      <c r="Q196" s="62" t="n"/>
      <c r="R196" s="60" t="n"/>
      <c r="S196" s="59" t="n"/>
      <c r="T196" s="60" t="n"/>
      <c r="U196" s="59" t="n"/>
      <c r="V196" s="45">
        <f>IF(OR($A196="",$T196="",$T196="No Issue"),"",IF($T196="Resolved",IF($U196="","",$U196-$A196),TODAY()-$A196))</f>
        <v/>
      </c>
      <c r="W196" s="47">
        <f>IF(AND($C196&lt;&gt;"",$C196='Store History'!$C$4,OR('Store History'!$C$5="",$F196='Store History'!$C$5)),1,0)</f>
        <v/>
      </c>
      <c r="X196" s="47">
        <f>IF($W196=1,SUM($W196:$W$1005),"")</f>
        <v/>
      </c>
    </row>
    <row r="197">
      <c r="A197" s="59" t="n"/>
      <c r="B197" s="60" t="n"/>
      <c r="C197" s="60" t="n"/>
      <c r="D197" s="45">
        <f>IF($C197="","",IFERROR(INDEX('Chain Program'!$B$6:$B$120,MATCH($C197,'Chain Program'!$A$6:$A$120,0)),"Unknown ID"))</f>
        <v/>
      </c>
      <c r="E197" s="45">
        <f>IF($C197="","",IFERROR(INDEX('Chain Program'!$D$6:$D$120,MATCH($C197,'Chain Program'!$A$6:$A$120,0)),"Unknown ID"))</f>
        <v/>
      </c>
      <c r="F197" s="60" t="n"/>
      <c r="G197" s="60" t="n"/>
      <c r="H197" s="56">
        <f>IF(OR($C197="",$A197=""),"",IF(COUNTIFS('Promo Calendar'!$A$6:$A$400,$C197,'Promo Calendar'!$D$6:$D$400,IF($G197="","All",$G197),'Promo Calendar'!$I$6:$I$400,"&lt;="&amp;$A197,'Promo Calendar'!$J$6:$J$400,"&gt;="&amp;$A197,'Promo Calendar'!$G$6:$G$400,"&gt;0")&gt;0,_xlfn.MINIFS('Promo Calendar'!$G$6:$G$400,'Promo Calendar'!$A$6:$A$400,$C197,'Promo Calendar'!$D$6:$D$400,IF($G197="","All",$G197),'Promo Calendar'!$I$6:$I$400,"&lt;="&amp;$A197,'Promo Calendar'!$J$6:$J$400,"&gt;="&amp;$A197,'Promo Calendar'!$G$6:$G$400,"&gt;0"),IF(COUNTIFS('Promo Calendar'!$A$6:$A$400,$C197,'Promo Calendar'!$D$6:$D$400,"All",'Promo Calendar'!$I$6:$I$400,"&lt;="&amp;$A197,'Promo Calendar'!$J$6:$J$400,"&gt;="&amp;$A197,'Promo Calendar'!$G$6:$G$400,"&gt;0")&gt;0,_xlfn.MINIFS('Promo Calendar'!$G$6:$G$400,'Promo Calendar'!$A$6:$A$400,$C197,'Promo Calendar'!$D$6:$D$400,"All",'Promo Calendar'!$I$6:$I$400,"&lt;="&amp;$A197,'Promo Calendar'!$J$6:$J$400,"&gt;="&amp;$A197,'Promo Calendar'!$G$6:$G$400,"&gt;0"),IFERROR(IF(INDEX('Chain Program'!$M$6:$M$120,MATCH($C197,'Chain Program'!$A$6:$A$120,0))="","Not set",INDEX('Chain Program'!$M$6:$M$120,MATCH($C197,'Chain Program'!$A$6:$A$120,0))),"Not set"))))</f>
        <v/>
      </c>
      <c r="I197" s="61" t="n"/>
      <c r="J197" s="45">
        <f>IF($I197="","",IF(NOT(ISNUMBER($H197)),"No plan price",IF(ABS($I197-$H197)&lt;0.005,"Match",IF($I197&gt;$H197,"Over plan","Under plan"))))</f>
        <v/>
      </c>
      <c r="K197" s="60" t="n"/>
      <c r="L197" s="60" t="n"/>
      <c r="M197" s="60" t="n"/>
      <c r="N197" s="60" t="n"/>
      <c r="O197" s="60" t="n"/>
      <c r="P197" s="62" t="n"/>
      <c r="Q197" s="62" t="n"/>
      <c r="R197" s="60" t="n"/>
      <c r="S197" s="59" t="n"/>
      <c r="T197" s="60" t="n"/>
      <c r="U197" s="59" t="n"/>
      <c r="V197" s="45">
        <f>IF(OR($A197="",$T197="",$T197="No Issue"),"",IF($T197="Resolved",IF($U197="","",$U197-$A197),TODAY()-$A197))</f>
        <v/>
      </c>
      <c r="W197" s="47">
        <f>IF(AND($C197&lt;&gt;"",$C197='Store History'!$C$4,OR('Store History'!$C$5="",$F197='Store History'!$C$5)),1,0)</f>
        <v/>
      </c>
      <c r="X197" s="47">
        <f>IF($W197=1,SUM($W197:$W$1005),"")</f>
        <v/>
      </c>
    </row>
    <row r="198">
      <c r="A198" s="59" t="n"/>
      <c r="B198" s="60" t="n"/>
      <c r="C198" s="60" t="n"/>
      <c r="D198" s="45">
        <f>IF($C198="","",IFERROR(INDEX('Chain Program'!$B$6:$B$120,MATCH($C198,'Chain Program'!$A$6:$A$120,0)),"Unknown ID"))</f>
        <v/>
      </c>
      <c r="E198" s="45">
        <f>IF($C198="","",IFERROR(INDEX('Chain Program'!$D$6:$D$120,MATCH($C198,'Chain Program'!$A$6:$A$120,0)),"Unknown ID"))</f>
        <v/>
      </c>
      <c r="F198" s="60" t="n"/>
      <c r="G198" s="60" t="n"/>
      <c r="H198" s="56">
        <f>IF(OR($C198="",$A198=""),"",IF(COUNTIFS('Promo Calendar'!$A$6:$A$400,$C198,'Promo Calendar'!$D$6:$D$400,IF($G198="","All",$G198),'Promo Calendar'!$I$6:$I$400,"&lt;="&amp;$A198,'Promo Calendar'!$J$6:$J$400,"&gt;="&amp;$A198,'Promo Calendar'!$G$6:$G$400,"&gt;0")&gt;0,_xlfn.MINIFS('Promo Calendar'!$G$6:$G$400,'Promo Calendar'!$A$6:$A$400,$C198,'Promo Calendar'!$D$6:$D$400,IF($G198="","All",$G198),'Promo Calendar'!$I$6:$I$400,"&lt;="&amp;$A198,'Promo Calendar'!$J$6:$J$400,"&gt;="&amp;$A198,'Promo Calendar'!$G$6:$G$400,"&gt;0"),IF(COUNTIFS('Promo Calendar'!$A$6:$A$400,$C198,'Promo Calendar'!$D$6:$D$400,"All",'Promo Calendar'!$I$6:$I$400,"&lt;="&amp;$A198,'Promo Calendar'!$J$6:$J$400,"&gt;="&amp;$A198,'Promo Calendar'!$G$6:$G$400,"&gt;0")&gt;0,_xlfn.MINIFS('Promo Calendar'!$G$6:$G$400,'Promo Calendar'!$A$6:$A$400,$C198,'Promo Calendar'!$D$6:$D$400,"All",'Promo Calendar'!$I$6:$I$400,"&lt;="&amp;$A198,'Promo Calendar'!$J$6:$J$400,"&gt;="&amp;$A198,'Promo Calendar'!$G$6:$G$400,"&gt;0"),IFERROR(IF(INDEX('Chain Program'!$M$6:$M$120,MATCH($C198,'Chain Program'!$A$6:$A$120,0))="","Not set",INDEX('Chain Program'!$M$6:$M$120,MATCH($C198,'Chain Program'!$A$6:$A$120,0))),"Not set"))))</f>
        <v/>
      </c>
      <c r="I198" s="61" t="n"/>
      <c r="J198" s="45">
        <f>IF($I198="","",IF(NOT(ISNUMBER($H198)),"No plan price",IF(ABS($I198-$H198)&lt;0.005,"Match",IF($I198&gt;$H198,"Over plan","Under plan"))))</f>
        <v/>
      </c>
      <c r="K198" s="60" t="n"/>
      <c r="L198" s="60" t="n"/>
      <c r="M198" s="60" t="n"/>
      <c r="N198" s="60" t="n"/>
      <c r="O198" s="60" t="n"/>
      <c r="P198" s="62" t="n"/>
      <c r="Q198" s="62" t="n"/>
      <c r="R198" s="60" t="n"/>
      <c r="S198" s="59" t="n"/>
      <c r="T198" s="60" t="n"/>
      <c r="U198" s="59" t="n"/>
      <c r="V198" s="45">
        <f>IF(OR($A198="",$T198="",$T198="No Issue"),"",IF($T198="Resolved",IF($U198="","",$U198-$A198),TODAY()-$A198))</f>
        <v/>
      </c>
      <c r="W198" s="47">
        <f>IF(AND($C198&lt;&gt;"",$C198='Store History'!$C$4,OR('Store History'!$C$5="",$F198='Store History'!$C$5)),1,0)</f>
        <v/>
      </c>
      <c r="X198" s="47">
        <f>IF($W198=1,SUM($W198:$W$1005),"")</f>
        <v/>
      </c>
    </row>
    <row r="199">
      <c r="A199" s="59" t="n"/>
      <c r="B199" s="60" t="n"/>
      <c r="C199" s="60" t="n"/>
      <c r="D199" s="45">
        <f>IF($C199="","",IFERROR(INDEX('Chain Program'!$B$6:$B$120,MATCH($C199,'Chain Program'!$A$6:$A$120,0)),"Unknown ID"))</f>
        <v/>
      </c>
      <c r="E199" s="45">
        <f>IF($C199="","",IFERROR(INDEX('Chain Program'!$D$6:$D$120,MATCH($C199,'Chain Program'!$A$6:$A$120,0)),"Unknown ID"))</f>
        <v/>
      </c>
      <c r="F199" s="60" t="n"/>
      <c r="G199" s="60" t="n"/>
      <c r="H199" s="56">
        <f>IF(OR($C199="",$A199=""),"",IF(COUNTIFS('Promo Calendar'!$A$6:$A$400,$C199,'Promo Calendar'!$D$6:$D$400,IF($G199="","All",$G199),'Promo Calendar'!$I$6:$I$400,"&lt;="&amp;$A199,'Promo Calendar'!$J$6:$J$400,"&gt;="&amp;$A199,'Promo Calendar'!$G$6:$G$400,"&gt;0")&gt;0,_xlfn.MINIFS('Promo Calendar'!$G$6:$G$400,'Promo Calendar'!$A$6:$A$400,$C199,'Promo Calendar'!$D$6:$D$400,IF($G199="","All",$G199),'Promo Calendar'!$I$6:$I$400,"&lt;="&amp;$A199,'Promo Calendar'!$J$6:$J$400,"&gt;="&amp;$A199,'Promo Calendar'!$G$6:$G$400,"&gt;0"),IF(COUNTIFS('Promo Calendar'!$A$6:$A$400,$C199,'Promo Calendar'!$D$6:$D$400,"All",'Promo Calendar'!$I$6:$I$400,"&lt;="&amp;$A199,'Promo Calendar'!$J$6:$J$400,"&gt;="&amp;$A199,'Promo Calendar'!$G$6:$G$400,"&gt;0")&gt;0,_xlfn.MINIFS('Promo Calendar'!$G$6:$G$400,'Promo Calendar'!$A$6:$A$400,$C199,'Promo Calendar'!$D$6:$D$400,"All",'Promo Calendar'!$I$6:$I$400,"&lt;="&amp;$A199,'Promo Calendar'!$J$6:$J$400,"&gt;="&amp;$A199,'Promo Calendar'!$G$6:$G$400,"&gt;0"),IFERROR(IF(INDEX('Chain Program'!$M$6:$M$120,MATCH($C199,'Chain Program'!$A$6:$A$120,0))="","Not set",INDEX('Chain Program'!$M$6:$M$120,MATCH($C199,'Chain Program'!$A$6:$A$120,0))),"Not set"))))</f>
        <v/>
      </c>
      <c r="I199" s="61" t="n"/>
      <c r="J199" s="45">
        <f>IF($I199="","",IF(NOT(ISNUMBER($H199)),"No plan price",IF(ABS($I199-$H199)&lt;0.005,"Match",IF($I199&gt;$H199,"Over plan","Under plan"))))</f>
        <v/>
      </c>
      <c r="K199" s="60" t="n"/>
      <c r="L199" s="60" t="n"/>
      <c r="M199" s="60" t="n"/>
      <c r="N199" s="60" t="n"/>
      <c r="O199" s="60" t="n"/>
      <c r="P199" s="62" t="n"/>
      <c r="Q199" s="62" t="n"/>
      <c r="R199" s="60" t="n"/>
      <c r="S199" s="59" t="n"/>
      <c r="T199" s="60" t="n"/>
      <c r="U199" s="59" t="n"/>
      <c r="V199" s="45">
        <f>IF(OR($A199="",$T199="",$T199="No Issue"),"",IF($T199="Resolved",IF($U199="","",$U199-$A199),TODAY()-$A199))</f>
        <v/>
      </c>
      <c r="W199" s="47">
        <f>IF(AND($C199&lt;&gt;"",$C199='Store History'!$C$4,OR('Store History'!$C$5="",$F199='Store History'!$C$5)),1,0)</f>
        <v/>
      </c>
      <c r="X199" s="47">
        <f>IF($W199=1,SUM($W199:$W$1005),"")</f>
        <v/>
      </c>
    </row>
    <row r="200">
      <c r="A200" s="59" t="n"/>
      <c r="B200" s="60" t="n"/>
      <c r="C200" s="60" t="n"/>
      <c r="D200" s="45">
        <f>IF($C200="","",IFERROR(INDEX('Chain Program'!$B$6:$B$120,MATCH($C200,'Chain Program'!$A$6:$A$120,0)),"Unknown ID"))</f>
        <v/>
      </c>
      <c r="E200" s="45">
        <f>IF($C200="","",IFERROR(INDEX('Chain Program'!$D$6:$D$120,MATCH($C200,'Chain Program'!$A$6:$A$120,0)),"Unknown ID"))</f>
        <v/>
      </c>
      <c r="F200" s="60" t="n"/>
      <c r="G200" s="60" t="n"/>
      <c r="H200" s="56">
        <f>IF(OR($C200="",$A200=""),"",IF(COUNTIFS('Promo Calendar'!$A$6:$A$400,$C200,'Promo Calendar'!$D$6:$D$400,IF($G200="","All",$G200),'Promo Calendar'!$I$6:$I$400,"&lt;="&amp;$A200,'Promo Calendar'!$J$6:$J$400,"&gt;="&amp;$A200,'Promo Calendar'!$G$6:$G$400,"&gt;0")&gt;0,_xlfn.MINIFS('Promo Calendar'!$G$6:$G$400,'Promo Calendar'!$A$6:$A$400,$C200,'Promo Calendar'!$D$6:$D$400,IF($G200="","All",$G200),'Promo Calendar'!$I$6:$I$400,"&lt;="&amp;$A200,'Promo Calendar'!$J$6:$J$400,"&gt;="&amp;$A200,'Promo Calendar'!$G$6:$G$400,"&gt;0"),IF(COUNTIFS('Promo Calendar'!$A$6:$A$400,$C200,'Promo Calendar'!$D$6:$D$400,"All",'Promo Calendar'!$I$6:$I$400,"&lt;="&amp;$A200,'Promo Calendar'!$J$6:$J$400,"&gt;="&amp;$A200,'Promo Calendar'!$G$6:$G$400,"&gt;0")&gt;0,_xlfn.MINIFS('Promo Calendar'!$G$6:$G$400,'Promo Calendar'!$A$6:$A$400,$C200,'Promo Calendar'!$D$6:$D$400,"All",'Promo Calendar'!$I$6:$I$400,"&lt;="&amp;$A200,'Promo Calendar'!$J$6:$J$400,"&gt;="&amp;$A200,'Promo Calendar'!$G$6:$G$400,"&gt;0"),IFERROR(IF(INDEX('Chain Program'!$M$6:$M$120,MATCH($C200,'Chain Program'!$A$6:$A$120,0))="","Not set",INDEX('Chain Program'!$M$6:$M$120,MATCH($C200,'Chain Program'!$A$6:$A$120,0))),"Not set"))))</f>
        <v/>
      </c>
      <c r="I200" s="61" t="n"/>
      <c r="J200" s="45">
        <f>IF($I200="","",IF(NOT(ISNUMBER($H200)),"No plan price",IF(ABS($I200-$H200)&lt;0.005,"Match",IF($I200&gt;$H200,"Over plan","Under plan"))))</f>
        <v/>
      </c>
      <c r="K200" s="60" t="n"/>
      <c r="L200" s="60" t="n"/>
      <c r="M200" s="60" t="n"/>
      <c r="N200" s="60" t="n"/>
      <c r="O200" s="60" t="n"/>
      <c r="P200" s="62" t="n"/>
      <c r="Q200" s="62" t="n"/>
      <c r="R200" s="60" t="n"/>
      <c r="S200" s="59" t="n"/>
      <c r="T200" s="60" t="n"/>
      <c r="U200" s="59" t="n"/>
      <c r="V200" s="45">
        <f>IF(OR($A200="",$T200="",$T200="No Issue"),"",IF($T200="Resolved",IF($U200="","",$U200-$A200),TODAY()-$A200))</f>
        <v/>
      </c>
      <c r="W200" s="47">
        <f>IF(AND($C200&lt;&gt;"",$C200='Store History'!$C$4,OR('Store History'!$C$5="",$F200='Store History'!$C$5)),1,0)</f>
        <v/>
      </c>
      <c r="X200" s="47">
        <f>IF($W200=1,SUM($W200:$W$1005),"")</f>
        <v/>
      </c>
    </row>
    <row r="201">
      <c r="A201" s="59" t="n"/>
      <c r="B201" s="60" t="n"/>
      <c r="C201" s="60" t="n"/>
      <c r="D201" s="45">
        <f>IF($C201="","",IFERROR(INDEX('Chain Program'!$B$6:$B$120,MATCH($C201,'Chain Program'!$A$6:$A$120,0)),"Unknown ID"))</f>
        <v/>
      </c>
      <c r="E201" s="45">
        <f>IF($C201="","",IFERROR(INDEX('Chain Program'!$D$6:$D$120,MATCH($C201,'Chain Program'!$A$6:$A$120,0)),"Unknown ID"))</f>
        <v/>
      </c>
      <c r="F201" s="60" t="n"/>
      <c r="G201" s="60" t="n"/>
      <c r="H201" s="56">
        <f>IF(OR($C201="",$A201=""),"",IF(COUNTIFS('Promo Calendar'!$A$6:$A$400,$C201,'Promo Calendar'!$D$6:$D$400,IF($G201="","All",$G201),'Promo Calendar'!$I$6:$I$400,"&lt;="&amp;$A201,'Promo Calendar'!$J$6:$J$400,"&gt;="&amp;$A201,'Promo Calendar'!$G$6:$G$400,"&gt;0")&gt;0,_xlfn.MINIFS('Promo Calendar'!$G$6:$G$400,'Promo Calendar'!$A$6:$A$400,$C201,'Promo Calendar'!$D$6:$D$400,IF($G201="","All",$G201),'Promo Calendar'!$I$6:$I$400,"&lt;="&amp;$A201,'Promo Calendar'!$J$6:$J$400,"&gt;="&amp;$A201,'Promo Calendar'!$G$6:$G$400,"&gt;0"),IF(COUNTIFS('Promo Calendar'!$A$6:$A$400,$C201,'Promo Calendar'!$D$6:$D$400,"All",'Promo Calendar'!$I$6:$I$400,"&lt;="&amp;$A201,'Promo Calendar'!$J$6:$J$400,"&gt;="&amp;$A201,'Promo Calendar'!$G$6:$G$400,"&gt;0")&gt;0,_xlfn.MINIFS('Promo Calendar'!$G$6:$G$400,'Promo Calendar'!$A$6:$A$400,$C201,'Promo Calendar'!$D$6:$D$400,"All",'Promo Calendar'!$I$6:$I$400,"&lt;="&amp;$A201,'Promo Calendar'!$J$6:$J$400,"&gt;="&amp;$A201,'Promo Calendar'!$G$6:$G$400,"&gt;0"),IFERROR(IF(INDEX('Chain Program'!$M$6:$M$120,MATCH($C201,'Chain Program'!$A$6:$A$120,0))="","Not set",INDEX('Chain Program'!$M$6:$M$120,MATCH($C201,'Chain Program'!$A$6:$A$120,0))),"Not set"))))</f>
        <v/>
      </c>
      <c r="I201" s="61" t="n"/>
      <c r="J201" s="45">
        <f>IF($I201="","",IF(NOT(ISNUMBER($H201)),"No plan price",IF(ABS($I201-$H201)&lt;0.005,"Match",IF($I201&gt;$H201,"Over plan","Under plan"))))</f>
        <v/>
      </c>
      <c r="K201" s="60" t="n"/>
      <c r="L201" s="60" t="n"/>
      <c r="M201" s="60" t="n"/>
      <c r="N201" s="60" t="n"/>
      <c r="O201" s="60" t="n"/>
      <c r="P201" s="62" t="n"/>
      <c r="Q201" s="62" t="n"/>
      <c r="R201" s="60" t="n"/>
      <c r="S201" s="59" t="n"/>
      <c r="T201" s="60" t="n"/>
      <c r="U201" s="59" t="n"/>
      <c r="V201" s="45">
        <f>IF(OR($A201="",$T201="",$T201="No Issue"),"",IF($T201="Resolved",IF($U201="","",$U201-$A201),TODAY()-$A201))</f>
        <v/>
      </c>
      <c r="W201" s="47">
        <f>IF(AND($C201&lt;&gt;"",$C201='Store History'!$C$4,OR('Store History'!$C$5="",$F201='Store History'!$C$5)),1,0)</f>
        <v/>
      </c>
      <c r="X201" s="47">
        <f>IF($W201=1,SUM($W201:$W$1005),"")</f>
        <v/>
      </c>
    </row>
    <row r="202">
      <c r="A202" s="59" t="n"/>
      <c r="B202" s="60" t="n"/>
      <c r="C202" s="60" t="n"/>
      <c r="D202" s="45">
        <f>IF($C202="","",IFERROR(INDEX('Chain Program'!$B$6:$B$120,MATCH($C202,'Chain Program'!$A$6:$A$120,0)),"Unknown ID"))</f>
        <v/>
      </c>
      <c r="E202" s="45">
        <f>IF($C202="","",IFERROR(INDEX('Chain Program'!$D$6:$D$120,MATCH($C202,'Chain Program'!$A$6:$A$120,0)),"Unknown ID"))</f>
        <v/>
      </c>
      <c r="F202" s="60" t="n"/>
      <c r="G202" s="60" t="n"/>
      <c r="H202" s="56">
        <f>IF(OR($C202="",$A202=""),"",IF(COUNTIFS('Promo Calendar'!$A$6:$A$400,$C202,'Promo Calendar'!$D$6:$D$400,IF($G202="","All",$G202),'Promo Calendar'!$I$6:$I$400,"&lt;="&amp;$A202,'Promo Calendar'!$J$6:$J$400,"&gt;="&amp;$A202,'Promo Calendar'!$G$6:$G$400,"&gt;0")&gt;0,_xlfn.MINIFS('Promo Calendar'!$G$6:$G$400,'Promo Calendar'!$A$6:$A$400,$C202,'Promo Calendar'!$D$6:$D$400,IF($G202="","All",$G202),'Promo Calendar'!$I$6:$I$400,"&lt;="&amp;$A202,'Promo Calendar'!$J$6:$J$400,"&gt;="&amp;$A202,'Promo Calendar'!$G$6:$G$400,"&gt;0"),IF(COUNTIFS('Promo Calendar'!$A$6:$A$400,$C202,'Promo Calendar'!$D$6:$D$400,"All",'Promo Calendar'!$I$6:$I$400,"&lt;="&amp;$A202,'Promo Calendar'!$J$6:$J$400,"&gt;="&amp;$A202,'Promo Calendar'!$G$6:$G$400,"&gt;0")&gt;0,_xlfn.MINIFS('Promo Calendar'!$G$6:$G$400,'Promo Calendar'!$A$6:$A$400,$C202,'Promo Calendar'!$D$6:$D$400,"All",'Promo Calendar'!$I$6:$I$400,"&lt;="&amp;$A202,'Promo Calendar'!$J$6:$J$400,"&gt;="&amp;$A202,'Promo Calendar'!$G$6:$G$400,"&gt;0"),IFERROR(IF(INDEX('Chain Program'!$M$6:$M$120,MATCH($C202,'Chain Program'!$A$6:$A$120,0))="","Not set",INDEX('Chain Program'!$M$6:$M$120,MATCH($C202,'Chain Program'!$A$6:$A$120,0))),"Not set"))))</f>
        <v/>
      </c>
      <c r="I202" s="61" t="n"/>
      <c r="J202" s="45">
        <f>IF($I202="","",IF(NOT(ISNUMBER($H202)),"No plan price",IF(ABS($I202-$H202)&lt;0.005,"Match",IF($I202&gt;$H202,"Over plan","Under plan"))))</f>
        <v/>
      </c>
      <c r="K202" s="60" t="n"/>
      <c r="L202" s="60" t="n"/>
      <c r="M202" s="60" t="n"/>
      <c r="N202" s="60" t="n"/>
      <c r="O202" s="60" t="n"/>
      <c r="P202" s="62" t="n"/>
      <c r="Q202" s="62" t="n"/>
      <c r="R202" s="60" t="n"/>
      <c r="S202" s="59" t="n"/>
      <c r="T202" s="60" t="n"/>
      <c r="U202" s="59" t="n"/>
      <c r="V202" s="45">
        <f>IF(OR($A202="",$T202="",$T202="No Issue"),"",IF($T202="Resolved",IF($U202="","",$U202-$A202),TODAY()-$A202))</f>
        <v/>
      </c>
      <c r="W202" s="47">
        <f>IF(AND($C202&lt;&gt;"",$C202='Store History'!$C$4,OR('Store History'!$C$5="",$F202='Store History'!$C$5)),1,0)</f>
        <v/>
      </c>
      <c r="X202" s="47">
        <f>IF($W202=1,SUM($W202:$W$1005),"")</f>
        <v/>
      </c>
    </row>
    <row r="203">
      <c r="A203" s="59" t="n"/>
      <c r="B203" s="60" t="n"/>
      <c r="C203" s="60" t="n"/>
      <c r="D203" s="45">
        <f>IF($C203="","",IFERROR(INDEX('Chain Program'!$B$6:$B$120,MATCH($C203,'Chain Program'!$A$6:$A$120,0)),"Unknown ID"))</f>
        <v/>
      </c>
      <c r="E203" s="45">
        <f>IF($C203="","",IFERROR(INDEX('Chain Program'!$D$6:$D$120,MATCH($C203,'Chain Program'!$A$6:$A$120,0)),"Unknown ID"))</f>
        <v/>
      </c>
      <c r="F203" s="60" t="n"/>
      <c r="G203" s="60" t="n"/>
      <c r="H203" s="56">
        <f>IF(OR($C203="",$A203=""),"",IF(COUNTIFS('Promo Calendar'!$A$6:$A$400,$C203,'Promo Calendar'!$D$6:$D$400,IF($G203="","All",$G203),'Promo Calendar'!$I$6:$I$400,"&lt;="&amp;$A203,'Promo Calendar'!$J$6:$J$400,"&gt;="&amp;$A203,'Promo Calendar'!$G$6:$G$400,"&gt;0")&gt;0,_xlfn.MINIFS('Promo Calendar'!$G$6:$G$400,'Promo Calendar'!$A$6:$A$400,$C203,'Promo Calendar'!$D$6:$D$400,IF($G203="","All",$G203),'Promo Calendar'!$I$6:$I$400,"&lt;="&amp;$A203,'Promo Calendar'!$J$6:$J$400,"&gt;="&amp;$A203,'Promo Calendar'!$G$6:$G$400,"&gt;0"),IF(COUNTIFS('Promo Calendar'!$A$6:$A$400,$C203,'Promo Calendar'!$D$6:$D$400,"All",'Promo Calendar'!$I$6:$I$400,"&lt;="&amp;$A203,'Promo Calendar'!$J$6:$J$400,"&gt;="&amp;$A203,'Promo Calendar'!$G$6:$G$400,"&gt;0")&gt;0,_xlfn.MINIFS('Promo Calendar'!$G$6:$G$400,'Promo Calendar'!$A$6:$A$400,$C203,'Promo Calendar'!$D$6:$D$400,"All",'Promo Calendar'!$I$6:$I$400,"&lt;="&amp;$A203,'Promo Calendar'!$J$6:$J$400,"&gt;="&amp;$A203,'Promo Calendar'!$G$6:$G$400,"&gt;0"),IFERROR(IF(INDEX('Chain Program'!$M$6:$M$120,MATCH($C203,'Chain Program'!$A$6:$A$120,0))="","Not set",INDEX('Chain Program'!$M$6:$M$120,MATCH($C203,'Chain Program'!$A$6:$A$120,0))),"Not set"))))</f>
        <v/>
      </c>
      <c r="I203" s="61" t="n"/>
      <c r="J203" s="45">
        <f>IF($I203="","",IF(NOT(ISNUMBER($H203)),"No plan price",IF(ABS($I203-$H203)&lt;0.005,"Match",IF($I203&gt;$H203,"Over plan","Under plan"))))</f>
        <v/>
      </c>
      <c r="K203" s="60" t="n"/>
      <c r="L203" s="60" t="n"/>
      <c r="M203" s="60" t="n"/>
      <c r="N203" s="60" t="n"/>
      <c r="O203" s="60" t="n"/>
      <c r="P203" s="62" t="n"/>
      <c r="Q203" s="62" t="n"/>
      <c r="R203" s="60" t="n"/>
      <c r="S203" s="59" t="n"/>
      <c r="T203" s="60" t="n"/>
      <c r="U203" s="59" t="n"/>
      <c r="V203" s="45">
        <f>IF(OR($A203="",$T203="",$T203="No Issue"),"",IF($T203="Resolved",IF($U203="","",$U203-$A203),TODAY()-$A203))</f>
        <v/>
      </c>
      <c r="W203" s="47">
        <f>IF(AND($C203&lt;&gt;"",$C203='Store History'!$C$4,OR('Store History'!$C$5="",$F203='Store History'!$C$5)),1,0)</f>
        <v/>
      </c>
      <c r="X203" s="47">
        <f>IF($W203=1,SUM($W203:$W$1005),"")</f>
        <v/>
      </c>
    </row>
    <row r="204">
      <c r="A204" s="59" t="n"/>
      <c r="B204" s="60" t="n"/>
      <c r="C204" s="60" t="n"/>
      <c r="D204" s="45">
        <f>IF($C204="","",IFERROR(INDEX('Chain Program'!$B$6:$B$120,MATCH($C204,'Chain Program'!$A$6:$A$120,0)),"Unknown ID"))</f>
        <v/>
      </c>
      <c r="E204" s="45">
        <f>IF($C204="","",IFERROR(INDEX('Chain Program'!$D$6:$D$120,MATCH($C204,'Chain Program'!$A$6:$A$120,0)),"Unknown ID"))</f>
        <v/>
      </c>
      <c r="F204" s="60" t="n"/>
      <c r="G204" s="60" t="n"/>
      <c r="H204" s="56">
        <f>IF(OR($C204="",$A204=""),"",IF(COUNTIFS('Promo Calendar'!$A$6:$A$400,$C204,'Promo Calendar'!$D$6:$D$400,IF($G204="","All",$G204),'Promo Calendar'!$I$6:$I$400,"&lt;="&amp;$A204,'Promo Calendar'!$J$6:$J$400,"&gt;="&amp;$A204,'Promo Calendar'!$G$6:$G$400,"&gt;0")&gt;0,_xlfn.MINIFS('Promo Calendar'!$G$6:$G$400,'Promo Calendar'!$A$6:$A$400,$C204,'Promo Calendar'!$D$6:$D$400,IF($G204="","All",$G204),'Promo Calendar'!$I$6:$I$400,"&lt;="&amp;$A204,'Promo Calendar'!$J$6:$J$400,"&gt;="&amp;$A204,'Promo Calendar'!$G$6:$G$400,"&gt;0"),IF(COUNTIFS('Promo Calendar'!$A$6:$A$400,$C204,'Promo Calendar'!$D$6:$D$400,"All",'Promo Calendar'!$I$6:$I$400,"&lt;="&amp;$A204,'Promo Calendar'!$J$6:$J$400,"&gt;="&amp;$A204,'Promo Calendar'!$G$6:$G$400,"&gt;0")&gt;0,_xlfn.MINIFS('Promo Calendar'!$G$6:$G$400,'Promo Calendar'!$A$6:$A$400,$C204,'Promo Calendar'!$D$6:$D$400,"All",'Promo Calendar'!$I$6:$I$400,"&lt;="&amp;$A204,'Promo Calendar'!$J$6:$J$400,"&gt;="&amp;$A204,'Promo Calendar'!$G$6:$G$400,"&gt;0"),IFERROR(IF(INDEX('Chain Program'!$M$6:$M$120,MATCH($C204,'Chain Program'!$A$6:$A$120,0))="","Not set",INDEX('Chain Program'!$M$6:$M$120,MATCH($C204,'Chain Program'!$A$6:$A$120,0))),"Not set"))))</f>
        <v/>
      </c>
      <c r="I204" s="61" t="n"/>
      <c r="J204" s="45">
        <f>IF($I204="","",IF(NOT(ISNUMBER($H204)),"No plan price",IF(ABS($I204-$H204)&lt;0.005,"Match",IF($I204&gt;$H204,"Over plan","Under plan"))))</f>
        <v/>
      </c>
      <c r="K204" s="60" t="n"/>
      <c r="L204" s="60" t="n"/>
      <c r="M204" s="60" t="n"/>
      <c r="N204" s="60" t="n"/>
      <c r="O204" s="60" t="n"/>
      <c r="P204" s="62" t="n"/>
      <c r="Q204" s="62" t="n"/>
      <c r="R204" s="60" t="n"/>
      <c r="S204" s="59" t="n"/>
      <c r="T204" s="60" t="n"/>
      <c r="U204" s="59" t="n"/>
      <c r="V204" s="45">
        <f>IF(OR($A204="",$T204="",$T204="No Issue"),"",IF($T204="Resolved",IF($U204="","",$U204-$A204),TODAY()-$A204))</f>
        <v/>
      </c>
      <c r="W204" s="47">
        <f>IF(AND($C204&lt;&gt;"",$C204='Store History'!$C$4,OR('Store History'!$C$5="",$F204='Store History'!$C$5)),1,0)</f>
        <v/>
      </c>
      <c r="X204" s="47">
        <f>IF($W204=1,SUM($W204:$W$1005),"")</f>
        <v/>
      </c>
    </row>
    <row r="205">
      <c r="A205" s="59" t="n"/>
      <c r="B205" s="60" t="n"/>
      <c r="C205" s="60" t="n"/>
      <c r="D205" s="45">
        <f>IF($C205="","",IFERROR(INDEX('Chain Program'!$B$6:$B$120,MATCH($C205,'Chain Program'!$A$6:$A$120,0)),"Unknown ID"))</f>
        <v/>
      </c>
      <c r="E205" s="45">
        <f>IF($C205="","",IFERROR(INDEX('Chain Program'!$D$6:$D$120,MATCH($C205,'Chain Program'!$A$6:$A$120,0)),"Unknown ID"))</f>
        <v/>
      </c>
      <c r="F205" s="60" t="n"/>
      <c r="G205" s="60" t="n"/>
      <c r="H205" s="56">
        <f>IF(OR($C205="",$A205=""),"",IF(COUNTIFS('Promo Calendar'!$A$6:$A$400,$C205,'Promo Calendar'!$D$6:$D$400,IF($G205="","All",$G205),'Promo Calendar'!$I$6:$I$400,"&lt;="&amp;$A205,'Promo Calendar'!$J$6:$J$400,"&gt;="&amp;$A205,'Promo Calendar'!$G$6:$G$400,"&gt;0")&gt;0,_xlfn.MINIFS('Promo Calendar'!$G$6:$G$400,'Promo Calendar'!$A$6:$A$400,$C205,'Promo Calendar'!$D$6:$D$400,IF($G205="","All",$G205),'Promo Calendar'!$I$6:$I$400,"&lt;="&amp;$A205,'Promo Calendar'!$J$6:$J$400,"&gt;="&amp;$A205,'Promo Calendar'!$G$6:$G$400,"&gt;0"),IF(COUNTIFS('Promo Calendar'!$A$6:$A$400,$C205,'Promo Calendar'!$D$6:$D$400,"All",'Promo Calendar'!$I$6:$I$400,"&lt;="&amp;$A205,'Promo Calendar'!$J$6:$J$400,"&gt;="&amp;$A205,'Promo Calendar'!$G$6:$G$400,"&gt;0")&gt;0,_xlfn.MINIFS('Promo Calendar'!$G$6:$G$400,'Promo Calendar'!$A$6:$A$400,$C205,'Promo Calendar'!$D$6:$D$400,"All",'Promo Calendar'!$I$6:$I$400,"&lt;="&amp;$A205,'Promo Calendar'!$J$6:$J$400,"&gt;="&amp;$A205,'Promo Calendar'!$G$6:$G$400,"&gt;0"),IFERROR(IF(INDEX('Chain Program'!$M$6:$M$120,MATCH($C205,'Chain Program'!$A$6:$A$120,0))="","Not set",INDEX('Chain Program'!$M$6:$M$120,MATCH($C205,'Chain Program'!$A$6:$A$120,0))),"Not set"))))</f>
        <v/>
      </c>
      <c r="I205" s="61" t="n"/>
      <c r="J205" s="45">
        <f>IF($I205="","",IF(NOT(ISNUMBER($H205)),"No plan price",IF(ABS($I205-$H205)&lt;0.005,"Match",IF($I205&gt;$H205,"Over plan","Under plan"))))</f>
        <v/>
      </c>
      <c r="K205" s="60" t="n"/>
      <c r="L205" s="60" t="n"/>
      <c r="M205" s="60" t="n"/>
      <c r="N205" s="60" t="n"/>
      <c r="O205" s="60" t="n"/>
      <c r="P205" s="62" t="n"/>
      <c r="Q205" s="62" t="n"/>
      <c r="R205" s="60" t="n"/>
      <c r="S205" s="59" t="n"/>
      <c r="T205" s="60" t="n"/>
      <c r="U205" s="59" t="n"/>
      <c r="V205" s="45">
        <f>IF(OR($A205="",$T205="",$T205="No Issue"),"",IF($T205="Resolved",IF($U205="","",$U205-$A205),TODAY()-$A205))</f>
        <v/>
      </c>
      <c r="W205" s="47">
        <f>IF(AND($C205&lt;&gt;"",$C205='Store History'!$C$4,OR('Store History'!$C$5="",$F205='Store History'!$C$5)),1,0)</f>
        <v/>
      </c>
      <c r="X205" s="47">
        <f>IF($W205=1,SUM($W205:$W$1005),"")</f>
        <v/>
      </c>
    </row>
    <row r="206">
      <c r="A206" s="59" t="n"/>
      <c r="B206" s="60" t="n"/>
      <c r="C206" s="60" t="n"/>
      <c r="D206" s="45">
        <f>IF($C206="","",IFERROR(INDEX('Chain Program'!$B$6:$B$120,MATCH($C206,'Chain Program'!$A$6:$A$120,0)),"Unknown ID"))</f>
        <v/>
      </c>
      <c r="E206" s="45">
        <f>IF($C206="","",IFERROR(INDEX('Chain Program'!$D$6:$D$120,MATCH($C206,'Chain Program'!$A$6:$A$120,0)),"Unknown ID"))</f>
        <v/>
      </c>
      <c r="F206" s="60" t="n"/>
      <c r="G206" s="60" t="n"/>
      <c r="H206" s="56">
        <f>IF(OR($C206="",$A206=""),"",IF(COUNTIFS('Promo Calendar'!$A$6:$A$400,$C206,'Promo Calendar'!$D$6:$D$400,IF($G206="","All",$G206),'Promo Calendar'!$I$6:$I$400,"&lt;="&amp;$A206,'Promo Calendar'!$J$6:$J$400,"&gt;="&amp;$A206,'Promo Calendar'!$G$6:$G$400,"&gt;0")&gt;0,_xlfn.MINIFS('Promo Calendar'!$G$6:$G$400,'Promo Calendar'!$A$6:$A$400,$C206,'Promo Calendar'!$D$6:$D$400,IF($G206="","All",$G206),'Promo Calendar'!$I$6:$I$400,"&lt;="&amp;$A206,'Promo Calendar'!$J$6:$J$400,"&gt;="&amp;$A206,'Promo Calendar'!$G$6:$G$400,"&gt;0"),IF(COUNTIFS('Promo Calendar'!$A$6:$A$400,$C206,'Promo Calendar'!$D$6:$D$400,"All",'Promo Calendar'!$I$6:$I$400,"&lt;="&amp;$A206,'Promo Calendar'!$J$6:$J$400,"&gt;="&amp;$A206,'Promo Calendar'!$G$6:$G$400,"&gt;0")&gt;0,_xlfn.MINIFS('Promo Calendar'!$G$6:$G$400,'Promo Calendar'!$A$6:$A$400,$C206,'Promo Calendar'!$D$6:$D$400,"All",'Promo Calendar'!$I$6:$I$400,"&lt;="&amp;$A206,'Promo Calendar'!$J$6:$J$400,"&gt;="&amp;$A206,'Promo Calendar'!$G$6:$G$400,"&gt;0"),IFERROR(IF(INDEX('Chain Program'!$M$6:$M$120,MATCH($C206,'Chain Program'!$A$6:$A$120,0))="","Not set",INDEX('Chain Program'!$M$6:$M$120,MATCH($C206,'Chain Program'!$A$6:$A$120,0))),"Not set"))))</f>
        <v/>
      </c>
      <c r="I206" s="61" t="n"/>
      <c r="J206" s="45">
        <f>IF($I206="","",IF(NOT(ISNUMBER($H206)),"No plan price",IF(ABS($I206-$H206)&lt;0.005,"Match",IF($I206&gt;$H206,"Over plan","Under plan"))))</f>
        <v/>
      </c>
      <c r="K206" s="60" t="n"/>
      <c r="L206" s="60" t="n"/>
      <c r="M206" s="60" t="n"/>
      <c r="N206" s="60" t="n"/>
      <c r="O206" s="60" t="n"/>
      <c r="P206" s="62" t="n"/>
      <c r="Q206" s="62" t="n"/>
      <c r="R206" s="60" t="n"/>
      <c r="S206" s="59" t="n"/>
      <c r="T206" s="60" t="n"/>
      <c r="U206" s="59" t="n"/>
      <c r="V206" s="45">
        <f>IF(OR($A206="",$T206="",$T206="No Issue"),"",IF($T206="Resolved",IF($U206="","",$U206-$A206),TODAY()-$A206))</f>
        <v/>
      </c>
      <c r="W206" s="47">
        <f>IF(AND($C206&lt;&gt;"",$C206='Store History'!$C$4,OR('Store History'!$C$5="",$F206='Store History'!$C$5)),1,0)</f>
        <v/>
      </c>
      <c r="X206" s="47">
        <f>IF($W206=1,SUM($W206:$W$1005),"")</f>
        <v/>
      </c>
    </row>
    <row r="207">
      <c r="A207" s="59" t="n"/>
      <c r="B207" s="60" t="n"/>
      <c r="C207" s="60" t="n"/>
      <c r="D207" s="45">
        <f>IF($C207="","",IFERROR(INDEX('Chain Program'!$B$6:$B$120,MATCH($C207,'Chain Program'!$A$6:$A$120,0)),"Unknown ID"))</f>
        <v/>
      </c>
      <c r="E207" s="45">
        <f>IF($C207="","",IFERROR(INDEX('Chain Program'!$D$6:$D$120,MATCH($C207,'Chain Program'!$A$6:$A$120,0)),"Unknown ID"))</f>
        <v/>
      </c>
      <c r="F207" s="60" t="n"/>
      <c r="G207" s="60" t="n"/>
      <c r="H207" s="56">
        <f>IF(OR($C207="",$A207=""),"",IF(COUNTIFS('Promo Calendar'!$A$6:$A$400,$C207,'Promo Calendar'!$D$6:$D$400,IF($G207="","All",$G207),'Promo Calendar'!$I$6:$I$400,"&lt;="&amp;$A207,'Promo Calendar'!$J$6:$J$400,"&gt;="&amp;$A207,'Promo Calendar'!$G$6:$G$400,"&gt;0")&gt;0,_xlfn.MINIFS('Promo Calendar'!$G$6:$G$400,'Promo Calendar'!$A$6:$A$400,$C207,'Promo Calendar'!$D$6:$D$400,IF($G207="","All",$G207),'Promo Calendar'!$I$6:$I$400,"&lt;="&amp;$A207,'Promo Calendar'!$J$6:$J$400,"&gt;="&amp;$A207,'Promo Calendar'!$G$6:$G$400,"&gt;0"),IF(COUNTIFS('Promo Calendar'!$A$6:$A$400,$C207,'Promo Calendar'!$D$6:$D$400,"All",'Promo Calendar'!$I$6:$I$400,"&lt;="&amp;$A207,'Promo Calendar'!$J$6:$J$400,"&gt;="&amp;$A207,'Promo Calendar'!$G$6:$G$400,"&gt;0")&gt;0,_xlfn.MINIFS('Promo Calendar'!$G$6:$G$400,'Promo Calendar'!$A$6:$A$400,$C207,'Promo Calendar'!$D$6:$D$400,"All",'Promo Calendar'!$I$6:$I$400,"&lt;="&amp;$A207,'Promo Calendar'!$J$6:$J$400,"&gt;="&amp;$A207,'Promo Calendar'!$G$6:$G$400,"&gt;0"),IFERROR(IF(INDEX('Chain Program'!$M$6:$M$120,MATCH($C207,'Chain Program'!$A$6:$A$120,0))="","Not set",INDEX('Chain Program'!$M$6:$M$120,MATCH($C207,'Chain Program'!$A$6:$A$120,0))),"Not set"))))</f>
        <v/>
      </c>
      <c r="I207" s="61" t="n"/>
      <c r="J207" s="45">
        <f>IF($I207="","",IF(NOT(ISNUMBER($H207)),"No plan price",IF(ABS($I207-$H207)&lt;0.005,"Match",IF($I207&gt;$H207,"Over plan","Under plan"))))</f>
        <v/>
      </c>
      <c r="K207" s="60" t="n"/>
      <c r="L207" s="60" t="n"/>
      <c r="M207" s="60" t="n"/>
      <c r="N207" s="60" t="n"/>
      <c r="O207" s="60" t="n"/>
      <c r="P207" s="62" t="n"/>
      <c r="Q207" s="62" t="n"/>
      <c r="R207" s="60" t="n"/>
      <c r="S207" s="59" t="n"/>
      <c r="T207" s="60" t="n"/>
      <c r="U207" s="59" t="n"/>
      <c r="V207" s="45">
        <f>IF(OR($A207="",$T207="",$T207="No Issue"),"",IF($T207="Resolved",IF($U207="","",$U207-$A207),TODAY()-$A207))</f>
        <v/>
      </c>
      <c r="W207" s="47">
        <f>IF(AND($C207&lt;&gt;"",$C207='Store History'!$C$4,OR('Store History'!$C$5="",$F207='Store History'!$C$5)),1,0)</f>
        <v/>
      </c>
      <c r="X207" s="47">
        <f>IF($W207=1,SUM($W207:$W$1005),"")</f>
        <v/>
      </c>
    </row>
    <row r="208">
      <c r="A208" s="59" t="n"/>
      <c r="B208" s="60" t="n"/>
      <c r="C208" s="60" t="n"/>
      <c r="D208" s="45">
        <f>IF($C208="","",IFERROR(INDEX('Chain Program'!$B$6:$B$120,MATCH($C208,'Chain Program'!$A$6:$A$120,0)),"Unknown ID"))</f>
        <v/>
      </c>
      <c r="E208" s="45">
        <f>IF($C208="","",IFERROR(INDEX('Chain Program'!$D$6:$D$120,MATCH($C208,'Chain Program'!$A$6:$A$120,0)),"Unknown ID"))</f>
        <v/>
      </c>
      <c r="F208" s="60" t="n"/>
      <c r="G208" s="60" t="n"/>
      <c r="H208" s="56">
        <f>IF(OR($C208="",$A208=""),"",IF(COUNTIFS('Promo Calendar'!$A$6:$A$400,$C208,'Promo Calendar'!$D$6:$D$400,IF($G208="","All",$G208),'Promo Calendar'!$I$6:$I$400,"&lt;="&amp;$A208,'Promo Calendar'!$J$6:$J$400,"&gt;="&amp;$A208,'Promo Calendar'!$G$6:$G$400,"&gt;0")&gt;0,_xlfn.MINIFS('Promo Calendar'!$G$6:$G$400,'Promo Calendar'!$A$6:$A$400,$C208,'Promo Calendar'!$D$6:$D$400,IF($G208="","All",$G208),'Promo Calendar'!$I$6:$I$400,"&lt;="&amp;$A208,'Promo Calendar'!$J$6:$J$400,"&gt;="&amp;$A208,'Promo Calendar'!$G$6:$G$400,"&gt;0"),IF(COUNTIFS('Promo Calendar'!$A$6:$A$400,$C208,'Promo Calendar'!$D$6:$D$400,"All",'Promo Calendar'!$I$6:$I$400,"&lt;="&amp;$A208,'Promo Calendar'!$J$6:$J$400,"&gt;="&amp;$A208,'Promo Calendar'!$G$6:$G$400,"&gt;0")&gt;0,_xlfn.MINIFS('Promo Calendar'!$G$6:$G$400,'Promo Calendar'!$A$6:$A$400,$C208,'Promo Calendar'!$D$6:$D$400,"All",'Promo Calendar'!$I$6:$I$400,"&lt;="&amp;$A208,'Promo Calendar'!$J$6:$J$400,"&gt;="&amp;$A208,'Promo Calendar'!$G$6:$G$400,"&gt;0"),IFERROR(IF(INDEX('Chain Program'!$M$6:$M$120,MATCH($C208,'Chain Program'!$A$6:$A$120,0))="","Not set",INDEX('Chain Program'!$M$6:$M$120,MATCH($C208,'Chain Program'!$A$6:$A$120,0))),"Not set"))))</f>
        <v/>
      </c>
      <c r="I208" s="61" t="n"/>
      <c r="J208" s="45">
        <f>IF($I208="","",IF(NOT(ISNUMBER($H208)),"No plan price",IF(ABS($I208-$H208)&lt;0.005,"Match",IF($I208&gt;$H208,"Over plan","Under plan"))))</f>
        <v/>
      </c>
      <c r="K208" s="60" t="n"/>
      <c r="L208" s="60" t="n"/>
      <c r="M208" s="60" t="n"/>
      <c r="N208" s="60" t="n"/>
      <c r="O208" s="60" t="n"/>
      <c r="P208" s="62" t="n"/>
      <c r="Q208" s="62" t="n"/>
      <c r="R208" s="60" t="n"/>
      <c r="S208" s="59" t="n"/>
      <c r="T208" s="60" t="n"/>
      <c r="U208" s="59" t="n"/>
      <c r="V208" s="45">
        <f>IF(OR($A208="",$T208="",$T208="No Issue"),"",IF($T208="Resolved",IF($U208="","",$U208-$A208),TODAY()-$A208))</f>
        <v/>
      </c>
      <c r="W208" s="47">
        <f>IF(AND($C208&lt;&gt;"",$C208='Store History'!$C$4,OR('Store History'!$C$5="",$F208='Store History'!$C$5)),1,0)</f>
        <v/>
      </c>
      <c r="X208" s="47">
        <f>IF($W208=1,SUM($W208:$W$1005),"")</f>
        <v/>
      </c>
    </row>
    <row r="209">
      <c r="A209" s="59" t="n"/>
      <c r="B209" s="60" t="n"/>
      <c r="C209" s="60" t="n"/>
      <c r="D209" s="45">
        <f>IF($C209="","",IFERROR(INDEX('Chain Program'!$B$6:$B$120,MATCH($C209,'Chain Program'!$A$6:$A$120,0)),"Unknown ID"))</f>
        <v/>
      </c>
      <c r="E209" s="45">
        <f>IF($C209="","",IFERROR(INDEX('Chain Program'!$D$6:$D$120,MATCH($C209,'Chain Program'!$A$6:$A$120,0)),"Unknown ID"))</f>
        <v/>
      </c>
      <c r="F209" s="60" t="n"/>
      <c r="G209" s="60" t="n"/>
      <c r="H209" s="56">
        <f>IF(OR($C209="",$A209=""),"",IF(COUNTIFS('Promo Calendar'!$A$6:$A$400,$C209,'Promo Calendar'!$D$6:$D$400,IF($G209="","All",$G209),'Promo Calendar'!$I$6:$I$400,"&lt;="&amp;$A209,'Promo Calendar'!$J$6:$J$400,"&gt;="&amp;$A209,'Promo Calendar'!$G$6:$G$400,"&gt;0")&gt;0,_xlfn.MINIFS('Promo Calendar'!$G$6:$G$400,'Promo Calendar'!$A$6:$A$400,$C209,'Promo Calendar'!$D$6:$D$400,IF($G209="","All",$G209),'Promo Calendar'!$I$6:$I$400,"&lt;="&amp;$A209,'Promo Calendar'!$J$6:$J$400,"&gt;="&amp;$A209,'Promo Calendar'!$G$6:$G$400,"&gt;0"),IF(COUNTIFS('Promo Calendar'!$A$6:$A$400,$C209,'Promo Calendar'!$D$6:$D$400,"All",'Promo Calendar'!$I$6:$I$400,"&lt;="&amp;$A209,'Promo Calendar'!$J$6:$J$400,"&gt;="&amp;$A209,'Promo Calendar'!$G$6:$G$400,"&gt;0")&gt;0,_xlfn.MINIFS('Promo Calendar'!$G$6:$G$400,'Promo Calendar'!$A$6:$A$400,$C209,'Promo Calendar'!$D$6:$D$400,"All",'Promo Calendar'!$I$6:$I$400,"&lt;="&amp;$A209,'Promo Calendar'!$J$6:$J$400,"&gt;="&amp;$A209,'Promo Calendar'!$G$6:$G$400,"&gt;0"),IFERROR(IF(INDEX('Chain Program'!$M$6:$M$120,MATCH($C209,'Chain Program'!$A$6:$A$120,0))="","Not set",INDEX('Chain Program'!$M$6:$M$120,MATCH($C209,'Chain Program'!$A$6:$A$120,0))),"Not set"))))</f>
        <v/>
      </c>
      <c r="I209" s="61" t="n"/>
      <c r="J209" s="45">
        <f>IF($I209="","",IF(NOT(ISNUMBER($H209)),"No plan price",IF(ABS($I209-$H209)&lt;0.005,"Match",IF($I209&gt;$H209,"Over plan","Under plan"))))</f>
        <v/>
      </c>
      <c r="K209" s="60" t="n"/>
      <c r="L209" s="60" t="n"/>
      <c r="M209" s="60" t="n"/>
      <c r="N209" s="60" t="n"/>
      <c r="O209" s="60" t="n"/>
      <c r="P209" s="62" t="n"/>
      <c r="Q209" s="62" t="n"/>
      <c r="R209" s="60" t="n"/>
      <c r="S209" s="59" t="n"/>
      <c r="T209" s="60" t="n"/>
      <c r="U209" s="59" t="n"/>
      <c r="V209" s="45">
        <f>IF(OR($A209="",$T209="",$T209="No Issue"),"",IF($T209="Resolved",IF($U209="","",$U209-$A209),TODAY()-$A209))</f>
        <v/>
      </c>
      <c r="W209" s="47">
        <f>IF(AND($C209&lt;&gt;"",$C209='Store History'!$C$4,OR('Store History'!$C$5="",$F209='Store History'!$C$5)),1,0)</f>
        <v/>
      </c>
      <c r="X209" s="47">
        <f>IF($W209=1,SUM($W209:$W$1005),"")</f>
        <v/>
      </c>
    </row>
    <row r="210">
      <c r="A210" s="59" t="n"/>
      <c r="B210" s="60" t="n"/>
      <c r="C210" s="60" t="n"/>
      <c r="D210" s="45">
        <f>IF($C210="","",IFERROR(INDEX('Chain Program'!$B$6:$B$120,MATCH($C210,'Chain Program'!$A$6:$A$120,0)),"Unknown ID"))</f>
        <v/>
      </c>
      <c r="E210" s="45">
        <f>IF($C210="","",IFERROR(INDEX('Chain Program'!$D$6:$D$120,MATCH($C210,'Chain Program'!$A$6:$A$120,0)),"Unknown ID"))</f>
        <v/>
      </c>
      <c r="F210" s="60" t="n"/>
      <c r="G210" s="60" t="n"/>
      <c r="H210" s="56">
        <f>IF(OR($C210="",$A210=""),"",IF(COUNTIFS('Promo Calendar'!$A$6:$A$400,$C210,'Promo Calendar'!$D$6:$D$400,IF($G210="","All",$G210),'Promo Calendar'!$I$6:$I$400,"&lt;="&amp;$A210,'Promo Calendar'!$J$6:$J$400,"&gt;="&amp;$A210,'Promo Calendar'!$G$6:$G$400,"&gt;0")&gt;0,_xlfn.MINIFS('Promo Calendar'!$G$6:$G$400,'Promo Calendar'!$A$6:$A$400,$C210,'Promo Calendar'!$D$6:$D$400,IF($G210="","All",$G210),'Promo Calendar'!$I$6:$I$400,"&lt;="&amp;$A210,'Promo Calendar'!$J$6:$J$400,"&gt;="&amp;$A210,'Promo Calendar'!$G$6:$G$400,"&gt;0"),IF(COUNTIFS('Promo Calendar'!$A$6:$A$400,$C210,'Promo Calendar'!$D$6:$D$400,"All",'Promo Calendar'!$I$6:$I$400,"&lt;="&amp;$A210,'Promo Calendar'!$J$6:$J$400,"&gt;="&amp;$A210,'Promo Calendar'!$G$6:$G$400,"&gt;0")&gt;0,_xlfn.MINIFS('Promo Calendar'!$G$6:$G$400,'Promo Calendar'!$A$6:$A$400,$C210,'Promo Calendar'!$D$6:$D$400,"All",'Promo Calendar'!$I$6:$I$400,"&lt;="&amp;$A210,'Promo Calendar'!$J$6:$J$400,"&gt;="&amp;$A210,'Promo Calendar'!$G$6:$G$400,"&gt;0"),IFERROR(IF(INDEX('Chain Program'!$M$6:$M$120,MATCH($C210,'Chain Program'!$A$6:$A$120,0))="","Not set",INDEX('Chain Program'!$M$6:$M$120,MATCH($C210,'Chain Program'!$A$6:$A$120,0))),"Not set"))))</f>
        <v/>
      </c>
      <c r="I210" s="61" t="n"/>
      <c r="J210" s="45">
        <f>IF($I210="","",IF(NOT(ISNUMBER($H210)),"No plan price",IF(ABS($I210-$H210)&lt;0.005,"Match",IF($I210&gt;$H210,"Over plan","Under plan"))))</f>
        <v/>
      </c>
      <c r="K210" s="60" t="n"/>
      <c r="L210" s="60" t="n"/>
      <c r="M210" s="60" t="n"/>
      <c r="N210" s="60" t="n"/>
      <c r="O210" s="60" t="n"/>
      <c r="P210" s="62" t="n"/>
      <c r="Q210" s="62" t="n"/>
      <c r="R210" s="60" t="n"/>
      <c r="S210" s="59" t="n"/>
      <c r="T210" s="60" t="n"/>
      <c r="U210" s="59" t="n"/>
      <c r="V210" s="45">
        <f>IF(OR($A210="",$T210="",$T210="No Issue"),"",IF($T210="Resolved",IF($U210="","",$U210-$A210),TODAY()-$A210))</f>
        <v/>
      </c>
      <c r="W210" s="47">
        <f>IF(AND($C210&lt;&gt;"",$C210='Store History'!$C$4,OR('Store History'!$C$5="",$F210='Store History'!$C$5)),1,0)</f>
        <v/>
      </c>
      <c r="X210" s="47">
        <f>IF($W210=1,SUM($W210:$W$1005),"")</f>
        <v/>
      </c>
    </row>
    <row r="211">
      <c r="A211" s="59" t="n"/>
      <c r="B211" s="60" t="n"/>
      <c r="C211" s="60" t="n"/>
      <c r="D211" s="45">
        <f>IF($C211="","",IFERROR(INDEX('Chain Program'!$B$6:$B$120,MATCH($C211,'Chain Program'!$A$6:$A$120,0)),"Unknown ID"))</f>
        <v/>
      </c>
      <c r="E211" s="45">
        <f>IF($C211="","",IFERROR(INDEX('Chain Program'!$D$6:$D$120,MATCH($C211,'Chain Program'!$A$6:$A$120,0)),"Unknown ID"))</f>
        <v/>
      </c>
      <c r="F211" s="60" t="n"/>
      <c r="G211" s="60" t="n"/>
      <c r="H211" s="56">
        <f>IF(OR($C211="",$A211=""),"",IF(COUNTIFS('Promo Calendar'!$A$6:$A$400,$C211,'Promo Calendar'!$D$6:$D$400,IF($G211="","All",$G211),'Promo Calendar'!$I$6:$I$400,"&lt;="&amp;$A211,'Promo Calendar'!$J$6:$J$400,"&gt;="&amp;$A211,'Promo Calendar'!$G$6:$G$400,"&gt;0")&gt;0,_xlfn.MINIFS('Promo Calendar'!$G$6:$G$400,'Promo Calendar'!$A$6:$A$400,$C211,'Promo Calendar'!$D$6:$D$400,IF($G211="","All",$G211),'Promo Calendar'!$I$6:$I$400,"&lt;="&amp;$A211,'Promo Calendar'!$J$6:$J$400,"&gt;="&amp;$A211,'Promo Calendar'!$G$6:$G$400,"&gt;0"),IF(COUNTIFS('Promo Calendar'!$A$6:$A$400,$C211,'Promo Calendar'!$D$6:$D$400,"All",'Promo Calendar'!$I$6:$I$400,"&lt;="&amp;$A211,'Promo Calendar'!$J$6:$J$400,"&gt;="&amp;$A211,'Promo Calendar'!$G$6:$G$400,"&gt;0")&gt;0,_xlfn.MINIFS('Promo Calendar'!$G$6:$G$400,'Promo Calendar'!$A$6:$A$400,$C211,'Promo Calendar'!$D$6:$D$400,"All",'Promo Calendar'!$I$6:$I$400,"&lt;="&amp;$A211,'Promo Calendar'!$J$6:$J$400,"&gt;="&amp;$A211,'Promo Calendar'!$G$6:$G$400,"&gt;0"),IFERROR(IF(INDEX('Chain Program'!$M$6:$M$120,MATCH($C211,'Chain Program'!$A$6:$A$120,0))="","Not set",INDEX('Chain Program'!$M$6:$M$120,MATCH($C211,'Chain Program'!$A$6:$A$120,0))),"Not set"))))</f>
        <v/>
      </c>
      <c r="I211" s="61" t="n"/>
      <c r="J211" s="45">
        <f>IF($I211="","",IF(NOT(ISNUMBER($H211)),"No plan price",IF(ABS($I211-$H211)&lt;0.005,"Match",IF($I211&gt;$H211,"Over plan","Under plan"))))</f>
        <v/>
      </c>
      <c r="K211" s="60" t="n"/>
      <c r="L211" s="60" t="n"/>
      <c r="M211" s="60" t="n"/>
      <c r="N211" s="60" t="n"/>
      <c r="O211" s="60" t="n"/>
      <c r="P211" s="62" t="n"/>
      <c r="Q211" s="62" t="n"/>
      <c r="R211" s="60" t="n"/>
      <c r="S211" s="59" t="n"/>
      <c r="T211" s="60" t="n"/>
      <c r="U211" s="59" t="n"/>
      <c r="V211" s="45">
        <f>IF(OR($A211="",$T211="",$T211="No Issue"),"",IF($T211="Resolved",IF($U211="","",$U211-$A211),TODAY()-$A211))</f>
        <v/>
      </c>
      <c r="W211" s="47">
        <f>IF(AND($C211&lt;&gt;"",$C211='Store History'!$C$4,OR('Store History'!$C$5="",$F211='Store History'!$C$5)),1,0)</f>
        <v/>
      </c>
      <c r="X211" s="47">
        <f>IF($W211=1,SUM($W211:$W$1005),"")</f>
        <v/>
      </c>
    </row>
    <row r="212">
      <c r="A212" s="59" t="n"/>
      <c r="B212" s="60" t="n"/>
      <c r="C212" s="60" t="n"/>
      <c r="D212" s="45">
        <f>IF($C212="","",IFERROR(INDEX('Chain Program'!$B$6:$B$120,MATCH($C212,'Chain Program'!$A$6:$A$120,0)),"Unknown ID"))</f>
        <v/>
      </c>
      <c r="E212" s="45">
        <f>IF($C212="","",IFERROR(INDEX('Chain Program'!$D$6:$D$120,MATCH($C212,'Chain Program'!$A$6:$A$120,0)),"Unknown ID"))</f>
        <v/>
      </c>
      <c r="F212" s="60" t="n"/>
      <c r="G212" s="60" t="n"/>
      <c r="H212" s="56">
        <f>IF(OR($C212="",$A212=""),"",IF(COUNTIFS('Promo Calendar'!$A$6:$A$400,$C212,'Promo Calendar'!$D$6:$D$400,IF($G212="","All",$G212),'Promo Calendar'!$I$6:$I$400,"&lt;="&amp;$A212,'Promo Calendar'!$J$6:$J$400,"&gt;="&amp;$A212,'Promo Calendar'!$G$6:$G$400,"&gt;0")&gt;0,_xlfn.MINIFS('Promo Calendar'!$G$6:$G$400,'Promo Calendar'!$A$6:$A$400,$C212,'Promo Calendar'!$D$6:$D$400,IF($G212="","All",$G212),'Promo Calendar'!$I$6:$I$400,"&lt;="&amp;$A212,'Promo Calendar'!$J$6:$J$400,"&gt;="&amp;$A212,'Promo Calendar'!$G$6:$G$400,"&gt;0"),IF(COUNTIFS('Promo Calendar'!$A$6:$A$400,$C212,'Promo Calendar'!$D$6:$D$400,"All",'Promo Calendar'!$I$6:$I$400,"&lt;="&amp;$A212,'Promo Calendar'!$J$6:$J$400,"&gt;="&amp;$A212,'Promo Calendar'!$G$6:$G$400,"&gt;0")&gt;0,_xlfn.MINIFS('Promo Calendar'!$G$6:$G$400,'Promo Calendar'!$A$6:$A$400,$C212,'Promo Calendar'!$D$6:$D$400,"All",'Promo Calendar'!$I$6:$I$400,"&lt;="&amp;$A212,'Promo Calendar'!$J$6:$J$400,"&gt;="&amp;$A212,'Promo Calendar'!$G$6:$G$400,"&gt;0"),IFERROR(IF(INDEX('Chain Program'!$M$6:$M$120,MATCH($C212,'Chain Program'!$A$6:$A$120,0))="","Not set",INDEX('Chain Program'!$M$6:$M$120,MATCH($C212,'Chain Program'!$A$6:$A$120,0))),"Not set"))))</f>
        <v/>
      </c>
      <c r="I212" s="61" t="n"/>
      <c r="J212" s="45">
        <f>IF($I212="","",IF(NOT(ISNUMBER($H212)),"No plan price",IF(ABS($I212-$H212)&lt;0.005,"Match",IF($I212&gt;$H212,"Over plan","Under plan"))))</f>
        <v/>
      </c>
      <c r="K212" s="60" t="n"/>
      <c r="L212" s="60" t="n"/>
      <c r="M212" s="60" t="n"/>
      <c r="N212" s="60" t="n"/>
      <c r="O212" s="60" t="n"/>
      <c r="P212" s="62" t="n"/>
      <c r="Q212" s="62" t="n"/>
      <c r="R212" s="60" t="n"/>
      <c r="S212" s="59" t="n"/>
      <c r="T212" s="60" t="n"/>
      <c r="U212" s="59" t="n"/>
      <c r="V212" s="45">
        <f>IF(OR($A212="",$T212="",$T212="No Issue"),"",IF($T212="Resolved",IF($U212="","",$U212-$A212),TODAY()-$A212))</f>
        <v/>
      </c>
      <c r="W212" s="47">
        <f>IF(AND($C212&lt;&gt;"",$C212='Store History'!$C$4,OR('Store History'!$C$5="",$F212='Store History'!$C$5)),1,0)</f>
        <v/>
      </c>
      <c r="X212" s="47">
        <f>IF($W212=1,SUM($W212:$W$1005),"")</f>
        <v/>
      </c>
    </row>
    <row r="213">
      <c r="A213" s="59" t="n"/>
      <c r="B213" s="60" t="n"/>
      <c r="C213" s="60" t="n"/>
      <c r="D213" s="45">
        <f>IF($C213="","",IFERROR(INDEX('Chain Program'!$B$6:$B$120,MATCH($C213,'Chain Program'!$A$6:$A$120,0)),"Unknown ID"))</f>
        <v/>
      </c>
      <c r="E213" s="45">
        <f>IF($C213="","",IFERROR(INDEX('Chain Program'!$D$6:$D$120,MATCH($C213,'Chain Program'!$A$6:$A$120,0)),"Unknown ID"))</f>
        <v/>
      </c>
      <c r="F213" s="60" t="n"/>
      <c r="G213" s="60" t="n"/>
      <c r="H213" s="56">
        <f>IF(OR($C213="",$A213=""),"",IF(COUNTIFS('Promo Calendar'!$A$6:$A$400,$C213,'Promo Calendar'!$D$6:$D$400,IF($G213="","All",$G213),'Promo Calendar'!$I$6:$I$400,"&lt;="&amp;$A213,'Promo Calendar'!$J$6:$J$400,"&gt;="&amp;$A213,'Promo Calendar'!$G$6:$G$400,"&gt;0")&gt;0,_xlfn.MINIFS('Promo Calendar'!$G$6:$G$400,'Promo Calendar'!$A$6:$A$400,$C213,'Promo Calendar'!$D$6:$D$400,IF($G213="","All",$G213),'Promo Calendar'!$I$6:$I$400,"&lt;="&amp;$A213,'Promo Calendar'!$J$6:$J$400,"&gt;="&amp;$A213,'Promo Calendar'!$G$6:$G$400,"&gt;0"),IF(COUNTIFS('Promo Calendar'!$A$6:$A$400,$C213,'Promo Calendar'!$D$6:$D$400,"All",'Promo Calendar'!$I$6:$I$400,"&lt;="&amp;$A213,'Promo Calendar'!$J$6:$J$400,"&gt;="&amp;$A213,'Promo Calendar'!$G$6:$G$400,"&gt;0")&gt;0,_xlfn.MINIFS('Promo Calendar'!$G$6:$G$400,'Promo Calendar'!$A$6:$A$400,$C213,'Promo Calendar'!$D$6:$D$400,"All",'Promo Calendar'!$I$6:$I$400,"&lt;="&amp;$A213,'Promo Calendar'!$J$6:$J$400,"&gt;="&amp;$A213,'Promo Calendar'!$G$6:$G$400,"&gt;0"),IFERROR(IF(INDEX('Chain Program'!$M$6:$M$120,MATCH($C213,'Chain Program'!$A$6:$A$120,0))="","Not set",INDEX('Chain Program'!$M$6:$M$120,MATCH($C213,'Chain Program'!$A$6:$A$120,0))),"Not set"))))</f>
        <v/>
      </c>
      <c r="I213" s="61" t="n"/>
      <c r="J213" s="45">
        <f>IF($I213="","",IF(NOT(ISNUMBER($H213)),"No plan price",IF(ABS($I213-$H213)&lt;0.005,"Match",IF($I213&gt;$H213,"Over plan","Under plan"))))</f>
        <v/>
      </c>
      <c r="K213" s="60" t="n"/>
      <c r="L213" s="60" t="n"/>
      <c r="M213" s="60" t="n"/>
      <c r="N213" s="60" t="n"/>
      <c r="O213" s="60" t="n"/>
      <c r="P213" s="62" t="n"/>
      <c r="Q213" s="62" t="n"/>
      <c r="R213" s="60" t="n"/>
      <c r="S213" s="59" t="n"/>
      <c r="T213" s="60" t="n"/>
      <c r="U213" s="59" t="n"/>
      <c r="V213" s="45">
        <f>IF(OR($A213="",$T213="",$T213="No Issue"),"",IF($T213="Resolved",IF($U213="","",$U213-$A213),TODAY()-$A213))</f>
        <v/>
      </c>
      <c r="W213" s="47">
        <f>IF(AND($C213&lt;&gt;"",$C213='Store History'!$C$4,OR('Store History'!$C$5="",$F213='Store History'!$C$5)),1,0)</f>
        <v/>
      </c>
      <c r="X213" s="47">
        <f>IF($W213=1,SUM($W213:$W$1005),"")</f>
        <v/>
      </c>
    </row>
    <row r="214">
      <c r="A214" s="59" t="n"/>
      <c r="B214" s="60" t="n"/>
      <c r="C214" s="60" t="n"/>
      <c r="D214" s="45">
        <f>IF($C214="","",IFERROR(INDEX('Chain Program'!$B$6:$B$120,MATCH($C214,'Chain Program'!$A$6:$A$120,0)),"Unknown ID"))</f>
        <v/>
      </c>
      <c r="E214" s="45">
        <f>IF($C214="","",IFERROR(INDEX('Chain Program'!$D$6:$D$120,MATCH($C214,'Chain Program'!$A$6:$A$120,0)),"Unknown ID"))</f>
        <v/>
      </c>
      <c r="F214" s="60" t="n"/>
      <c r="G214" s="60" t="n"/>
      <c r="H214" s="56">
        <f>IF(OR($C214="",$A214=""),"",IF(COUNTIFS('Promo Calendar'!$A$6:$A$400,$C214,'Promo Calendar'!$D$6:$D$400,IF($G214="","All",$G214),'Promo Calendar'!$I$6:$I$400,"&lt;="&amp;$A214,'Promo Calendar'!$J$6:$J$400,"&gt;="&amp;$A214,'Promo Calendar'!$G$6:$G$400,"&gt;0")&gt;0,_xlfn.MINIFS('Promo Calendar'!$G$6:$G$400,'Promo Calendar'!$A$6:$A$400,$C214,'Promo Calendar'!$D$6:$D$400,IF($G214="","All",$G214),'Promo Calendar'!$I$6:$I$400,"&lt;="&amp;$A214,'Promo Calendar'!$J$6:$J$400,"&gt;="&amp;$A214,'Promo Calendar'!$G$6:$G$400,"&gt;0"),IF(COUNTIFS('Promo Calendar'!$A$6:$A$400,$C214,'Promo Calendar'!$D$6:$D$400,"All",'Promo Calendar'!$I$6:$I$400,"&lt;="&amp;$A214,'Promo Calendar'!$J$6:$J$400,"&gt;="&amp;$A214,'Promo Calendar'!$G$6:$G$400,"&gt;0")&gt;0,_xlfn.MINIFS('Promo Calendar'!$G$6:$G$400,'Promo Calendar'!$A$6:$A$400,$C214,'Promo Calendar'!$D$6:$D$400,"All",'Promo Calendar'!$I$6:$I$400,"&lt;="&amp;$A214,'Promo Calendar'!$J$6:$J$400,"&gt;="&amp;$A214,'Promo Calendar'!$G$6:$G$400,"&gt;0"),IFERROR(IF(INDEX('Chain Program'!$M$6:$M$120,MATCH($C214,'Chain Program'!$A$6:$A$120,0))="","Not set",INDEX('Chain Program'!$M$6:$M$120,MATCH($C214,'Chain Program'!$A$6:$A$120,0))),"Not set"))))</f>
        <v/>
      </c>
      <c r="I214" s="61" t="n"/>
      <c r="J214" s="45">
        <f>IF($I214="","",IF(NOT(ISNUMBER($H214)),"No plan price",IF(ABS($I214-$H214)&lt;0.005,"Match",IF($I214&gt;$H214,"Over plan","Under plan"))))</f>
        <v/>
      </c>
      <c r="K214" s="60" t="n"/>
      <c r="L214" s="60" t="n"/>
      <c r="M214" s="60" t="n"/>
      <c r="N214" s="60" t="n"/>
      <c r="O214" s="60" t="n"/>
      <c r="P214" s="62" t="n"/>
      <c r="Q214" s="62" t="n"/>
      <c r="R214" s="60" t="n"/>
      <c r="S214" s="59" t="n"/>
      <c r="T214" s="60" t="n"/>
      <c r="U214" s="59" t="n"/>
      <c r="V214" s="45">
        <f>IF(OR($A214="",$T214="",$T214="No Issue"),"",IF($T214="Resolved",IF($U214="","",$U214-$A214),TODAY()-$A214))</f>
        <v/>
      </c>
      <c r="W214" s="47">
        <f>IF(AND($C214&lt;&gt;"",$C214='Store History'!$C$4,OR('Store History'!$C$5="",$F214='Store History'!$C$5)),1,0)</f>
        <v/>
      </c>
      <c r="X214" s="47">
        <f>IF($W214=1,SUM($W214:$W$1005),"")</f>
        <v/>
      </c>
    </row>
    <row r="215">
      <c r="A215" s="59" t="n"/>
      <c r="B215" s="60" t="n"/>
      <c r="C215" s="60" t="n"/>
      <c r="D215" s="45">
        <f>IF($C215="","",IFERROR(INDEX('Chain Program'!$B$6:$B$120,MATCH($C215,'Chain Program'!$A$6:$A$120,0)),"Unknown ID"))</f>
        <v/>
      </c>
      <c r="E215" s="45">
        <f>IF($C215="","",IFERROR(INDEX('Chain Program'!$D$6:$D$120,MATCH($C215,'Chain Program'!$A$6:$A$120,0)),"Unknown ID"))</f>
        <v/>
      </c>
      <c r="F215" s="60" t="n"/>
      <c r="G215" s="60" t="n"/>
      <c r="H215" s="56">
        <f>IF(OR($C215="",$A215=""),"",IF(COUNTIFS('Promo Calendar'!$A$6:$A$400,$C215,'Promo Calendar'!$D$6:$D$400,IF($G215="","All",$G215),'Promo Calendar'!$I$6:$I$400,"&lt;="&amp;$A215,'Promo Calendar'!$J$6:$J$400,"&gt;="&amp;$A215,'Promo Calendar'!$G$6:$G$400,"&gt;0")&gt;0,_xlfn.MINIFS('Promo Calendar'!$G$6:$G$400,'Promo Calendar'!$A$6:$A$400,$C215,'Promo Calendar'!$D$6:$D$400,IF($G215="","All",$G215),'Promo Calendar'!$I$6:$I$400,"&lt;="&amp;$A215,'Promo Calendar'!$J$6:$J$400,"&gt;="&amp;$A215,'Promo Calendar'!$G$6:$G$400,"&gt;0"),IF(COUNTIFS('Promo Calendar'!$A$6:$A$400,$C215,'Promo Calendar'!$D$6:$D$400,"All",'Promo Calendar'!$I$6:$I$400,"&lt;="&amp;$A215,'Promo Calendar'!$J$6:$J$400,"&gt;="&amp;$A215,'Promo Calendar'!$G$6:$G$400,"&gt;0")&gt;0,_xlfn.MINIFS('Promo Calendar'!$G$6:$G$400,'Promo Calendar'!$A$6:$A$400,$C215,'Promo Calendar'!$D$6:$D$400,"All",'Promo Calendar'!$I$6:$I$400,"&lt;="&amp;$A215,'Promo Calendar'!$J$6:$J$400,"&gt;="&amp;$A215,'Promo Calendar'!$G$6:$G$400,"&gt;0"),IFERROR(IF(INDEX('Chain Program'!$M$6:$M$120,MATCH($C215,'Chain Program'!$A$6:$A$120,0))="","Not set",INDEX('Chain Program'!$M$6:$M$120,MATCH($C215,'Chain Program'!$A$6:$A$120,0))),"Not set"))))</f>
        <v/>
      </c>
      <c r="I215" s="61" t="n"/>
      <c r="J215" s="45">
        <f>IF($I215="","",IF(NOT(ISNUMBER($H215)),"No plan price",IF(ABS($I215-$H215)&lt;0.005,"Match",IF($I215&gt;$H215,"Over plan","Under plan"))))</f>
        <v/>
      </c>
      <c r="K215" s="60" t="n"/>
      <c r="L215" s="60" t="n"/>
      <c r="M215" s="60" t="n"/>
      <c r="N215" s="60" t="n"/>
      <c r="O215" s="60" t="n"/>
      <c r="P215" s="62" t="n"/>
      <c r="Q215" s="62" t="n"/>
      <c r="R215" s="60" t="n"/>
      <c r="S215" s="59" t="n"/>
      <c r="T215" s="60" t="n"/>
      <c r="U215" s="59" t="n"/>
      <c r="V215" s="45">
        <f>IF(OR($A215="",$T215="",$T215="No Issue"),"",IF($T215="Resolved",IF($U215="","",$U215-$A215),TODAY()-$A215))</f>
        <v/>
      </c>
      <c r="W215" s="47">
        <f>IF(AND($C215&lt;&gt;"",$C215='Store History'!$C$4,OR('Store History'!$C$5="",$F215='Store History'!$C$5)),1,0)</f>
        <v/>
      </c>
      <c r="X215" s="47">
        <f>IF($W215=1,SUM($W215:$W$1005),"")</f>
        <v/>
      </c>
    </row>
    <row r="216">
      <c r="A216" s="59" t="n"/>
      <c r="B216" s="60" t="n"/>
      <c r="C216" s="60" t="n"/>
      <c r="D216" s="45">
        <f>IF($C216="","",IFERROR(INDEX('Chain Program'!$B$6:$B$120,MATCH($C216,'Chain Program'!$A$6:$A$120,0)),"Unknown ID"))</f>
        <v/>
      </c>
      <c r="E216" s="45">
        <f>IF($C216="","",IFERROR(INDEX('Chain Program'!$D$6:$D$120,MATCH($C216,'Chain Program'!$A$6:$A$120,0)),"Unknown ID"))</f>
        <v/>
      </c>
      <c r="F216" s="60" t="n"/>
      <c r="G216" s="60" t="n"/>
      <c r="H216" s="56">
        <f>IF(OR($C216="",$A216=""),"",IF(COUNTIFS('Promo Calendar'!$A$6:$A$400,$C216,'Promo Calendar'!$D$6:$D$400,IF($G216="","All",$G216),'Promo Calendar'!$I$6:$I$400,"&lt;="&amp;$A216,'Promo Calendar'!$J$6:$J$400,"&gt;="&amp;$A216,'Promo Calendar'!$G$6:$G$400,"&gt;0")&gt;0,_xlfn.MINIFS('Promo Calendar'!$G$6:$G$400,'Promo Calendar'!$A$6:$A$400,$C216,'Promo Calendar'!$D$6:$D$400,IF($G216="","All",$G216),'Promo Calendar'!$I$6:$I$400,"&lt;="&amp;$A216,'Promo Calendar'!$J$6:$J$400,"&gt;="&amp;$A216,'Promo Calendar'!$G$6:$G$400,"&gt;0"),IF(COUNTIFS('Promo Calendar'!$A$6:$A$400,$C216,'Promo Calendar'!$D$6:$D$400,"All",'Promo Calendar'!$I$6:$I$400,"&lt;="&amp;$A216,'Promo Calendar'!$J$6:$J$400,"&gt;="&amp;$A216,'Promo Calendar'!$G$6:$G$400,"&gt;0")&gt;0,_xlfn.MINIFS('Promo Calendar'!$G$6:$G$400,'Promo Calendar'!$A$6:$A$400,$C216,'Promo Calendar'!$D$6:$D$400,"All",'Promo Calendar'!$I$6:$I$400,"&lt;="&amp;$A216,'Promo Calendar'!$J$6:$J$400,"&gt;="&amp;$A216,'Promo Calendar'!$G$6:$G$400,"&gt;0"),IFERROR(IF(INDEX('Chain Program'!$M$6:$M$120,MATCH($C216,'Chain Program'!$A$6:$A$120,0))="","Not set",INDEX('Chain Program'!$M$6:$M$120,MATCH($C216,'Chain Program'!$A$6:$A$120,0))),"Not set"))))</f>
        <v/>
      </c>
      <c r="I216" s="61" t="n"/>
      <c r="J216" s="45">
        <f>IF($I216="","",IF(NOT(ISNUMBER($H216)),"No plan price",IF(ABS($I216-$H216)&lt;0.005,"Match",IF($I216&gt;$H216,"Over plan","Under plan"))))</f>
        <v/>
      </c>
      <c r="K216" s="60" t="n"/>
      <c r="L216" s="60" t="n"/>
      <c r="M216" s="60" t="n"/>
      <c r="N216" s="60" t="n"/>
      <c r="O216" s="60" t="n"/>
      <c r="P216" s="62" t="n"/>
      <c r="Q216" s="62" t="n"/>
      <c r="R216" s="60" t="n"/>
      <c r="S216" s="59" t="n"/>
      <c r="T216" s="60" t="n"/>
      <c r="U216" s="59" t="n"/>
      <c r="V216" s="45">
        <f>IF(OR($A216="",$T216="",$T216="No Issue"),"",IF($T216="Resolved",IF($U216="","",$U216-$A216),TODAY()-$A216))</f>
        <v/>
      </c>
      <c r="W216" s="47">
        <f>IF(AND($C216&lt;&gt;"",$C216='Store History'!$C$4,OR('Store History'!$C$5="",$F216='Store History'!$C$5)),1,0)</f>
        <v/>
      </c>
      <c r="X216" s="47">
        <f>IF($W216=1,SUM($W216:$W$1005),"")</f>
        <v/>
      </c>
    </row>
    <row r="217">
      <c r="A217" s="59" t="n"/>
      <c r="B217" s="60" t="n"/>
      <c r="C217" s="60" t="n"/>
      <c r="D217" s="45">
        <f>IF($C217="","",IFERROR(INDEX('Chain Program'!$B$6:$B$120,MATCH($C217,'Chain Program'!$A$6:$A$120,0)),"Unknown ID"))</f>
        <v/>
      </c>
      <c r="E217" s="45">
        <f>IF($C217="","",IFERROR(INDEX('Chain Program'!$D$6:$D$120,MATCH($C217,'Chain Program'!$A$6:$A$120,0)),"Unknown ID"))</f>
        <v/>
      </c>
      <c r="F217" s="60" t="n"/>
      <c r="G217" s="60" t="n"/>
      <c r="H217" s="56">
        <f>IF(OR($C217="",$A217=""),"",IF(COUNTIFS('Promo Calendar'!$A$6:$A$400,$C217,'Promo Calendar'!$D$6:$D$400,IF($G217="","All",$G217),'Promo Calendar'!$I$6:$I$400,"&lt;="&amp;$A217,'Promo Calendar'!$J$6:$J$400,"&gt;="&amp;$A217,'Promo Calendar'!$G$6:$G$400,"&gt;0")&gt;0,_xlfn.MINIFS('Promo Calendar'!$G$6:$G$400,'Promo Calendar'!$A$6:$A$400,$C217,'Promo Calendar'!$D$6:$D$400,IF($G217="","All",$G217),'Promo Calendar'!$I$6:$I$400,"&lt;="&amp;$A217,'Promo Calendar'!$J$6:$J$400,"&gt;="&amp;$A217,'Promo Calendar'!$G$6:$G$400,"&gt;0"),IF(COUNTIFS('Promo Calendar'!$A$6:$A$400,$C217,'Promo Calendar'!$D$6:$D$400,"All",'Promo Calendar'!$I$6:$I$400,"&lt;="&amp;$A217,'Promo Calendar'!$J$6:$J$400,"&gt;="&amp;$A217,'Promo Calendar'!$G$6:$G$400,"&gt;0")&gt;0,_xlfn.MINIFS('Promo Calendar'!$G$6:$G$400,'Promo Calendar'!$A$6:$A$400,$C217,'Promo Calendar'!$D$6:$D$400,"All",'Promo Calendar'!$I$6:$I$400,"&lt;="&amp;$A217,'Promo Calendar'!$J$6:$J$400,"&gt;="&amp;$A217,'Promo Calendar'!$G$6:$G$400,"&gt;0"),IFERROR(IF(INDEX('Chain Program'!$M$6:$M$120,MATCH($C217,'Chain Program'!$A$6:$A$120,0))="","Not set",INDEX('Chain Program'!$M$6:$M$120,MATCH($C217,'Chain Program'!$A$6:$A$120,0))),"Not set"))))</f>
        <v/>
      </c>
      <c r="I217" s="61" t="n"/>
      <c r="J217" s="45">
        <f>IF($I217="","",IF(NOT(ISNUMBER($H217)),"No plan price",IF(ABS($I217-$H217)&lt;0.005,"Match",IF($I217&gt;$H217,"Over plan","Under plan"))))</f>
        <v/>
      </c>
      <c r="K217" s="60" t="n"/>
      <c r="L217" s="60" t="n"/>
      <c r="M217" s="60" t="n"/>
      <c r="N217" s="60" t="n"/>
      <c r="O217" s="60" t="n"/>
      <c r="P217" s="62" t="n"/>
      <c r="Q217" s="62" t="n"/>
      <c r="R217" s="60" t="n"/>
      <c r="S217" s="59" t="n"/>
      <c r="T217" s="60" t="n"/>
      <c r="U217" s="59" t="n"/>
      <c r="V217" s="45">
        <f>IF(OR($A217="",$T217="",$T217="No Issue"),"",IF($T217="Resolved",IF($U217="","",$U217-$A217),TODAY()-$A217))</f>
        <v/>
      </c>
      <c r="W217" s="47">
        <f>IF(AND($C217&lt;&gt;"",$C217='Store History'!$C$4,OR('Store History'!$C$5="",$F217='Store History'!$C$5)),1,0)</f>
        <v/>
      </c>
      <c r="X217" s="47">
        <f>IF($W217=1,SUM($W217:$W$1005),"")</f>
        <v/>
      </c>
    </row>
    <row r="218">
      <c r="A218" s="59" t="n"/>
      <c r="B218" s="60" t="n"/>
      <c r="C218" s="60" t="n"/>
      <c r="D218" s="45">
        <f>IF($C218="","",IFERROR(INDEX('Chain Program'!$B$6:$B$120,MATCH($C218,'Chain Program'!$A$6:$A$120,0)),"Unknown ID"))</f>
        <v/>
      </c>
      <c r="E218" s="45">
        <f>IF($C218="","",IFERROR(INDEX('Chain Program'!$D$6:$D$120,MATCH($C218,'Chain Program'!$A$6:$A$120,0)),"Unknown ID"))</f>
        <v/>
      </c>
      <c r="F218" s="60" t="n"/>
      <c r="G218" s="60" t="n"/>
      <c r="H218" s="56">
        <f>IF(OR($C218="",$A218=""),"",IF(COUNTIFS('Promo Calendar'!$A$6:$A$400,$C218,'Promo Calendar'!$D$6:$D$400,IF($G218="","All",$G218),'Promo Calendar'!$I$6:$I$400,"&lt;="&amp;$A218,'Promo Calendar'!$J$6:$J$400,"&gt;="&amp;$A218,'Promo Calendar'!$G$6:$G$400,"&gt;0")&gt;0,_xlfn.MINIFS('Promo Calendar'!$G$6:$G$400,'Promo Calendar'!$A$6:$A$400,$C218,'Promo Calendar'!$D$6:$D$400,IF($G218="","All",$G218),'Promo Calendar'!$I$6:$I$400,"&lt;="&amp;$A218,'Promo Calendar'!$J$6:$J$400,"&gt;="&amp;$A218,'Promo Calendar'!$G$6:$G$400,"&gt;0"),IF(COUNTIFS('Promo Calendar'!$A$6:$A$400,$C218,'Promo Calendar'!$D$6:$D$400,"All",'Promo Calendar'!$I$6:$I$400,"&lt;="&amp;$A218,'Promo Calendar'!$J$6:$J$400,"&gt;="&amp;$A218,'Promo Calendar'!$G$6:$G$400,"&gt;0")&gt;0,_xlfn.MINIFS('Promo Calendar'!$G$6:$G$400,'Promo Calendar'!$A$6:$A$400,$C218,'Promo Calendar'!$D$6:$D$400,"All",'Promo Calendar'!$I$6:$I$400,"&lt;="&amp;$A218,'Promo Calendar'!$J$6:$J$400,"&gt;="&amp;$A218,'Promo Calendar'!$G$6:$G$400,"&gt;0"),IFERROR(IF(INDEX('Chain Program'!$M$6:$M$120,MATCH($C218,'Chain Program'!$A$6:$A$120,0))="","Not set",INDEX('Chain Program'!$M$6:$M$120,MATCH($C218,'Chain Program'!$A$6:$A$120,0))),"Not set"))))</f>
        <v/>
      </c>
      <c r="I218" s="61" t="n"/>
      <c r="J218" s="45">
        <f>IF($I218="","",IF(NOT(ISNUMBER($H218)),"No plan price",IF(ABS($I218-$H218)&lt;0.005,"Match",IF($I218&gt;$H218,"Over plan","Under plan"))))</f>
        <v/>
      </c>
      <c r="K218" s="60" t="n"/>
      <c r="L218" s="60" t="n"/>
      <c r="M218" s="60" t="n"/>
      <c r="N218" s="60" t="n"/>
      <c r="O218" s="60" t="n"/>
      <c r="P218" s="62" t="n"/>
      <c r="Q218" s="62" t="n"/>
      <c r="R218" s="60" t="n"/>
      <c r="S218" s="59" t="n"/>
      <c r="T218" s="60" t="n"/>
      <c r="U218" s="59" t="n"/>
      <c r="V218" s="45">
        <f>IF(OR($A218="",$T218="",$T218="No Issue"),"",IF($T218="Resolved",IF($U218="","",$U218-$A218),TODAY()-$A218))</f>
        <v/>
      </c>
      <c r="W218" s="47">
        <f>IF(AND($C218&lt;&gt;"",$C218='Store History'!$C$4,OR('Store History'!$C$5="",$F218='Store History'!$C$5)),1,0)</f>
        <v/>
      </c>
      <c r="X218" s="47">
        <f>IF($W218=1,SUM($W218:$W$1005),"")</f>
        <v/>
      </c>
    </row>
    <row r="219">
      <c r="A219" s="59" t="n"/>
      <c r="B219" s="60" t="n"/>
      <c r="C219" s="60" t="n"/>
      <c r="D219" s="45">
        <f>IF($C219="","",IFERROR(INDEX('Chain Program'!$B$6:$B$120,MATCH($C219,'Chain Program'!$A$6:$A$120,0)),"Unknown ID"))</f>
        <v/>
      </c>
      <c r="E219" s="45">
        <f>IF($C219="","",IFERROR(INDEX('Chain Program'!$D$6:$D$120,MATCH($C219,'Chain Program'!$A$6:$A$120,0)),"Unknown ID"))</f>
        <v/>
      </c>
      <c r="F219" s="60" t="n"/>
      <c r="G219" s="60" t="n"/>
      <c r="H219" s="56">
        <f>IF(OR($C219="",$A219=""),"",IF(COUNTIFS('Promo Calendar'!$A$6:$A$400,$C219,'Promo Calendar'!$D$6:$D$400,IF($G219="","All",$G219),'Promo Calendar'!$I$6:$I$400,"&lt;="&amp;$A219,'Promo Calendar'!$J$6:$J$400,"&gt;="&amp;$A219,'Promo Calendar'!$G$6:$G$400,"&gt;0")&gt;0,_xlfn.MINIFS('Promo Calendar'!$G$6:$G$400,'Promo Calendar'!$A$6:$A$400,$C219,'Promo Calendar'!$D$6:$D$400,IF($G219="","All",$G219),'Promo Calendar'!$I$6:$I$400,"&lt;="&amp;$A219,'Promo Calendar'!$J$6:$J$400,"&gt;="&amp;$A219,'Promo Calendar'!$G$6:$G$400,"&gt;0"),IF(COUNTIFS('Promo Calendar'!$A$6:$A$400,$C219,'Promo Calendar'!$D$6:$D$400,"All",'Promo Calendar'!$I$6:$I$400,"&lt;="&amp;$A219,'Promo Calendar'!$J$6:$J$400,"&gt;="&amp;$A219,'Promo Calendar'!$G$6:$G$400,"&gt;0")&gt;0,_xlfn.MINIFS('Promo Calendar'!$G$6:$G$400,'Promo Calendar'!$A$6:$A$400,$C219,'Promo Calendar'!$D$6:$D$400,"All",'Promo Calendar'!$I$6:$I$400,"&lt;="&amp;$A219,'Promo Calendar'!$J$6:$J$400,"&gt;="&amp;$A219,'Promo Calendar'!$G$6:$G$400,"&gt;0"),IFERROR(IF(INDEX('Chain Program'!$M$6:$M$120,MATCH($C219,'Chain Program'!$A$6:$A$120,0))="","Not set",INDEX('Chain Program'!$M$6:$M$120,MATCH($C219,'Chain Program'!$A$6:$A$120,0))),"Not set"))))</f>
        <v/>
      </c>
      <c r="I219" s="61" t="n"/>
      <c r="J219" s="45">
        <f>IF($I219="","",IF(NOT(ISNUMBER($H219)),"No plan price",IF(ABS($I219-$H219)&lt;0.005,"Match",IF($I219&gt;$H219,"Over plan","Under plan"))))</f>
        <v/>
      </c>
      <c r="K219" s="60" t="n"/>
      <c r="L219" s="60" t="n"/>
      <c r="M219" s="60" t="n"/>
      <c r="N219" s="60" t="n"/>
      <c r="O219" s="60" t="n"/>
      <c r="P219" s="62" t="n"/>
      <c r="Q219" s="62" t="n"/>
      <c r="R219" s="60" t="n"/>
      <c r="S219" s="59" t="n"/>
      <c r="T219" s="60" t="n"/>
      <c r="U219" s="59" t="n"/>
      <c r="V219" s="45">
        <f>IF(OR($A219="",$T219="",$T219="No Issue"),"",IF($T219="Resolved",IF($U219="","",$U219-$A219),TODAY()-$A219))</f>
        <v/>
      </c>
      <c r="W219" s="47">
        <f>IF(AND($C219&lt;&gt;"",$C219='Store History'!$C$4,OR('Store History'!$C$5="",$F219='Store History'!$C$5)),1,0)</f>
        <v/>
      </c>
      <c r="X219" s="47">
        <f>IF($W219=1,SUM($W219:$W$1005),"")</f>
        <v/>
      </c>
    </row>
    <row r="220">
      <c r="A220" s="59" t="n"/>
      <c r="B220" s="60" t="n"/>
      <c r="C220" s="60" t="n"/>
      <c r="D220" s="45">
        <f>IF($C220="","",IFERROR(INDEX('Chain Program'!$B$6:$B$120,MATCH($C220,'Chain Program'!$A$6:$A$120,0)),"Unknown ID"))</f>
        <v/>
      </c>
      <c r="E220" s="45">
        <f>IF($C220="","",IFERROR(INDEX('Chain Program'!$D$6:$D$120,MATCH($C220,'Chain Program'!$A$6:$A$120,0)),"Unknown ID"))</f>
        <v/>
      </c>
      <c r="F220" s="60" t="n"/>
      <c r="G220" s="60" t="n"/>
      <c r="H220" s="56">
        <f>IF(OR($C220="",$A220=""),"",IF(COUNTIFS('Promo Calendar'!$A$6:$A$400,$C220,'Promo Calendar'!$D$6:$D$400,IF($G220="","All",$G220),'Promo Calendar'!$I$6:$I$400,"&lt;="&amp;$A220,'Promo Calendar'!$J$6:$J$400,"&gt;="&amp;$A220,'Promo Calendar'!$G$6:$G$400,"&gt;0")&gt;0,_xlfn.MINIFS('Promo Calendar'!$G$6:$G$400,'Promo Calendar'!$A$6:$A$400,$C220,'Promo Calendar'!$D$6:$D$400,IF($G220="","All",$G220),'Promo Calendar'!$I$6:$I$400,"&lt;="&amp;$A220,'Promo Calendar'!$J$6:$J$400,"&gt;="&amp;$A220,'Promo Calendar'!$G$6:$G$400,"&gt;0"),IF(COUNTIFS('Promo Calendar'!$A$6:$A$400,$C220,'Promo Calendar'!$D$6:$D$400,"All",'Promo Calendar'!$I$6:$I$400,"&lt;="&amp;$A220,'Promo Calendar'!$J$6:$J$400,"&gt;="&amp;$A220,'Promo Calendar'!$G$6:$G$400,"&gt;0")&gt;0,_xlfn.MINIFS('Promo Calendar'!$G$6:$G$400,'Promo Calendar'!$A$6:$A$400,$C220,'Promo Calendar'!$D$6:$D$400,"All",'Promo Calendar'!$I$6:$I$400,"&lt;="&amp;$A220,'Promo Calendar'!$J$6:$J$400,"&gt;="&amp;$A220,'Promo Calendar'!$G$6:$G$400,"&gt;0"),IFERROR(IF(INDEX('Chain Program'!$M$6:$M$120,MATCH($C220,'Chain Program'!$A$6:$A$120,0))="","Not set",INDEX('Chain Program'!$M$6:$M$120,MATCH($C220,'Chain Program'!$A$6:$A$120,0))),"Not set"))))</f>
        <v/>
      </c>
      <c r="I220" s="61" t="n"/>
      <c r="J220" s="45">
        <f>IF($I220="","",IF(NOT(ISNUMBER($H220)),"No plan price",IF(ABS($I220-$H220)&lt;0.005,"Match",IF($I220&gt;$H220,"Over plan","Under plan"))))</f>
        <v/>
      </c>
      <c r="K220" s="60" t="n"/>
      <c r="L220" s="60" t="n"/>
      <c r="M220" s="60" t="n"/>
      <c r="N220" s="60" t="n"/>
      <c r="O220" s="60" t="n"/>
      <c r="P220" s="62" t="n"/>
      <c r="Q220" s="62" t="n"/>
      <c r="R220" s="60" t="n"/>
      <c r="S220" s="59" t="n"/>
      <c r="T220" s="60" t="n"/>
      <c r="U220" s="59" t="n"/>
      <c r="V220" s="45">
        <f>IF(OR($A220="",$T220="",$T220="No Issue"),"",IF($T220="Resolved",IF($U220="","",$U220-$A220),TODAY()-$A220))</f>
        <v/>
      </c>
      <c r="W220" s="47">
        <f>IF(AND($C220&lt;&gt;"",$C220='Store History'!$C$4,OR('Store History'!$C$5="",$F220='Store History'!$C$5)),1,0)</f>
        <v/>
      </c>
      <c r="X220" s="47">
        <f>IF($W220=1,SUM($W220:$W$1005),"")</f>
        <v/>
      </c>
    </row>
    <row r="221">
      <c r="A221" s="59" t="n"/>
      <c r="B221" s="60" t="n"/>
      <c r="C221" s="60" t="n"/>
      <c r="D221" s="45">
        <f>IF($C221="","",IFERROR(INDEX('Chain Program'!$B$6:$B$120,MATCH($C221,'Chain Program'!$A$6:$A$120,0)),"Unknown ID"))</f>
        <v/>
      </c>
      <c r="E221" s="45">
        <f>IF($C221="","",IFERROR(INDEX('Chain Program'!$D$6:$D$120,MATCH($C221,'Chain Program'!$A$6:$A$120,0)),"Unknown ID"))</f>
        <v/>
      </c>
      <c r="F221" s="60" t="n"/>
      <c r="G221" s="60" t="n"/>
      <c r="H221" s="56">
        <f>IF(OR($C221="",$A221=""),"",IF(COUNTIFS('Promo Calendar'!$A$6:$A$400,$C221,'Promo Calendar'!$D$6:$D$400,IF($G221="","All",$G221),'Promo Calendar'!$I$6:$I$400,"&lt;="&amp;$A221,'Promo Calendar'!$J$6:$J$400,"&gt;="&amp;$A221,'Promo Calendar'!$G$6:$G$400,"&gt;0")&gt;0,_xlfn.MINIFS('Promo Calendar'!$G$6:$G$400,'Promo Calendar'!$A$6:$A$400,$C221,'Promo Calendar'!$D$6:$D$400,IF($G221="","All",$G221),'Promo Calendar'!$I$6:$I$400,"&lt;="&amp;$A221,'Promo Calendar'!$J$6:$J$400,"&gt;="&amp;$A221,'Promo Calendar'!$G$6:$G$400,"&gt;0"),IF(COUNTIFS('Promo Calendar'!$A$6:$A$400,$C221,'Promo Calendar'!$D$6:$D$400,"All",'Promo Calendar'!$I$6:$I$400,"&lt;="&amp;$A221,'Promo Calendar'!$J$6:$J$400,"&gt;="&amp;$A221,'Promo Calendar'!$G$6:$G$400,"&gt;0")&gt;0,_xlfn.MINIFS('Promo Calendar'!$G$6:$G$400,'Promo Calendar'!$A$6:$A$400,$C221,'Promo Calendar'!$D$6:$D$400,"All",'Promo Calendar'!$I$6:$I$400,"&lt;="&amp;$A221,'Promo Calendar'!$J$6:$J$400,"&gt;="&amp;$A221,'Promo Calendar'!$G$6:$G$400,"&gt;0"),IFERROR(IF(INDEX('Chain Program'!$M$6:$M$120,MATCH($C221,'Chain Program'!$A$6:$A$120,0))="","Not set",INDEX('Chain Program'!$M$6:$M$120,MATCH($C221,'Chain Program'!$A$6:$A$120,0))),"Not set"))))</f>
        <v/>
      </c>
      <c r="I221" s="61" t="n"/>
      <c r="J221" s="45">
        <f>IF($I221="","",IF(NOT(ISNUMBER($H221)),"No plan price",IF(ABS($I221-$H221)&lt;0.005,"Match",IF($I221&gt;$H221,"Over plan","Under plan"))))</f>
        <v/>
      </c>
      <c r="K221" s="60" t="n"/>
      <c r="L221" s="60" t="n"/>
      <c r="M221" s="60" t="n"/>
      <c r="N221" s="60" t="n"/>
      <c r="O221" s="60" t="n"/>
      <c r="P221" s="62" t="n"/>
      <c r="Q221" s="62" t="n"/>
      <c r="R221" s="60" t="n"/>
      <c r="S221" s="59" t="n"/>
      <c r="T221" s="60" t="n"/>
      <c r="U221" s="59" t="n"/>
      <c r="V221" s="45">
        <f>IF(OR($A221="",$T221="",$T221="No Issue"),"",IF($T221="Resolved",IF($U221="","",$U221-$A221),TODAY()-$A221))</f>
        <v/>
      </c>
      <c r="W221" s="47">
        <f>IF(AND($C221&lt;&gt;"",$C221='Store History'!$C$4,OR('Store History'!$C$5="",$F221='Store History'!$C$5)),1,0)</f>
        <v/>
      </c>
      <c r="X221" s="47">
        <f>IF($W221=1,SUM($W221:$W$1005),"")</f>
        <v/>
      </c>
    </row>
    <row r="222">
      <c r="A222" s="59" t="n"/>
      <c r="B222" s="60" t="n"/>
      <c r="C222" s="60" t="n"/>
      <c r="D222" s="45">
        <f>IF($C222="","",IFERROR(INDEX('Chain Program'!$B$6:$B$120,MATCH($C222,'Chain Program'!$A$6:$A$120,0)),"Unknown ID"))</f>
        <v/>
      </c>
      <c r="E222" s="45">
        <f>IF($C222="","",IFERROR(INDEX('Chain Program'!$D$6:$D$120,MATCH($C222,'Chain Program'!$A$6:$A$120,0)),"Unknown ID"))</f>
        <v/>
      </c>
      <c r="F222" s="60" t="n"/>
      <c r="G222" s="60" t="n"/>
      <c r="H222" s="56">
        <f>IF(OR($C222="",$A222=""),"",IF(COUNTIFS('Promo Calendar'!$A$6:$A$400,$C222,'Promo Calendar'!$D$6:$D$400,IF($G222="","All",$G222),'Promo Calendar'!$I$6:$I$400,"&lt;="&amp;$A222,'Promo Calendar'!$J$6:$J$400,"&gt;="&amp;$A222,'Promo Calendar'!$G$6:$G$400,"&gt;0")&gt;0,_xlfn.MINIFS('Promo Calendar'!$G$6:$G$400,'Promo Calendar'!$A$6:$A$400,$C222,'Promo Calendar'!$D$6:$D$400,IF($G222="","All",$G222),'Promo Calendar'!$I$6:$I$400,"&lt;="&amp;$A222,'Promo Calendar'!$J$6:$J$400,"&gt;="&amp;$A222,'Promo Calendar'!$G$6:$G$400,"&gt;0"),IF(COUNTIFS('Promo Calendar'!$A$6:$A$400,$C222,'Promo Calendar'!$D$6:$D$400,"All",'Promo Calendar'!$I$6:$I$400,"&lt;="&amp;$A222,'Promo Calendar'!$J$6:$J$400,"&gt;="&amp;$A222,'Promo Calendar'!$G$6:$G$400,"&gt;0")&gt;0,_xlfn.MINIFS('Promo Calendar'!$G$6:$G$400,'Promo Calendar'!$A$6:$A$400,$C222,'Promo Calendar'!$D$6:$D$400,"All",'Promo Calendar'!$I$6:$I$400,"&lt;="&amp;$A222,'Promo Calendar'!$J$6:$J$400,"&gt;="&amp;$A222,'Promo Calendar'!$G$6:$G$400,"&gt;0"),IFERROR(IF(INDEX('Chain Program'!$M$6:$M$120,MATCH($C222,'Chain Program'!$A$6:$A$120,0))="","Not set",INDEX('Chain Program'!$M$6:$M$120,MATCH($C222,'Chain Program'!$A$6:$A$120,0))),"Not set"))))</f>
        <v/>
      </c>
      <c r="I222" s="61" t="n"/>
      <c r="J222" s="45">
        <f>IF($I222="","",IF(NOT(ISNUMBER($H222)),"No plan price",IF(ABS($I222-$H222)&lt;0.005,"Match",IF($I222&gt;$H222,"Over plan","Under plan"))))</f>
        <v/>
      </c>
      <c r="K222" s="60" t="n"/>
      <c r="L222" s="60" t="n"/>
      <c r="M222" s="60" t="n"/>
      <c r="N222" s="60" t="n"/>
      <c r="O222" s="60" t="n"/>
      <c r="P222" s="62" t="n"/>
      <c r="Q222" s="62" t="n"/>
      <c r="R222" s="60" t="n"/>
      <c r="S222" s="59" t="n"/>
      <c r="T222" s="60" t="n"/>
      <c r="U222" s="59" t="n"/>
      <c r="V222" s="45">
        <f>IF(OR($A222="",$T222="",$T222="No Issue"),"",IF($T222="Resolved",IF($U222="","",$U222-$A222),TODAY()-$A222))</f>
        <v/>
      </c>
      <c r="W222" s="47">
        <f>IF(AND($C222&lt;&gt;"",$C222='Store History'!$C$4,OR('Store History'!$C$5="",$F222='Store History'!$C$5)),1,0)</f>
        <v/>
      </c>
      <c r="X222" s="47">
        <f>IF($W222=1,SUM($W222:$W$1005),"")</f>
        <v/>
      </c>
    </row>
    <row r="223">
      <c r="A223" s="59" t="n"/>
      <c r="B223" s="60" t="n"/>
      <c r="C223" s="60" t="n"/>
      <c r="D223" s="45">
        <f>IF($C223="","",IFERROR(INDEX('Chain Program'!$B$6:$B$120,MATCH($C223,'Chain Program'!$A$6:$A$120,0)),"Unknown ID"))</f>
        <v/>
      </c>
      <c r="E223" s="45">
        <f>IF($C223="","",IFERROR(INDEX('Chain Program'!$D$6:$D$120,MATCH($C223,'Chain Program'!$A$6:$A$120,0)),"Unknown ID"))</f>
        <v/>
      </c>
      <c r="F223" s="60" t="n"/>
      <c r="G223" s="60" t="n"/>
      <c r="H223" s="56">
        <f>IF(OR($C223="",$A223=""),"",IF(COUNTIFS('Promo Calendar'!$A$6:$A$400,$C223,'Promo Calendar'!$D$6:$D$400,IF($G223="","All",$G223),'Promo Calendar'!$I$6:$I$400,"&lt;="&amp;$A223,'Promo Calendar'!$J$6:$J$400,"&gt;="&amp;$A223,'Promo Calendar'!$G$6:$G$400,"&gt;0")&gt;0,_xlfn.MINIFS('Promo Calendar'!$G$6:$G$400,'Promo Calendar'!$A$6:$A$400,$C223,'Promo Calendar'!$D$6:$D$400,IF($G223="","All",$G223),'Promo Calendar'!$I$6:$I$400,"&lt;="&amp;$A223,'Promo Calendar'!$J$6:$J$400,"&gt;="&amp;$A223,'Promo Calendar'!$G$6:$G$400,"&gt;0"),IF(COUNTIFS('Promo Calendar'!$A$6:$A$400,$C223,'Promo Calendar'!$D$6:$D$400,"All",'Promo Calendar'!$I$6:$I$400,"&lt;="&amp;$A223,'Promo Calendar'!$J$6:$J$400,"&gt;="&amp;$A223,'Promo Calendar'!$G$6:$G$400,"&gt;0")&gt;0,_xlfn.MINIFS('Promo Calendar'!$G$6:$G$400,'Promo Calendar'!$A$6:$A$400,$C223,'Promo Calendar'!$D$6:$D$400,"All",'Promo Calendar'!$I$6:$I$400,"&lt;="&amp;$A223,'Promo Calendar'!$J$6:$J$400,"&gt;="&amp;$A223,'Promo Calendar'!$G$6:$G$400,"&gt;0"),IFERROR(IF(INDEX('Chain Program'!$M$6:$M$120,MATCH($C223,'Chain Program'!$A$6:$A$120,0))="","Not set",INDEX('Chain Program'!$M$6:$M$120,MATCH($C223,'Chain Program'!$A$6:$A$120,0))),"Not set"))))</f>
        <v/>
      </c>
      <c r="I223" s="61" t="n"/>
      <c r="J223" s="45">
        <f>IF($I223="","",IF(NOT(ISNUMBER($H223)),"No plan price",IF(ABS($I223-$H223)&lt;0.005,"Match",IF($I223&gt;$H223,"Over plan","Under plan"))))</f>
        <v/>
      </c>
      <c r="K223" s="60" t="n"/>
      <c r="L223" s="60" t="n"/>
      <c r="M223" s="60" t="n"/>
      <c r="N223" s="60" t="n"/>
      <c r="O223" s="60" t="n"/>
      <c r="P223" s="62" t="n"/>
      <c r="Q223" s="62" t="n"/>
      <c r="R223" s="60" t="n"/>
      <c r="S223" s="59" t="n"/>
      <c r="T223" s="60" t="n"/>
      <c r="U223" s="59" t="n"/>
      <c r="V223" s="45">
        <f>IF(OR($A223="",$T223="",$T223="No Issue"),"",IF($T223="Resolved",IF($U223="","",$U223-$A223),TODAY()-$A223))</f>
        <v/>
      </c>
      <c r="W223" s="47">
        <f>IF(AND($C223&lt;&gt;"",$C223='Store History'!$C$4,OR('Store History'!$C$5="",$F223='Store History'!$C$5)),1,0)</f>
        <v/>
      </c>
      <c r="X223" s="47">
        <f>IF($W223=1,SUM($W223:$W$1005),"")</f>
        <v/>
      </c>
    </row>
    <row r="224">
      <c r="A224" s="59" t="n"/>
      <c r="B224" s="60" t="n"/>
      <c r="C224" s="60" t="n"/>
      <c r="D224" s="45">
        <f>IF($C224="","",IFERROR(INDEX('Chain Program'!$B$6:$B$120,MATCH($C224,'Chain Program'!$A$6:$A$120,0)),"Unknown ID"))</f>
        <v/>
      </c>
      <c r="E224" s="45">
        <f>IF($C224="","",IFERROR(INDEX('Chain Program'!$D$6:$D$120,MATCH($C224,'Chain Program'!$A$6:$A$120,0)),"Unknown ID"))</f>
        <v/>
      </c>
      <c r="F224" s="60" t="n"/>
      <c r="G224" s="60" t="n"/>
      <c r="H224" s="56">
        <f>IF(OR($C224="",$A224=""),"",IF(COUNTIFS('Promo Calendar'!$A$6:$A$400,$C224,'Promo Calendar'!$D$6:$D$400,IF($G224="","All",$G224),'Promo Calendar'!$I$6:$I$400,"&lt;="&amp;$A224,'Promo Calendar'!$J$6:$J$400,"&gt;="&amp;$A224,'Promo Calendar'!$G$6:$G$400,"&gt;0")&gt;0,_xlfn.MINIFS('Promo Calendar'!$G$6:$G$400,'Promo Calendar'!$A$6:$A$400,$C224,'Promo Calendar'!$D$6:$D$400,IF($G224="","All",$G224),'Promo Calendar'!$I$6:$I$400,"&lt;="&amp;$A224,'Promo Calendar'!$J$6:$J$400,"&gt;="&amp;$A224,'Promo Calendar'!$G$6:$G$400,"&gt;0"),IF(COUNTIFS('Promo Calendar'!$A$6:$A$400,$C224,'Promo Calendar'!$D$6:$D$400,"All",'Promo Calendar'!$I$6:$I$400,"&lt;="&amp;$A224,'Promo Calendar'!$J$6:$J$400,"&gt;="&amp;$A224,'Promo Calendar'!$G$6:$G$400,"&gt;0")&gt;0,_xlfn.MINIFS('Promo Calendar'!$G$6:$G$400,'Promo Calendar'!$A$6:$A$400,$C224,'Promo Calendar'!$D$6:$D$400,"All",'Promo Calendar'!$I$6:$I$400,"&lt;="&amp;$A224,'Promo Calendar'!$J$6:$J$400,"&gt;="&amp;$A224,'Promo Calendar'!$G$6:$G$400,"&gt;0"),IFERROR(IF(INDEX('Chain Program'!$M$6:$M$120,MATCH($C224,'Chain Program'!$A$6:$A$120,0))="","Not set",INDEX('Chain Program'!$M$6:$M$120,MATCH($C224,'Chain Program'!$A$6:$A$120,0))),"Not set"))))</f>
        <v/>
      </c>
      <c r="I224" s="61" t="n"/>
      <c r="J224" s="45">
        <f>IF($I224="","",IF(NOT(ISNUMBER($H224)),"No plan price",IF(ABS($I224-$H224)&lt;0.005,"Match",IF($I224&gt;$H224,"Over plan","Under plan"))))</f>
        <v/>
      </c>
      <c r="K224" s="60" t="n"/>
      <c r="L224" s="60" t="n"/>
      <c r="M224" s="60" t="n"/>
      <c r="N224" s="60" t="n"/>
      <c r="O224" s="60" t="n"/>
      <c r="P224" s="62" t="n"/>
      <c r="Q224" s="62" t="n"/>
      <c r="R224" s="60" t="n"/>
      <c r="S224" s="59" t="n"/>
      <c r="T224" s="60" t="n"/>
      <c r="U224" s="59" t="n"/>
      <c r="V224" s="45">
        <f>IF(OR($A224="",$T224="",$T224="No Issue"),"",IF($T224="Resolved",IF($U224="","",$U224-$A224),TODAY()-$A224))</f>
        <v/>
      </c>
      <c r="W224" s="47">
        <f>IF(AND($C224&lt;&gt;"",$C224='Store History'!$C$4,OR('Store History'!$C$5="",$F224='Store History'!$C$5)),1,0)</f>
        <v/>
      </c>
      <c r="X224" s="47">
        <f>IF($W224=1,SUM($W224:$W$1005),"")</f>
        <v/>
      </c>
    </row>
    <row r="225">
      <c r="A225" s="59" t="n"/>
      <c r="B225" s="60" t="n"/>
      <c r="C225" s="60" t="n"/>
      <c r="D225" s="45">
        <f>IF($C225="","",IFERROR(INDEX('Chain Program'!$B$6:$B$120,MATCH($C225,'Chain Program'!$A$6:$A$120,0)),"Unknown ID"))</f>
        <v/>
      </c>
      <c r="E225" s="45">
        <f>IF($C225="","",IFERROR(INDEX('Chain Program'!$D$6:$D$120,MATCH($C225,'Chain Program'!$A$6:$A$120,0)),"Unknown ID"))</f>
        <v/>
      </c>
      <c r="F225" s="60" t="n"/>
      <c r="G225" s="60" t="n"/>
      <c r="H225" s="56">
        <f>IF(OR($C225="",$A225=""),"",IF(COUNTIFS('Promo Calendar'!$A$6:$A$400,$C225,'Promo Calendar'!$D$6:$D$400,IF($G225="","All",$G225),'Promo Calendar'!$I$6:$I$400,"&lt;="&amp;$A225,'Promo Calendar'!$J$6:$J$400,"&gt;="&amp;$A225,'Promo Calendar'!$G$6:$G$400,"&gt;0")&gt;0,_xlfn.MINIFS('Promo Calendar'!$G$6:$G$400,'Promo Calendar'!$A$6:$A$400,$C225,'Promo Calendar'!$D$6:$D$400,IF($G225="","All",$G225),'Promo Calendar'!$I$6:$I$400,"&lt;="&amp;$A225,'Promo Calendar'!$J$6:$J$400,"&gt;="&amp;$A225,'Promo Calendar'!$G$6:$G$400,"&gt;0"),IF(COUNTIFS('Promo Calendar'!$A$6:$A$400,$C225,'Promo Calendar'!$D$6:$D$400,"All",'Promo Calendar'!$I$6:$I$400,"&lt;="&amp;$A225,'Promo Calendar'!$J$6:$J$400,"&gt;="&amp;$A225,'Promo Calendar'!$G$6:$G$400,"&gt;0")&gt;0,_xlfn.MINIFS('Promo Calendar'!$G$6:$G$400,'Promo Calendar'!$A$6:$A$400,$C225,'Promo Calendar'!$D$6:$D$400,"All",'Promo Calendar'!$I$6:$I$400,"&lt;="&amp;$A225,'Promo Calendar'!$J$6:$J$400,"&gt;="&amp;$A225,'Promo Calendar'!$G$6:$G$400,"&gt;0"),IFERROR(IF(INDEX('Chain Program'!$M$6:$M$120,MATCH($C225,'Chain Program'!$A$6:$A$120,0))="","Not set",INDEX('Chain Program'!$M$6:$M$120,MATCH($C225,'Chain Program'!$A$6:$A$120,0))),"Not set"))))</f>
        <v/>
      </c>
      <c r="I225" s="61" t="n"/>
      <c r="J225" s="45">
        <f>IF($I225="","",IF(NOT(ISNUMBER($H225)),"No plan price",IF(ABS($I225-$H225)&lt;0.005,"Match",IF($I225&gt;$H225,"Over plan","Under plan"))))</f>
        <v/>
      </c>
      <c r="K225" s="60" t="n"/>
      <c r="L225" s="60" t="n"/>
      <c r="M225" s="60" t="n"/>
      <c r="N225" s="60" t="n"/>
      <c r="O225" s="60" t="n"/>
      <c r="P225" s="62" t="n"/>
      <c r="Q225" s="62" t="n"/>
      <c r="R225" s="60" t="n"/>
      <c r="S225" s="59" t="n"/>
      <c r="T225" s="60" t="n"/>
      <c r="U225" s="59" t="n"/>
      <c r="V225" s="45">
        <f>IF(OR($A225="",$T225="",$T225="No Issue"),"",IF($T225="Resolved",IF($U225="","",$U225-$A225),TODAY()-$A225))</f>
        <v/>
      </c>
      <c r="W225" s="47">
        <f>IF(AND($C225&lt;&gt;"",$C225='Store History'!$C$4,OR('Store History'!$C$5="",$F225='Store History'!$C$5)),1,0)</f>
        <v/>
      </c>
      <c r="X225" s="47">
        <f>IF($W225=1,SUM($W225:$W$1005),"")</f>
        <v/>
      </c>
    </row>
    <row r="226">
      <c r="A226" s="59" t="n"/>
      <c r="B226" s="60" t="n"/>
      <c r="C226" s="60" t="n"/>
      <c r="D226" s="45">
        <f>IF($C226="","",IFERROR(INDEX('Chain Program'!$B$6:$B$120,MATCH($C226,'Chain Program'!$A$6:$A$120,0)),"Unknown ID"))</f>
        <v/>
      </c>
      <c r="E226" s="45">
        <f>IF($C226="","",IFERROR(INDEX('Chain Program'!$D$6:$D$120,MATCH($C226,'Chain Program'!$A$6:$A$120,0)),"Unknown ID"))</f>
        <v/>
      </c>
      <c r="F226" s="60" t="n"/>
      <c r="G226" s="60" t="n"/>
      <c r="H226" s="56">
        <f>IF(OR($C226="",$A226=""),"",IF(COUNTIFS('Promo Calendar'!$A$6:$A$400,$C226,'Promo Calendar'!$D$6:$D$400,IF($G226="","All",$G226),'Promo Calendar'!$I$6:$I$400,"&lt;="&amp;$A226,'Promo Calendar'!$J$6:$J$400,"&gt;="&amp;$A226,'Promo Calendar'!$G$6:$G$400,"&gt;0")&gt;0,_xlfn.MINIFS('Promo Calendar'!$G$6:$G$400,'Promo Calendar'!$A$6:$A$400,$C226,'Promo Calendar'!$D$6:$D$400,IF($G226="","All",$G226),'Promo Calendar'!$I$6:$I$400,"&lt;="&amp;$A226,'Promo Calendar'!$J$6:$J$400,"&gt;="&amp;$A226,'Promo Calendar'!$G$6:$G$400,"&gt;0"),IF(COUNTIFS('Promo Calendar'!$A$6:$A$400,$C226,'Promo Calendar'!$D$6:$D$400,"All",'Promo Calendar'!$I$6:$I$400,"&lt;="&amp;$A226,'Promo Calendar'!$J$6:$J$400,"&gt;="&amp;$A226,'Promo Calendar'!$G$6:$G$400,"&gt;0")&gt;0,_xlfn.MINIFS('Promo Calendar'!$G$6:$G$400,'Promo Calendar'!$A$6:$A$400,$C226,'Promo Calendar'!$D$6:$D$400,"All",'Promo Calendar'!$I$6:$I$400,"&lt;="&amp;$A226,'Promo Calendar'!$J$6:$J$400,"&gt;="&amp;$A226,'Promo Calendar'!$G$6:$G$400,"&gt;0"),IFERROR(IF(INDEX('Chain Program'!$M$6:$M$120,MATCH($C226,'Chain Program'!$A$6:$A$120,0))="","Not set",INDEX('Chain Program'!$M$6:$M$120,MATCH($C226,'Chain Program'!$A$6:$A$120,0))),"Not set"))))</f>
        <v/>
      </c>
      <c r="I226" s="61" t="n"/>
      <c r="J226" s="45">
        <f>IF($I226="","",IF(NOT(ISNUMBER($H226)),"No plan price",IF(ABS($I226-$H226)&lt;0.005,"Match",IF($I226&gt;$H226,"Over plan","Under plan"))))</f>
        <v/>
      </c>
      <c r="K226" s="60" t="n"/>
      <c r="L226" s="60" t="n"/>
      <c r="M226" s="60" t="n"/>
      <c r="N226" s="60" t="n"/>
      <c r="O226" s="60" t="n"/>
      <c r="P226" s="62" t="n"/>
      <c r="Q226" s="62" t="n"/>
      <c r="R226" s="60" t="n"/>
      <c r="S226" s="59" t="n"/>
      <c r="T226" s="60" t="n"/>
      <c r="U226" s="59" t="n"/>
      <c r="V226" s="45">
        <f>IF(OR($A226="",$T226="",$T226="No Issue"),"",IF($T226="Resolved",IF($U226="","",$U226-$A226),TODAY()-$A226))</f>
        <v/>
      </c>
      <c r="W226" s="47">
        <f>IF(AND($C226&lt;&gt;"",$C226='Store History'!$C$4,OR('Store History'!$C$5="",$F226='Store History'!$C$5)),1,0)</f>
        <v/>
      </c>
      <c r="X226" s="47">
        <f>IF($W226=1,SUM($W226:$W$1005),"")</f>
        <v/>
      </c>
    </row>
    <row r="227">
      <c r="A227" s="59" t="n"/>
      <c r="B227" s="60" t="n"/>
      <c r="C227" s="60" t="n"/>
      <c r="D227" s="45">
        <f>IF($C227="","",IFERROR(INDEX('Chain Program'!$B$6:$B$120,MATCH($C227,'Chain Program'!$A$6:$A$120,0)),"Unknown ID"))</f>
        <v/>
      </c>
      <c r="E227" s="45">
        <f>IF($C227="","",IFERROR(INDEX('Chain Program'!$D$6:$D$120,MATCH($C227,'Chain Program'!$A$6:$A$120,0)),"Unknown ID"))</f>
        <v/>
      </c>
      <c r="F227" s="60" t="n"/>
      <c r="G227" s="60" t="n"/>
      <c r="H227" s="56">
        <f>IF(OR($C227="",$A227=""),"",IF(COUNTIFS('Promo Calendar'!$A$6:$A$400,$C227,'Promo Calendar'!$D$6:$D$400,IF($G227="","All",$G227),'Promo Calendar'!$I$6:$I$400,"&lt;="&amp;$A227,'Promo Calendar'!$J$6:$J$400,"&gt;="&amp;$A227,'Promo Calendar'!$G$6:$G$400,"&gt;0")&gt;0,_xlfn.MINIFS('Promo Calendar'!$G$6:$G$400,'Promo Calendar'!$A$6:$A$400,$C227,'Promo Calendar'!$D$6:$D$400,IF($G227="","All",$G227),'Promo Calendar'!$I$6:$I$400,"&lt;="&amp;$A227,'Promo Calendar'!$J$6:$J$400,"&gt;="&amp;$A227,'Promo Calendar'!$G$6:$G$400,"&gt;0"),IF(COUNTIFS('Promo Calendar'!$A$6:$A$400,$C227,'Promo Calendar'!$D$6:$D$400,"All",'Promo Calendar'!$I$6:$I$400,"&lt;="&amp;$A227,'Promo Calendar'!$J$6:$J$400,"&gt;="&amp;$A227,'Promo Calendar'!$G$6:$G$400,"&gt;0")&gt;0,_xlfn.MINIFS('Promo Calendar'!$G$6:$G$400,'Promo Calendar'!$A$6:$A$400,$C227,'Promo Calendar'!$D$6:$D$400,"All",'Promo Calendar'!$I$6:$I$400,"&lt;="&amp;$A227,'Promo Calendar'!$J$6:$J$400,"&gt;="&amp;$A227,'Promo Calendar'!$G$6:$G$400,"&gt;0"),IFERROR(IF(INDEX('Chain Program'!$M$6:$M$120,MATCH($C227,'Chain Program'!$A$6:$A$120,0))="","Not set",INDEX('Chain Program'!$M$6:$M$120,MATCH($C227,'Chain Program'!$A$6:$A$120,0))),"Not set"))))</f>
        <v/>
      </c>
      <c r="I227" s="61" t="n"/>
      <c r="J227" s="45">
        <f>IF($I227="","",IF(NOT(ISNUMBER($H227)),"No plan price",IF(ABS($I227-$H227)&lt;0.005,"Match",IF($I227&gt;$H227,"Over plan","Under plan"))))</f>
        <v/>
      </c>
      <c r="K227" s="60" t="n"/>
      <c r="L227" s="60" t="n"/>
      <c r="M227" s="60" t="n"/>
      <c r="N227" s="60" t="n"/>
      <c r="O227" s="60" t="n"/>
      <c r="P227" s="62" t="n"/>
      <c r="Q227" s="62" t="n"/>
      <c r="R227" s="60" t="n"/>
      <c r="S227" s="59" t="n"/>
      <c r="T227" s="60" t="n"/>
      <c r="U227" s="59" t="n"/>
      <c r="V227" s="45">
        <f>IF(OR($A227="",$T227="",$T227="No Issue"),"",IF($T227="Resolved",IF($U227="","",$U227-$A227),TODAY()-$A227))</f>
        <v/>
      </c>
      <c r="W227" s="47">
        <f>IF(AND($C227&lt;&gt;"",$C227='Store History'!$C$4,OR('Store History'!$C$5="",$F227='Store History'!$C$5)),1,0)</f>
        <v/>
      </c>
      <c r="X227" s="47">
        <f>IF($W227=1,SUM($W227:$W$1005),"")</f>
        <v/>
      </c>
    </row>
    <row r="228">
      <c r="A228" s="59" t="n"/>
      <c r="B228" s="60" t="n"/>
      <c r="C228" s="60" t="n"/>
      <c r="D228" s="45">
        <f>IF($C228="","",IFERROR(INDEX('Chain Program'!$B$6:$B$120,MATCH($C228,'Chain Program'!$A$6:$A$120,0)),"Unknown ID"))</f>
        <v/>
      </c>
      <c r="E228" s="45">
        <f>IF($C228="","",IFERROR(INDEX('Chain Program'!$D$6:$D$120,MATCH($C228,'Chain Program'!$A$6:$A$120,0)),"Unknown ID"))</f>
        <v/>
      </c>
      <c r="F228" s="60" t="n"/>
      <c r="G228" s="60" t="n"/>
      <c r="H228" s="56">
        <f>IF(OR($C228="",$A228=""),"",IF(COUNTIFS('Promo Calendar'!$A$6:$A$400,$C228,'Promo Calendar'!$D$6:$D$400,IF($G228="","All",$G228),'Promo Calendar'!$I$6:$I$400,"&lt;="&amp;$A228,'Promo Calendar'!$J$6:$J$400,"&gt;="&amp;$A228,'Promo Calendar'!$G$6:$G$400,"&gt;0")&gt;0,_xlfn.MINIFS('Promo Calendar'!$G$6:$G$400,'Promo Calendar'!$A$6:$A$400,$C228,'Promo Calendar'!$D$6:$D$400,IF($G228="","All",$G228),'Promo Calendar'!$I$6:$I$400,"&lt;="&amp;$A228,'Promo Calendar'!$J$6:$J$400,"&gt;="&amp;$A228,'Promo Calendar'!$G$6:$G$400,"&gt;0"),IF(COUNTIFS('Promo Calendar'!$A$6:$A$400,$C228,'Promo Calendar'!$D$6:$D$400,"All",'Promo Calendar'!$I$6:$I$400,"&lt;="&amp;$A228,'Promo Calendar'!$J$6:$J$400,"&gt;="&amp;$A228,'Promo Calendar'!$G$6:$G$400,"&gt;0")&gt;0,_xlfn.MINIFS('Promo Calendar'!$G$6:$G$400,'Promo Calendar'!$A$6:$A$400,$C228,'Promo Calendar'!$D$6:$D$400,"All",'Promo Calendar'!$I$6:$I$400,"&lt;="&amp;$A228,'Promo Calendar'!$J$6:$J$400,"&gt;="&amp;$A228,'Promo Calendar'!$G$6:$G$400,"&gt;0"),IFERROR(IF(INDEX('Chain Program'!$M$6:$M$120,MATCH($C228,'Chain Program'!$A$6:$A$120,0))="","Not set",INDEX('Chain Program'!$M$6:$M$120,MATCH($C228,'Chain Program'!$A$6:$A$120,0))),"Not set"))))</f>
        <v/>
      </c>
      <c r="I228" s="61" t="n"/>
      <c r="J228" s="45">
        <f>IF($I228="","",IF(NOT(ISNUMBER($H228)),"No plan price",IF(ABS($I228-$H228)&lt;0.005,"Match",IF($I228&gt;$H228,"Over plan","Under plan"))))</f>
        <v/>
      </c>
      <c r="K228" s="60" t="n"/>
      <c r="L228" s="60" t="n"/>
      <c r="M228" s="60" t="n"/>
      <c r="N228" s="60" t="n"/>
      <c r="O228" s="60" t="n"/>
      <c r="P228" s="62" t="n"/>
      <c r="Q228" s="62" t="n"/>
      <c r="R228" s="60" t="n"/>
      <c r="S228" s="59" t="n"/>
      <c r="T228" s="60" t="n"/>
      <c r="U228" s="59" t="n"/>
      <c r="V228" s="45">
        <f>IF(OR($A228="",$T228="",$T228="No Issue"),"",IF($T228="Resolved",IF($U228="","",$U228-$A228),TODAY()-$A228))</f>
        <v/>
      </c>
      <c r="W228" s="47">
        <f>IF(AND($C228&lt;&gt;"",$C228='Store History'!$C$4,OR('Store History'!$C$5="",$F228='Store History'!$C$5)),1,0)</f>
        <v/>
      </c>
      <c r="X228" s="47">
        <f>IF($W228=1,SUM($W228:$W$1005),"")</f>
        <v/>
      </c>
    </row>
    <row r="229">
      <c r="A229" s="59" t="n"/>
      <c r="B229" s="60" t="n"/>
      <c r="C229" s="60" t="n"/>
      <c r="D229" s="45">
        <f>IF($C229="","",IFERROR(INDEX('Chain Program'!$B$6:$B$120,MATCH($C229,'Chain Program'!$A$6:$A$120,0)),"Unknown ID"))</f>
        <v/>
      </c>
      <c r="E229" s="45">
        <f>IF($C229="","",IFERROR(INDEX('Chain Program'!$D$6:$D$120,MATCH($C229,'Chain Program'!$A$6:$A$120,0)),"Unknown ID"))</f>
        <v/>
      </c>
      <c r="F229" s="60" t="n"/>
      <c r="G229" s="60" t="n"/>
      <c r="H229" s="56">
        <f>IF(OR($C229="",$A229=""),"",IF(COUNTIFS('Promo Calendar'!$A$6:$A$400,$C229,'Promo Calendar'!$D$6:$D$400,IF($G229="","All",$G229),'Promo Calendar'!$I$6:$I$400,"&lt;="&amp;$A229,'Promo Calendar'!$J$6:$J$400,"&gt;="&amp;$A229,'Promo Calendar'!$G$6:$G$400,"&gt;0")&gt;0,_xlfn.MINIFS('Promo Calendar'!$G$6:$G$400,'Promo Calendar'!$A$6:$A$400,$C229,'Promo Calendar'!$D$6:$D$400,IF($G229="","All",$G229),'Promo Calendar'!$I$6:$I$400,"&lt;="&amp;$A229,'Promo Calendar'!$J$6:$J$400,"&gt;="&amp;$A229,'Promo Calendar'!$G$6:$G$400,"&gt;0"),IF(COUNTIFS('Promo Calendar'!$A$6:$A$400,$C229,'Promo Calendar'!$D$6:$D$400,"All",'Promo Calendar'!$I$6:$I$400,"&lt;="&amp;$A229,'Promo Calendar'!$J$6:$J$400,"&gt;="&amp;$A229,'Promo Calendar'!$G$6:$G$400,"&gt;0")&gt;0,_xlfn.MINIFS('Promo Calendar'!$G$6:$G$400,'Promo Calendar'!$A$6:$A$400,$C229,'Promo Calendar'!$D$6:$D$400,"All",'Promo Calendar'!$I$6:$I$400,"&lt;="&amp;$A229,'Promo Calendar'!$J$6:$J$400,"&gt;="&amp;$A229,'Promo Calendar'!$G$6:$G$400,"&gt;0"),IFERROR(IF(INDEX('Chain Program'!$M$6:$M$120,MATCH($C229,'Chain Program'!$A$6:$A$120,0))="","Not set",INDEX('Chain Program'!$M$6:$M$120,MATCH($C229,'Chain Program'!$A$6:$A$120,0))),"Not set"))))</f>
        <v/>
      </c>
      <c r="I229" s="61" t="n"/>
      <c r="J229" s="45">
        <f>IF($I229="","",IF(NOT(ISNUMBER($H229)),"No plan price",IF(ABS($I229-$H229)&lt;0.005,"Match",IF($I229&gt;$H229,"Over plan","Under plan"))))</f>
        <v/>
      </c>
      <c r="K229" s="60" t="n"/>
      <c r="L229" s="60" t="n"/>
      <c r="M229" s="60" t="n"/>
      <c r="N229" s="60" t="n"/>
      <c r="O229" s="60" t="n"/>
      <c r="P229" s="62" t="n"/>
      <c r="Q229" s="62" t="n"/>
      <c r="R229" s="60" t="n"/>
      <c r="S229" s="59" t="n"/>
      <c r="T229" s="60" t="n"/>
      <c r="U229" s="59" t="n"/>
      <c r="V229" s="45">
        <f>IF(OR($A229="",$T229="",$T229="No Issue"),"",IF($T229="Resolved",IF($U229="","",$U229-$A229),TODAY()-$A229))</f>
        <v/>
      </c>
      <c r="W229" s="47">
        <f>IF(AND($C229&lt;&gt;"",$C229='Store History'!$C$4,OR('Store History'!$C$5="",$F229='Store History'!$C$5)),1,0)</f>
        <v/>
      </c>
      <c r="X229" s="47">
        <f>IF($W229=1,SUM($W229:$W$1005),"")</f>
        <v/>
      </c>
    </row>
    <row r="230">
      <c r="A230" s="59" t="n"/>
      <c r="B230" s="60" t="n"/>
      <c r="C230" s="60" t="n"/>
      <c r="D230" s="45">
        <f>IF($C230="","",IFERROR(INDEX('Chain Program'!$B$6:$B$120,MATCH($C230,'Chain Program'!$A$6:$A$120,0)),"Unknown ID"))</f>
        <v/>
      </c>
      <c r="E230" s="45">
        <f>IF($C230="","",IFERROR(INDEX('Chain Program'!$D$6:$D$120,MATCH($C230,'Chain Program'!$A$6:$A$120,0)),"Unknown ID"))</f>
        <v/>
      </c>
      <c r="F230" s="60" t="n"/>
      <c r="G230" s="60" t="n"/>
      <c r="H230" s="56">
        <f>IF(OR($C230="",$A230=""),"",IF(COUNTIFS('Promo Calendar'!$A$6:$A$400,$C230,'Promo Calendar'!$D$6:$D$400,IF($G230="","All",$G230),'Promo Calendar'!$I$6:$I$400,"&lt;="&amp;$A230,'Promo Calendar'!$J$6:$J$400,"&gt;="&amp;$A230,'Promo Calendar'!$G$6:$G$400,"&gt;0")&gt;0,_xlfn.MINIFS('Promo Calendar'!$G$6:$G$400,'Promo Calendar'!$A$6:$A$400,$C230,'Promo Calendar'!$D$6:$D$400,IF($G230="","All",$G230),'Promo Calendar'!$I$6:$I$400,"&lt;="&amp;$A230,'Promo Calendar'!$J$6:$J$400,"&gt;="&amp;$A230,'Promo Calendar'!$G$6:$G$400,"&gt;0"),IF(COUNTIFS('Promo Calendar'!$A$6:$A$400,$C230,'Promo Calendar'!$D$6:$D$400,"All",'Promo Calendar'!$I$6:$I$400,"&lt;="&amp;$A230,'Promo Calendar'!$J$6:$J$400,"&gt;="&amp;$A230,'Promo Calendar'!$G$6:$G$400,"&gt;0")&gt;0,_xlfn.MINIFS('Promo Calendar'!$G$6:$G$400,'Promo Calendar'!$A$6:$A$400,$C230,'Promo Calendar'!$D$6:$D$400,"All",'Promo Calendar'!$I$6:$I$400,"&lt;="&amp;$A230,'Promo Calendar'!$J$6:$J$400,"&gt;="&amp;$A230,'Promo Calendar'!$G$6:$G$400,"&gt;0"),IFERROR(IF(INDEX('Chain Program'!$M$6:$M$120,MATCH($C230,'Chain Program'!$A$6:$A$120,0))="","Not set",INDEX('Chain Program'!$M$6:$M$120,MATCH($C230,'Chain Program'!$A$6:$A$120,0))),"Not set"))))</f>
        <v/>
      </c>
      <c r="I230" s="61" t="n"/>
      <c r="J230" s="45">
        <f>IF($I230="","",IF(NOT(ISNUMBER($H230)),"No plan price",IF(ABS($I230-$H230)&lt;0.005,"Match",IF($I230&gt;$H230,"Over plan","Under plan"))))</f>
        <v/>
      </c>
      <c r="K230" s="60" t="n"/>
      <c r="L230" s="60" t="n"/>
      <c r="M230" s="60" t="n"/>
      <c r="N230" s="60" t="n"/>
      <c r="O230" s="60" t="n"/>
      <c r="P230" s="62" t="n"/>
      <c r="Q230" s="62" t="n"/>
      <c r="R230" s="60" t="n"/>
      <c r="S230" s="59" t="n"/>
      <c r="T230" s="60" t="n"/>
      <c r="U230" s="59" t="n"/>
      <c r="V230" s="45">
        <f>IF(OR($A230="",$T230="",$T230="No Issue"),"",IF($T230="Resolved",IF($U230="","",$U230-$A230),TODAY()-$A230))</f>
        <v/>
      </c>
      <c r="W230" s="47">
        <f>IF(AND($C230&lt;&gt;"",$C230='Store History'!$C$4,OR('Store History'!$C$5="",$F230='Store History'!$C$5)),1,0)</f>
        <v/>
      </c>
      <c r="X230" s="47">
        <f>IF($W230=1,SUM($W230:$W$1005),"")</f>
        <v/>
      </c>
    </row>
    <row r="231">
      <c r="A231" s="59" t="n"/>
      <c r="B231" s="60" t="n"/>
      <c r="C231" s="60" t="n"/>
      <c r="D231" s="45">
        <f>IF($C231="","",IFERROR(INDEX('Chain Program'!$B$6:$B$120,MATCH($C231,'Chain Program'!$A$6:$A$120,0)),"Unknown ID"))</f>
        <v/>
      </c>
      <c r="E231" s="45">
        <f>IF($C231="","",IFERROR(INDEX('Chain Program'!$D$6:$D$120,MATCH($C231,'Chain Program'!$A$6:$A$120,0)),"Unknown ID"))</f>
        <v/>
      </c>
      <c r="F231" s="60" t="n"/>
      <c r="G231" s="60" t="n"/>
      <c r="H231" s="56">
        <f>IF(OR($C231="",$A231=""),"",IF(COUNTIFS('Promo Calendar'!$A$6:$A$400,$C231,'Promo Calendar'!$D$6:$D$400,IF($G231="","All",$G231),'Promo Calendar'!$I$6:$I$400,"&lt;="&amp;$A231,'Promo Calendar'!$J$6:$J$400,"&gt;="&amp;$A231,'Promo Calendar'!$G$6:$G$400,"&gt;0")&gt;0,_xlfn.MINIFS('Promo Calendar'!$G$6:$G$400,'Promo Calendar'!$A$6:$A$400,$C231,'Promo Calendar'!$D$6:$D$400,IF($G231="","All",$G231),'Promo Calendar'!$I$6:$I$400,"&lt;="&amp;$A231,'Promo Calendar'!$J$6:$J$400,"&gt;="&amp;$A231,'Promo Calendar'!$G$6:$G$400,"&gt;0"),IF(COUNTIFS('Promo Calendar'!$A$6:$A$400,$C231,'Promo Calendar'!$D$6:$D$400,"All",'Promo Calendar'!$I$6:$I$400,"&lt;="&amp;$A231,'Promo Calendar'!$J$6:$J$400,"&gt;="&amp;$A231,'Promo Calendar'!$G$6:$G$400,"&gt;0")&gt;0,_xlfn.MINIFS('Promo Calendar'!$G$6:$G$400,'Promo Calendar'!$A$6:$A$400,$C231,'Promo Calendar'!$D$6:$D$400,"All",'Promo Calendar'!$I$6:$I$400,"&lt;="&amp;$A231,'Promo Calendar'!$J$6:$J$400,"&gt;="&amp;$A231,'Promo Calendar'!$G$6:$G$400,"&gt;0"),IFERROR(IF(INDEX('Chain Program'!$M$6:$M$120,MATCH($C231,'Chain Program'!$A$6:$A$120,0))="","Not set",INDEX('Chain Program'!$M$6:$M$120,MATCH($C231,'Chain Program'!$A$6:$A$120,0))),"Not set"))))</f>
        <v/>
      </c>
      <c r="I231" s="61" t="n"/>
      <c r="J231" s="45">
        <f>IF($I231="","",IF(NOT(ISNUMBER($H231)),"No plan price",IF(ABS($I231-$H231)&lt;0.005,"Match",IF($I231&gt;$H231,"Over plan","Under plan"))))</f>
        <v/>
      </c>
      <c r="K231" s="60" t="n"/>
      <c r="L231" s="60" t="n"/>
      <c r="M231" s="60" t="n"/>
      <c r="N231" s="60" t="n"/>
      <c r="O231" s="60" t="n"/>
      <c r="P231" s="62" t="n"/>
      <c r="Q231" s="62" t="n"/>
      <c r="R231" s="60" t="n"/>
      <c r="S231" s="59" t="n"/>
      <c r="T231" s="60" t="n"/>
      <c r="U231" s="59" t="n"/>
      <c r="V231" s="45">
        <f>IF(OR($A231="",$T231="",$T231="No Issue"),"",IF($T231="Resolved",IF($U231="","",$U231-$A231),TODAY()-$A231))</f>
        <v/>
      </c>
      <c r="W231" s="47">
        <f>IF(AND($C231&lt;&gt;"",$C231='Store History'!$C$4,OR('Store History'!$C$5="",$F231='Store History'!$C$5)),1,0)</f>
        <v/>
      </c>
      <c r="X231" s="47">
        <f>IF($W231=1,SUM($W231:$W$1005),"")</f>
        <v/>
      </c>
    </row>
    <row r="232">
      <c r="A232" s="59" t="n"/>
      <c r="B232" s="60" t="n"/>
      <c r="C232" s="60" t="n"/>
      <c r="D232" s="45">
        <f>IF($C232="","",IFERROR(INDEX('Chain Program'!$B$6:$B$120,MATCH($C232,'Chain Program'!$A$6:$A$120,0)),"Unknown ID"))</f>
        <v/>
      </c>
      <c r="E232" s="45">
        <f>IF($C232="","",IFERROR(INDEX('Chain Program'!$D$6:$D$120,MATCH($C232,'Chain Program'!$A$6:$A$120,0)),"Unknown ID"))</f>
        <v/>
      </c>
      <c r="F232" s="60" t="n"/>
      <c r="G232" s="60" t="n"/>
      <c r="H232" s="56">
        <f>IF(OR($C232="",$A232=""),"",IF(COUNTIFS('Promo Calendar'!$A$6:$A$400,$C232,'Promo Calendar'!$D$6:$D$400,IF($G232="","All",$G232),'Promo Calendar'!$I$6:$I$400,"&lt;="&amp;$A232,'Promo Calendar'!$J$6:$J$400,"&gt;="&amp;$A232,'Promo Calendar'!$G$6:$G$400,"&gt;0")&gt;0,_xlfn.MINIFS('Promo Calendar'!$G$6:$G$400,'Promo Calendar'!$A$6:$A$400,$C232,'Promo Calendar'!$D$6:$D$400,IF($G232="","All",$G232),'Promo Calendar'!$I$6:$I$400,"&lt;="&amp;$A232,'Promo Calendar'!$J$6:$J$400,"&gt;="&amp;$A232,'Promo Calendar'!$G$6:$G$400,"&gt;0"),IF(COUNTIFS('Promo Calendar'!$A$6:$A$400,$C232,'Promo Calendar'!$D$6:$D$400,"All",'Promo Calendar'!$I$6:$I$400,"&lt;="&amp;$A232,'Promo Calendar'!$J$6:$J$400,"&gt;="&amp;$A232,'Promo Calendar'!$G$6:$G$400,"&gt;0")&gt;0,_xlfn.MINIFS('Promo Calendar'!$G$6:$G$400,'Promo Calendar'!$A$6:$A$400,$C232,'Promo Calendar'!$D$6:$D$400,"All",'Promo Calendar'!$I$6:$I$400,"&lt;="&amp;$A232,'Promo Calendar'!$J$6:$J$400,"&gt;="&amp;$A232,'Promo Calendar'!$G$6:$G$400,"&gt;0"),IFERROR(IF(INDEX('Chain Program'!$M$6:$M$120,MATCH($C232,'Chain Program'!$A$6:$A$120,0))="","Not set",INDEX('Chain Program'!$M$6:$M$120,MATCH($C232,'Chain Program'!$A$6:$A$120,0))),"Not set"))))</f>
        <v/>
      </c>
      <c r="I232" s="61" t="n"/>
      <c r="J232" s="45">
        <f>IF($I232="","",IF(NOT(ISNUMBER($H232)),"No plan price",IF(ABS($I232-$H232)&lt;0.005,"Match",IF($I232&gt;$H232,"Over plan","Under plan"))))</f>
        <v/>
      </c>
      <c r="K232" s="60" t="n"/>
      <c r="L232" s="60" t="n"/>
      <c r="M232" s="60" t="n"/>
      <c r="N232" s="60" t="n"/>
      <c r="O232" s="60" t="n"/>
      <c r="P232" s="62" t="n"/>
      <c r="Q232" s="62" t="n"/>
      <c r="R232" s="60" t="n"/>
      <c r="S232" s="59" t="n"/>
      <c r="T232" s="60" t="n"/>
      <c r="U232" s="59" t="n"/>
      <c r="V232" s="45">
        <f>IF(OR($A232="",$T232="",$T232="No Issue"),"",IF($T232="Resolved",IF($U232="","",$U232-$A232),TODAY()-$A232))</f>
        <v/>
      </c>
      <c r="W232" s="47">
        <f>IF(AND($C232&lt;&gt;"",$C232='Store History'!$C$4,OR('Store History'!$C$5="",$F232='Store History'!$C$5)),1,0)</f>
        <v/>
      </c>
      <c r="X232" s="47">
        <f>IF($W232=1,SUM($W232:$W$1005),"")</f>
        <v/>
      </c>
    </row>
    <row r="233">
      <c r="A233" s="59" t="n"/>
      <c r="B233" s="60" t="n"/>
      <c r="C233" s="60" t="n"/>
      <c r="D233" s="45">
        <f>IF($C233="","",IFERROR(INDEX('Chain Program'!$B$6:$B$120,MATCH($C233,'Chain Program'!$A$6:$A$120,0)),"Unknown ID"))</f>
        <v/>
      </c>
      <c r="E233" s="45">
        <f>IF($C233="","",IFERROR(INDEX('Chain Program'!$D$6:$D$120,MATCH($C233,'Chain Program'!$A$6:$A$120,0)),"Unknown ID"))</f>
        <v/>
      </c>
      <c r="F233" s="60" t="n"/>
      <c r="G233" s="60" t="n"/>
      <c r="H233" s="56">
        <f>IF(OR($C233="",$A233=""),"",IF(COUNTIFS('Promo Calendar'!$A$6:$A$400,$C233,'Promo Calendar'!$D$6:$D$400,IF($G233="","All",$G233),'Promo Calendar'!$I$6:$I$400,"&lt;="&amp;$A233,'Promo Calendar'!$J$6:$J$400,"&gt;="&amp;$A233,'Promo Calendar'!$G$6:$G$400,"&gt;0")&gt;0,_xlfn.MINIFS('Promo Calendar'!$G$6:$G$400,'Promo Calendar'!$A$6:$A$400,$C233,'Promo Calendar'!$D$6:$D$400,IF($G233="","All",$G233),'Promo Calendar'!$I$6:$I$400,"&lt;="&amp;$A233,'Promo Calendar'!$J$6:$J$400,"&gt;="&amp;$A233,'Promo Calendar'!$G$6:$G$400,"&gt;0"),IF(COUNTIFS('Promo Calendar'!$A$6:$A$400,$C233,'Promo Calendar'!$D$6:$D$400,"All",'Promo Calendar'!$I$6:$I$400,"&lt;="&amp;$A233,'Promo Calendar'!$J$6:$J$400,"&gt;="&amp;$A233,'Promo Calendar'!$G$6:$G$400,"&gt;0")&gt;0,_xlfn.MINIFS('Promo Calendar'!$G$6:$G$400,'Promo Calendar'!$A$6:$A$400,$C233,'Promo Calendar'!$D$6:$D$400,"All",'Promo Calendar'!$I$6:$I$400,"&lt;="&amp;$A233,'Promo Calendar'!$J$6:$J$400,"&gt;="&amp;$A233,'Promo Calendar'!$G$6:$G$400,"&gt;0"),IFERROR(IF(INDEX('Chain Program'!$M$6:$M$120,MATCH($C233,'Chain Program'!$A$6:$A$120,0))="","Not set",INDEX('Chain Program'!$M$6:$M$120,MATCH($C233,'Chain Program'!$A$6:$A$120,0))),"Not set"))))</f>
        <v/>
      </c>
      <c r="I233" s="61" t="n"/>
      <c r="J233" s="45">
        <f>IF($I233="","",IF(NOT(ISNUMBER($H233)),"No plan price",IF(ABS($I233-$H233)&lt;0.005,"Match",IF($I233&gt;$H233,"Over plan","Under plan"))))</f>
        <v/>
      </c>
      <c r="K233" s="60" t="n"/>
      <c r="L233" s="60" t="n"/>
      <c r="M233" s="60" t="n"/>
      <c r="N233" s="60" t="n"/>
      <c r="O233" s="60" t="n"/>
      <c r="P233" s="62" t="n"/>
      <c r="Q233" s="62" t="n"/>
      <c r="R233" s="60" t="n"/>
      <c r="S233" s="59" t="n"/>
      <c r="T233" s="60" t="n"/>
      <c r="U233" s="59" t="n"/>
      <c r="V233" s="45">
        <f>IF(OR($A233="",$T233="",$T233="No Issue"),"",IF($T233="Resolved",IF($U233="","",$U233-$A233),TODAY()-$A233))</f>
        <v/>
      </c>
      <c r="W233" s="47">
        <f>IF(AND($C233&lt;&gt;"",$C233='Store History'!$C$4,OR('Store History'!$C$5="",$F233='Store History'!$C$5)),1,0)</f>
        <v/>
      </c>
      <c r="X233" s="47">
        <f>IF($W233=1,SUM($W233:$W$1005),"")</f>
        <v/>
      </c>
    </row>
    <row r="234">
      <c r="A234" s="59" t="n"/>
      <c r="B234" s="60" t="n"/>
      <c r="C234" s="60" t="n"/>
      <c r="D234" s="45">
        <f>IF($C234="","",IFERROR(INDEX('Chain Program'!$B$6:$B$120,MATCH($C234,'Chain Program'!$A$6:$A$120,0)),"Unknown ID"))</f>
        <v/>
      </c>
      <c r="E234" s="45">
        <f>IF($C234="","",IFERROR(INDEX('Chain Program'!$D$6:$D$120,MATCH($C234,'Chain Program'!$A$6:$A$120,0)),"Unknown ID"))</f>
        <v/>
      </c>
      <c r="F234" s="60" t="n"/>
      <c r="G234" s="60" t="n"/>
      <c r="H234" s="56">
        <f>IF(OR($C234="",$A234=""),"",IF(COUNTIFS('Promo Calendar'!$A$6:$A$400,$C234,'Promo Calendar'!$D$6:$D$400,IF($G234="","All",$G234),'Promo Calendar'!$I$6:$I$400,"&lt;="&amp;$A234,'Promo Calendar'!$J$6:$J$400,"&gt;="&amp;$A234,'Promo Calendar'!$G$6:$G$400,"&gt;0")&gt;0,_xlfn.MINIFS('Promo Calendar'!$G$6:$G$400,'Promo Calendar'!$A$6:$A$400,$C234,'Promo Calendar'!$D$6:$D$400,IF($G234="","All",$G234),'Promo Calendar'!$I$6:$I$400,"&lt;="&amp;$A234,'Promo Calendar'!$J$6:$J$400,"&gt;="&amp;$A234,'Promo Calendar'!$G$6:$G$400,"&gt;0"),IF(COUNTIFS('Promo Calendar'!$A$6:$A$400,$C234,'Promo Calendar'!$D$6:$D$400,"All",'Promo Calendar'!$I$6:$I$400,"&lt;="&amp;$A234,'Promo Calendar'!$J$6:$J$400,"&gt;="&amp;$A234,'Promo Calendar'!$G$6:$G$400,"&gt;0")&gt;0,_xlfn.MINIFS('Promo Calendar'!$G$6:$G$400,'Promo Calendar'!$A$6:$A$400,$C234,'Promo Calendar'!$D$6:$D$400,"All",'Promo Calendar'!$I$6:$I$400,"&lt;="&amp;$A234,'Promo Calendar'!$J$6:$J$400,"&gt;="&amp;$A234,'Promo Calendar'!$G$6:$G$400,"&gt;0"),IFERROR(IF(INDEX('Chain Program'!$M$6:$M$120,MATCH($C234,'Chain Program'!$A$6:$A$120,0))="","Not set",INDEX('Chain Program'!$M$6:$M$120,MATCH($C234,'Chain Program'!$A$6:$A$120,0))),"Not set"))))</f>
        <v/>
      </c>
      <c r="I234" s="61" t="n"/>
      <c r="J234" s="45">
        <f>IF($I234="","",IF(NOT(ISNUMBER($H234)),"No plan price",IF(ABS($I234-$H234)&lt;0.005,"Match",IF($I234&gt;$H234,"Over plan","Under plan"))))</f>
        <v/>
      </c>
      <c r="K234" s="60" t="n"/>
      <c r="L234" s="60" t="n"/>
      <c r="M234" s="60" t="n"/>
      <c r="N234" s="60" t="n"/>
      <c r="O234" s="60" t="n"/>
      <c r="P234" s="62" t="n"/>
      <c r="Q234" s="62" t="n"/>
      <c r="R234" s="60" t="n"/>
      <c r="S234" s="59" t="n"/>
      <c r="T234" s="60" t="n"/>
      <c r="U234" s="59" t="n"/>
      <c r="V234" s="45">
        <f>IF(OR($A234="",$T234="",$T234="No Issue"),"",IF($T234="Resolved",IF($U234="","",$U234-$A234),TODAY()-$A234))</f>
        <v/>
      </c>
      <c r="W234" s="47">
        <f>IF(AND($C234&lt;&gt;"",$C234='Store History'!$C$4,OR('Store History'!$C$5="",$F234='Store History'!$C$5)),1,0)</f>
        <v/>
      </c>
      <c r="X234" s="47">
        <f>IF($W234=1,SUM($W234:$W$1005),"")</f>
        <v/>
      </c>
    </row>
    <row r="235">
      <c r="A235" s="59" t="n"/>
      <c r="B235" s="60" t="n"/>
      <c r="C235" s="60" t="n"/>
      <c r="D235" s="45">
        <f>IF($C235="","",IFERROR(INDEX('Chain Program'!$B$6:$B$120,MATCH($C235,'Chain Program'!$A$6:$A$120,0)),"Unknown ID"))</f>
        <v/>
      </c>
      <c r="E235" s="45">
        <f>IF($C235="","",IFERROR(INDEX('Chain Program'!$D$6:$D$120,MATCH($C235,'Chain Program'!$A$6:$A$120,0)),"Unknown ID"))</f>
        <v/>
      </c>
      <c r="F235" s="60" t="n"/>
      <c r="G235" s="60" t="n"/>
      <c r="H235" s="56">
        <f>IF(OR($C235="",$A235=""),"",IF(COUNTIFS('Promo Calendar'!$A$6:$A$400,$C235,'Promo Calendar'!$D$6:$D$400,IF($G235="","All",$G235),'Promo Calendar'!$I$6:$I$400,"&lt;="&amp;$A235,'Promo Calendar'!$J$6:$J$400,"&gt;="&amp;$A235,'Promo Calendar'!$G$6:$G$400,"&gt;0")&gt;0,_xlfn.MINIFS('Promo Calendar'!$G$6:$G$400,'Promo Calendar'!$A$6:$A$400,$C235,'Promo Calendar'!$D$6:$D$400,IF($G235="","All",$G235),'Promo Calendar'!$I$6:$I$400,"&lt;="&amp;$A235,'Promo Calendar'!$J$6:$J$400,"&gt;="&amp;$A235,'Promo Calendar'!$G$6:$G$400,"&gt;0"),IF(COUNTIFS('Promo Calendar'!$A$6:$A$400,$C235,'Promo Calendar'!$D$6:$D$400,"All",'Promo Calendar'!$I$6:$I$400,"&lt;="&amp;$A235,'Promo Calendar'!$J$6:$J$400,"&gt;="&amp;$A235,'Promo Calendar'!$G$6:$G$400,"&gt;0")&gt;0,_xlfn.MINIFS('Promo Calendar'!$G$6:$G$400,'Promo Calendar'!$A$6:$A$400,$C235,'Promo Calendar'!$D$6:$D$400,"All",'Promo Calendar'!$I$6:$I$400,"&lt;="&amp;$A235,'Promo Calendar'!$J$6:$J$400,"&gt;="&amp;$A235,'Promo Calendar'!$G$6:$G$400,"&gt;0"),IFERROR(IF(INDEX('Chain Program'!$M$6:$M$120,MATCH($C235,'Chain Program'!$A$6:$A$120,0))="","Not set",INDEX('Chain Program'!$M$6:$M$120,MATCH($C235,'Chain Program'!$A$6:$A$120,0))),"Not set"))))</f>
        <v/>
      </c>
      <c r="I235" s="61" t="n"/>
      <c r="J235" s="45">
        <f>IF($I235="","",IF(NOT(ISNUMBER($H235)),"No plan price",IF(ABS($I235-$H235)&lt;0.005,"Match",IF($I235&gt;$H235,"Over plan","Under plan"))))</f>
        <v/>
      </c>
      <c r="K235" s="60" t="n"/>
      <c r="L235" s="60" t="n"/>
      <c r="M235" s="60" t="n"/>
      <c r="N235" s="60" t="n"/>
      <c r="O235" s="60" t="n"/>
      <c r="P235" s="62" t="n"/>
      <c r="Q235" s="62" t="n"/>
      <c r="R235" s="60" t="n"/>
      <c r="S235" s="59" t="n"/>
      <c r="T235" s="60" t="n"/>
      <c r="U235" s="59" t="n"/>
      <c r="V235" s="45">
        <f>IF(OR($A235="",$T235="",$T235="No Issue"),"",IF($T235="Resolved",IF($U235="","",$U235-$A235),TODAY()-$A235))</f>
        <v/>
      </c>
      <c r="W235" s="47">
        <f>IF(AND($C235&lt;&gt;"",$C235='Store History'!$C$4,OR('Store History'!$C$5="",$F235='Store History'!$C$5)),1,0)</f>
        <v/>
      </c>
      <c r="X235" s="47">
        <f>IF($W235=1,SUM($W235:$W$1005),"")</f>
        <v/>
      </c>
    </row>
    <row r="236">
      <c r="A236" s="59" t="n"/>
      <c r="B236" s="60" t="n"/>
      <c r="C236" s="60" t="n"/>
      <c r="D236" s="45">
        <f>IF($C236="","",IFERROR(INDEX('Chain Program'!$B$6:$B$120,MATCH($C236,'Chain Program'!$A$6:$A$120,0)),"Unknown ID"))</f>
        <v/>
      </c>
      <c r="E236" s="45">
        <f>IF($C236="","",IFERROR(INDEX('Chain Program'!$D$6:$D$120,MATCH($C236,'Chain Program'!$A$6:$A$120,0)),"Unknown ID"))</f>
        <v/>
      </c>
      <c r="F236" s="60" t="n"/>
      <c r="G236" s="60" t="n"/>
      <c r="H236" s="56">
        <f>IF(OR($C236="",$A236=""),"",IF(COUNTIFS('Promo Calendar'!$A$6:$A$400,$C236,'Promo Calendar'!$D$6:$D$400,IF($G236="","All",$G236),'Promo Calendar'!$I$6:$I$400,"&lt;="&amp;$A236,'Promo Calendar'!$J$6:$J$400,"&gt;="&amp;$A236,'Promo Calendar'!$G$6:$G$400,"&gt;0")&gt;0,_xlfn.MINIFS('Promo Calendar'!$G$6:$G$400,'Promo Calendar'!$A$6:$A$400,$C236,'Promo Calendar'!$D$6:$D$400,IF($G236="","All",$G236),'Promo Calendar'!$I$6:$I$400,"&lt;="&amp;$A236,'Promo Calendar'!$J$6:$J$400,"&gt;="&amp;$A236,'Promo Calendar'!$G$6:$G$400,"&gt;0"),IF(COUNTIFS('Promo Calendar'!$A$6:$A$400,$C236,'Promo Calendar'!$D$6:$D$400,"All",'Promo Calendar'!$I$6:$I$400,"&lt;="&amp;$A236,'Promo Calendar'!$J$6:$J$400,"&gt;="&amp;$A236,'Promo Calendar'!$G$6:$G$400,"&gt;0")&gt;0,_xlfn.MINIFS('Promo Calendar'!$G$6:$G$400,'Promo Calendar'!$A$6:$A$400,$C236,'Promo Calendar'!$D$6:$D$400,"All",'Promo Calendar'!$I$6:$I$400,"&lt;="&amp;$A236,'Promo Calendar'!$J$6:$J$400,"&gt;="&amp;$A236,'Promo Calendar'!$G$6:$G$400,"&gt;0"),IFERROR(IF(INDEX('Chain Program'!$M$6:$M$120,MATCH($C236,'Chain Program'!$A$6:$A$120,0))="","Not set",INDEX('Chain Program'!$M$6:$M$120,MATCH($C236,'Chain Program'!$A$6:$A$120,0))),"Not set"))))</f>
        <v/>
      </c>
      <c r="I236" s="61" t="n"/>
      <c r="J236" s="45">
        <f>IF($I236="","",IF(NOT(ISNUMBER($H236)),"No plan price",IF(ABS($I236-$H236)&lt;0.005,"Match",IF($I236&gt;$H236,"Over plan","Under plan"))))</f>
        <v/>
      </c>
      <c r="K236" s="60" t="n"/>
      <c r="L236" s="60" t="n"/>
      <c r="M236" s="60" t="n"/>
      <c r="N236" s="60" t="n"/>
      <c r="O236" s="60" t="n"/>
      <c r="P236" s="62" t="n"/>
      <c r="Q236" s="62" t="n"/>
      <c r="R236" s="60" t="n"/>
      <c r="S236" s="59" t="n"/>
      <c r="T236" s="60" t="n"/>
      <c r="U236" s="59" t="n"/>
      <c r="V236" s="45">
        <f>IF(OR($A236="",$T236="",$T236="No Issue"),"",IF($T236="Resolved",IF($U236="","",$U236-$A236),TODAY()-$A236))</f>
        <v/>
      </c>
      <c r="W236" s="47">
        <f>IF(AND($C236&lt;&gt;"",$C236='Store History'!$C$4,OR('Store History'!$C$5="",$F236='Store History'!$C$5)),1,0)</f>
        <v/>
      </c>
      <c r="X236" s="47">
        <f>IF($W236=1,SUM($W236:$W$1005),"")</f>
        <v/>
      </c>
    </row>
    <row r="237">
      <c r="A237" s="59" t="n"/>
      <c r="B237" s="60" t="n"/>
      <c r="C237" s="60" t="n"/>
      <c r="D237" s="45">
        <f>IF($C237="","",IFERROR(INDEX('Chain Program'!$B$6:$B$120,MATCH($C237,'Chain Program'!$A$6:$A$120,0)),"Unknown ID"))</f>
        <v/>
      </c>
      <c r="E237" s="45">
        <f>IF($C237="","",IFERROR(INDEX('Chain Program'!$D$6:$D$120,MATCH($C237,'Chain Program'!$A$6:$A$120,0)),"Unknown ID"))</f>
        <v/>
      </c>
      <c r="F237" s="60" t="n"/>
      <c r="G237" s="60" t="n"/>
      <c r="H237" s="56">
        <f>IF(OR($C237="",$A237=""),"",IF(COUNTIFS('Promo Calendar'!$A$6:$A$400,$C237,'Promo Calendar'!$D$6:$D$400,IF($G237="","All",$G237),'Promo Calendar'!$I$6:$I$400,"&lt;="&amp;$A237,'Promo Calendar'!$J$6:$J$400,"&gt;="&amp;$A237,'Promo Calendar'!$G$6:$G$400,"&gt;0")&gt;0,_xlfn.MINIFS('Promo Calendar'!$G$6:$G$400,'Promo Calendar'!$A$6:$A$400,$C237,'Promo Calendar'!$D$6:$D$400,IF($G237="","All",$G237),'Promo Calendar'!$I$6:$I$400,"&lt;="&amp;$A237,'Promo Calendar'!$J$6:$J$400,"&gt;="&amp;$A237,'Promo Calendar'!$G$6:$G$400,"&gt;0"),IF(COUNTIFS('Promo Calendar'!$A$6:$A$400,$C237,'Promo Calendar'!$D$6:$D$400,"All",'Promo Calendar'!$I$6:$I$400,"&lt;="&amp;$A237,'Promo Calendar'!$J$6:$J$400,"&gt;="&amp;$A237,'Promo Calendar'!$G$6:$G$400,"&gt;0")&gt;0,_xlfn.MINIFS('Promo Calendar'!$G$6:$G$400,'Promo Calendar'!$A$6:$A$400,$C237,'Promo Calendar'!$D$6:$D$400,"All",'Promo Calendar'!$I$6:$I$400,"&lt;="&amp;$A237,'Promo Calendar'!$J$6:$J$400,"&gt;="&amp;$A237,'Promo Calendar'!$G$6:$G$400,"&gt;0"),IFERROR(IF(INDEX('Chain Program'!$M$6:$M$120,MATCH($C237,'Chain Program'!$A$6:$A$120,0))="","Not set",INDEX('Chain Program'!$M$6:$M$120,MATCH($C237,'Chain Program'!$A$6:$A$120,0))),"Not set"))))</f>
        <v/>
      </c>
      <c r="I237" s="61" t="n"/>
      <c r="J237" s="45">
        <f>IF($I237="","",IF(NOT(ISNUMBER($H237)),"No plan price",IF(ABS($I237-$H237)&lt;0.005,"Match",IF($I237&gt;$H237,"Over plan","Under plan"))))</f>
        <v/>
      </c>
      <c r="K237" s="60" t="n"/>
      <c r="L237" s="60" t="n"/>
      <c r="M237" s="60" t="n"/>
      <c r="N237" s="60" t="n"/>
      <c r="O237" s="60" t="n"/>
      <c r="P237" s="62" t="n"/>
      <c r="Q237" s="62" t="n"/>
      <c r="R237" s="60" t="n"/>
      <c r="S237" s="59" t="n"/>
      <c r="T237" s="60" t="n"/>
      <c r="U237" s="59" t="n"/>
      <c r="V237" s="45">
        <f>IF(OR($A237="",$T237="",$T237="No Issue"),"",IF($T237="Resolved",IF($U237="","",$U237-$A237),TODAY()-$A237))</f>
        <v/>
      </c>
      <c r="W237" s="47">
        <f>IF(AND($C237&lt;&gt;"",$C237='Store History'!$C$4,OR('Store History'!$C$5="",$F237='Store History'!$C$5)),1,0)</f>
        <v/>
      </c>
      <c r="X237" s="47">
        <f>IF($W237=1,SUM($W237:$W$1005),"")</f>
        <v/>
      </c>
    </row>
    <row r="238">
      <c r="A238" s="59" t="n"/>
      <c r="B238" s="60" t="n"/>
      <c r="C238" s="60" t="n"/>
      <c r="D238" s="45">
        <f>IF($C238="","",IFERROR(INDEX('Chain Program'!$B$6:$B$120,MATCH($C238,'Chain Program'!$A$6:$A$120,0)),"Unknown ID"))</f>
        <v/>
      </c>
      <c r="E238" s="45">
        <f>IF($C238="","",IFERROR(INDEX('Chain Program'!$D$6:$D$120,MATCH($C238,'Chain Program'!$A$6:$A$120,0)),"Unknown ID"))</f>
        <v/>
      </c>
      <c r="F238" s="60" t="n"/>
      <c r="G238" s="60" t="n"/>
      <c r="H238" s="56">
        <f>IF(OR($C238="",$A238=""),"",IF(COUNTIFS('Promo Calendar'!$A$6:$A$400,$C238,'Promo Calendar'!$D$6:$D$400,IF($G238="","All",$G238),'Promo Calendar'!$I$6:$I$400,"&lt;="&amp;$A238,'Promo Calendar'!$J$6:$J$400,"&gt;="&amp;$A238,'Promo Calendar'!$G$6:$G$400,"&gt;0")&gt;0,_xlfn.MINIFS('Promo Calendar'!$G$6:$G$400,'Promo Calendar'!$A$6:$A$400,$C238,'Promo Calendar'!$D$6:$D$400,IF($G238="","All",$G238),'Promo Calendar'!$I$6:$I$400,"&lt;="&amp;$A238,'Promo Calendar'!$J$6:$J$400,"&gt;="&amp;$A238,'Promo Calendar'!$G$6:$G$400,"&gt;0"),IF(COUNTIFS('Promo Calendar'!$A$6:$A$400,$C238,'Promo Calendar'!$D$6:$D$400,"All",'Promo Calendar'!$I$6:$I$400,"&lt;="&amp;$A238,'Promo Calendar'!$J$6:$J$400,"&gt;="&amp;$A238,'Promo Calendar'!$G$6:$G$400,"&gt;0")&gt;0,_xlfn.MINIFS('Promo Calendar'!$G$6:$G$400,'Promo Calendar'!$A$6:$A$400,$C238,'Promo Calendar'!$D$6:$D$400,"All",'Promo Calendar'!$I$6:$I$400,"&lt;="&amp;$A238,'Promo Calendar'!$J$6:$J$400,"&gt;="&amp;$A238,'Promo Calendar'!$G$6:$G$400,"&gt;0"),IFERROR(IF(INDEX('Chain Program'!$M$6:$M$120,MATCH($C238,'Chain Program'!$A$6:$A$120,0))="","Not set",INDEX('Chain Program'!$M$6:$M$120,MATCH($C238,'Chain Program'!$A$6:$A$120,0))),"Not set"))))</f>
        <v/>
      </c>
      <c r="I238" s="61" t="n"/>
      <c r="J238" s="45">
        <f>IF($I238="","",IF(NOT(ISNUMBER($H238)),"No plan price",IF(ABS($I238-$H238)&lt;0.005,"Match",IF($I238&gt;$H238,"Over plan","Under plan"))))</f>
        <v/>
      </c>
      <c r="K238" s="60" t="n"/>
      <c r="L238" s="60" t="n"/>
      <c r="M238" s="60" t="n"/>
      <c r="N238" s="60" t="n"/>
      <c r="O238" s="60" t="n"/>
      <c r="P238" s="62" t="n"/>
      <c r="Q238" s="62" t="n"/>
      <c r="R238" s="60" t="n"/>
      <c r="S238" s="59" t="n"/>
      <c r="T238" s="60" t="n"/>
      <c r="U238" s="59" t="n"/>
      <c r="V238" s="45">
        <f>IF(OR($A238="",$T238="",$T238="No Issue"),"",IF($T238="Resolved",IF($U238="","",$U238-$A238),TODAY()-$A238))</f>
        <v/>
      </c>
      <c r="W238" s="47">
        <f>IF(AND($C238&lt;&gt;"",$C238='Store History'!$C$4,OR('Store History'!$C$5="",$F238='Store History'!$C$5)),1,0)</f>
        <v/>
      </c>
      <c r="X238" s="47">
        <f>IF($W238=1,SUM($W238:$W$1005),"")</f>
        <v/>
      </c>
    </row>
    <row r="239">
      <c r="A239" s="59" t="n"/>
      <c r="B239" s="60" t="n"/>
      <c r="C239" s="60" t="n"/>
      <c r="D239" s="45">
        <f>IF($C239="","",IFERROR(INDEX('Chain Program'!$B$6:$B$120,MATCH($C239,'Chain Program'!$A$6:$A$120,0)),"Unknown ID"))</f>
        <v/>
      </c>
      <c r="E239" s="45">
        <f>IF($C239="","",IFERROR(INDEX('Chain Program'!$D$6:$D$120,MATCH($C239,'Chain Program'!$A$6:$A$120,0)),"Unknown ID"))</f>
        <v/>
      </c>
      <c r="F239" s="60" t="n"/>
      <c r="G239" s="60" t="n"/>
      <c r="H239" s="56">
        <f>IF(OR($C239="",$A239=""),"",IF(COUNTIFS('Promo Calendar'!$A$6:$A$400,$C239,'Promo Calendar'!$D$6:$D$400,IF($G239="","All",$G239),'Promo Calendar'!$I$6:$I$400,"&lt;="&amp;$A239,'Promo Calendar'!$J$6:$J$400,"&gt;="&amp;$A239,'Promo Calendar'!$G$6:$G$400,"&gt;0")&gt;0,_xlfn.MINIFS('Promo Calendar'!$G$6:$G$400,'Promo Calendar'!$A$6:$A$400,$C239,'Promo Calendar'!$D$6:$D$400,IF($G239="","All",$G239),'Promo Calendar'!$I$6:$I$400,"&lt;="&amp;$A239,'Promo Calendar'!$J$6:$J$400,"&gt;="&amp;$A239,'Promo Calendar'!$G$6:$G$400,"&gt;0"),IF(COUNTIFS('Promo Calendar'!$A$6:$A$400,$C239,'Promo Calendar'!$D$6:$D$400,"All",'Promo Calendar'!$I$6:$I$400,"&lt;="&amp;$A239,'Promo Calendar'!$J$6:$J$400,"&gt;="&amp;$A239,'Promo Calendar'!$G$6:$G$400,"&gt;0")&gt;0,_xlfn.MINIFS('Promo Calendar'!$G$6:$G$400,'Promo Calendar'!$A$6:$A$400,$C239,'Promo Calendar'!$D$6:$D$400,"All",'Promo Calendar'!$I$6:$I$400,"&lt;="&amp;$A239,'Promo Calendar'!$J$6:$J$400,"&gt;="&amp;$A239,'Promo Calendar'!$G$6:$G$400,"&gt;0"),IFERROR(IF(INDEX('Chain Program'!$M$6:$M$120,MATCH($C239,'Chain Program'!$A$6:$A$120,0))="","Not set",INDEX('Chain Program'!$M$6:$M$120,MATCH($C239,'Chain Program'!$A$6:$A$120,0))),"Not set"))))</f>
        <v/>
      </c>
      <c r="I239" s="61" t="n"/>
      <c r="J239" s="45">
        <f>IF($I239="","",IF(NOT(ISNUMBER($H239)),"No plan price",IF(ABS($I239-$H239)&lt;0.005,"Match",IF($I239&gt;$H239,"Over plan","Under plan"))))</f>
        <v/>
      </c>
      <c r="K239" s="60" t="n"/>
      <c r="L239" s="60" t="n"/>
      <c r="M239" s="60" t="n"/>
      <c r="N239" s="60" t="n"/>
      <c r="O239" s="60" t="n"/>
      <c r="P239" s="62" t="n"/>
      <c r="Q239" s="62" t="n"/>
      <c r="R239" s="60" t="n"/>
      <c r="S239" s="59" t="n"/>
      <c r="T239" s="60" t="n"/>
      <c r="U239" s="59" t="n"/>
      <c r="V239" s="45">
        <f>IF(OR($A239="",$T239="",$T239="No Issue"),"",IF($T239="Resolved",IF($U239="","",$U239-$A239),TODAY()-$A239))</f>
        <v/>
      </c>
      <c r="W239" s="47">
        <f>IF(AND($C239&lt;&gt;"",$C239='Store History'!$C$4,OR('Store History'!$C$5="",$F239='Store History'!$C$5)),1,0)</f>
        <v/>
      </c>
      <c r="X239" s="47">
        <f>IF($W239=1,SUM($W239:$W$1005),"")</f>
        <v/>
      </c>
    </row>
    <row r="240">
      <c r="A240" s="59" t="n"/>
      <c r="B240" s="60" t="n"/>
      <c r="C240" s="60" t="n"/>
      <c r="D240" s="45">
        <f>IF($C240="","",IFERROR(INDEX('Chain Program'!$B$6:$B$120,MATCH($C240,'Chain Program'!$A$6:$A$120,0)),"Unknown ID"))</f>
        <v/>
      </c>
      <c r="E240" s="45">
        <f>IF($C240="","",IFERROR(INDEX('Chain Program'!$D$6:$D$120,MATCH($C240,'Chain Program'!$A$6:$A$120,0)),"Unknown ID"))</f>
        <v/>
      </c>
      <c r="F240" s="60" t="n"/>
      <c r="G240" s="60" t="n"/>
      <c r="H240" s="56">
        <f>IF(OR($C240="",$A240=""),"",IF(COUNTIFS('Promo Calendar'!$A$6:$A$400,$C240,'Promo Calendar'!$D$6:$D$400,IF($G240="","All",$G240),'Promo Calendar'!$I$6:$I$400,"&lt;="&amp;$A240,'Promo Calendar'!$J$6:$J$400,"&gt;="&amp;$A240,'Promo Calendar'!$G$6:$G$400,"&gt;0")&gt;0,_xlfn.MINIFS('Promo Calendar'!$G$6:$G$400,'Promo Calendar'!$A$6:$A$400,$C240,'Promo Calendar'!$D$6:$D$400,IF($G240="","All",$G240),'Promo Calendar'!$I$6:$I$400,"&lt;="&amp;$A240,'Promo Calendar'!$J$6:$J$400,"&gt;="&amp;$A240,'Promo Calendar'!$G$6:$G$400,"&gt;0"),IF(COUNTIFS('Promo Calendar'!$A$6:$A$400,$C240,'Promo Calendar'!$D$6:$D$400,"All",'Promo Calendar'!$I$6:$I$400,"&lt;="&amp;$A240,'Promo Calendar'!$J$6:$J$400,"&gt;="&amp;$A240,'Promo Calendar'!$G$6:$G$400,"&gt;0")&gt;0,_xlfn.MINIFS('Promo Calendar'!$G$6:$G$400,'Promo Calendar'!$A$6:$A$400,$C240,'Promo Calendar'!$D$6:$D$400,"All",'Promo Calendar'!$I$6:$I$400,"&lt;="&amp;$A240,'Promo Calendar'!$J$6:$J$400,"&gt;="&amp;$A240,'Promo Calendar'!$G$6:$G$400,"&gt;0"),IFERROR(IF(INDEX('Chain Program'!$M$6:$M$120,MATCH($C240,'Chain Program'!$A$6:$A$120,0))="","Not set",INDEX('Chain Program'!$M$6:$M$120,MATCH($C240,'Chain Program'!$A$6:$A$120,0))),"Not set"))))</f>
        <v/>
      </c>
      <c r="I240" s="61" t="n"/>
      <c r="J240" s="45">
        <f>IF($I240="","",IF(NOT(ISNUMBER($H240)),"No plan price",IF(ABS($I240-$H240)&lt;0.005,"Match",IF($I240&gt;$H240,"Over plan","Under plan"))))</f>
        <v/>
      </c>
      <c r="K240" s="60" t="n"/>
      <c r="L240" s="60" t="n"/>
      <c r="M240" s="60" t="n"/>
      <c r="N240" s="60" t="n"/>
      <c r="O240" s="60" t="n"/>
      <c r="P240" s="62" t="n"/>
      <c r="Q240" s="62" t="n"/>
      <c r="R240" s="60" t="n"/>
      <c r="S240" s="59" t="n"/>
      <c r="T240" s="60" t="n"/>
      <c r="U240" s="59" t="n"/>
      <c r="V240" s="45">
        <f>IF(OR($A240="",$T240="",$T240="No Issue"),"",IF($T240="Resolved",IF($U240="","",$U240-$A240),TODAY()-$A240))</f>
        <v/>
      </c>
      <c r="W240" s="47">
        <f>IF(AND($C240&lt;&gt;"",$C240='Store History'!$C$4,OR('Store History'!$C$5="",$F240='Store History'!$C$5)),1,0)</f>
        <v/>
      </c>
      <c r="X240" s="47">
        <f>IF($W240=1,SUM($W240:$W$1005),"")</f>
        <v/>
      </c>
    </row>
    <row r="241">
      <c r="A241" s="59" t="n"/>
      <c r="B241" s="60" t="n"/>
      <c r="C241" s="60" t="n"/>
      <c r="D241" s="45">
        <f>IF($C241="","",IFERROR(INDEX('Chain Program'!$B$6:$B$120,MATCH($C241,'Chain Program'!$A$6:$A$120,0)),"Unknown ID"))</f>
        <v/>
      </c>
      <c r="E241" s="45">
        <f>IF($C241="","",IFERROR(INDEX('Chain Program'!$D$6:$D$120,MATCH($C241,'Chain Program'!$A$6:$A$120,0)),"Unknown ID"))</f>
        <v/>
      </c>
      <c r="F241" s="60" t="n"/>
      <c r="G241" s="60" t="n"/>
      <c r="H241" s="56">
        <f>IF(OR($C241="",$A241=""),"",IF(COUNTIFS('Promo Calendar'!$A$6:$A$400,$C241,'Promo Calendar'!$D$6:$D$400,IF($G241="","All",$G241),'Promo Calendar'!$I$6:$I$400,"&lt;="&amp;$A241,'Promo Calendar'!$J$6:$J$400,"&gt;="&amp;$A241,'Promo Calendar'!$G$6:$G$400,"&gt;0")&gt;0,_xlfn.MINIFS('Promo Calendar'!$G$6:$G$400,'Promo Calendar'!$A$6:$A$400,$C241,'Promo Calendar'!$D$6:$D$400,IF($G241="","All",$G241),'Promo Calendar'!$I$6:$I$400,"&lt;="&amp;$A241,'Promo Calendar'!$J$6:$J$400,"&gt;="&amp;$A241,'Promo Calendar'!$G$6:$G$400,"&gt;0"),IF(COUNTIFS('Promo Calendar'!$A$6:$A$400,$C241,'Promo Calendar'!$D$6:$D$400,"All",'Promo Calendar'!$I$6:$I$400,"&lt;="&amp;$A241,'Promo Calendar'!$J$6:$J$400,"&gt;="&amp;$A241,'Promo Calendar'!$G$6:$G$400,"&gt;0")&gt;0,_xlfn.MINIFS('Promo Calendar'!$G$6:$G$400,'Promo Calendar'!$A$6:$A$400,$C241,'Promo Calendar'!$D$6:$D$400,"All",'Promo Calendar'!$I$6:$I$400,"&lt;="&amp;$A241,'Promo Calendar'!$J$6:$J$400,"&gt;="&amp;$A241,'Promo Calendar'!$G$6:$G$400,"&gt;0"),IFERROR(IF(INDEX('Chain Program'!$M$6:$M$120,MATCH($C241,'Chain Program'!$A$6:$A$120,0))="","Not set",INDEX('Chain Program'!$M$6:$M$120,MATCH($C241,'Chain Program'!$A$6:$A$120,0))),"Not set"))))</f>
        <v/>
      </c>
      <c r="I241" s="61" t="n"/>
      <c r="J241" s="45">
        <f>IF($I241="","",IF(NOT(ISNUMBER($H241)),"No plan price",IF(ABS($I241-$H241)&lt;0.005,"Match",IF($I241&gt;$H241,"Over plan","Under plan"))))</f>
        <v/>
      </c>
      <c r="K241" s="60" t="n"/>
      <c r="L241" s="60" t="n"/>
      <c r="M241" s="60" t="n"/>
      <c r="N241" s="60" t="n"/>
      <c r="O241" s="60" t="n"/>
      <c r="P241" s="62" t="n"/>
      <c r="Q241" s="62" t="n"/>
      <c r="R241" s="60" t="n"/>
      <c r="S241" s="59" t="n"/>
      <c r="T241" s="60" t="n"/>
      <c r="U241" s="59" t="n"/>
      <c r="V241" s="45">
        <f>IF(OR($A241="",$T241="",$T241="No Issue"),"",IF($T241="Resolved",IF($U241="","",$U241-$A241),TODAY()-$A241))</f>
        <v/>
      </c>
      <c r="W241" s="47">
        <f>IF(AND($C241&lt;&gt;"",$C241='Store History'!$C$4,OR('Store History'!$C$5="",$F241='Store History'!$C$5)),1,0)</f>
        <v/>
      </c>
      <c r="X241" s="47">
        <f>IF($W241=1,SUM($W241:$W$1005),"")</f>
        <v/>
      </c>
    </row>
    <row r="242">
      <c r="A242" s="59" t="n"/>
      <c r="B242" s="60" t="n"/>
      <c r="C242" s="60" t="n"/>
      <c r="D242" s="45">
        <f>IF($C242="","",IFERROR(INDEX('Chain Program'!$B$6:$B$120,MATCH($C242,'Chain Program'!$A$6:$A$120,0)),"Unknown ID"))</f>
        <v/>
      </c>
      <c r="E242" s="45">
        <f>IF($C242="","",IFERROR(INDEX('Chain Program'!$D$6:$D$120,MATCH($C242,'Chain Program'!$A$6:$A$120,0)),"Unknown ID"))</f>
        <v/>
      </c>
      <c r="F242" s="60" t="n"/>
      <c r="G242" s="60" t="n"/>
      <c r="H242" s="56">
        <f>IF(OR($C242="",$A242=""),"",IF(COUNTIFS('Promo Calendar'!$A$6:$A$400,$C242,'Promo Calendar'!$D$6:$D$400,IF($G242="","All",$G242),'Promo Calendar'!$I$6:$I$400,"&lt;="&amp;$A242,'Promo Calendar'!$J$6:$J$400,"&gt;="&amp;$A242,'Promo Calendar'!$G$6:$G$400,"&gt;0")&gt;0,_xlfn.MINIFS('Promo Calendar'!$G$6:$G$400,'Promo Calendar'!$A$6:$A$400,$C242,'Promo Calendar'!$D$6:$D$400,IF($G242="","All",$G242),'Promo Calendar'!$I$6:$I$400,"&lt;="&amp;$A242,'Promo Calendar'!$J$6:$J$400,"&gt;="&amp;$A242,'Promo Calendar'!$G$6:$G$400,"&gt;0"),IF(COUNTIFS('Promo Calendar'!$A$6:$A$400,$C242,'Promo Calendar'!$D$6:$D$400,"All",'Promo Calendar'!$I$6:$I$400,"&lt;="&amp;$A242,'Promo Calendar'!$J$6:$J$400,"&gt;="&amp;$A242,'Promo Calendar'!$G$6:$G$400,"&gt;0")&gt;0,_xlfn.MINIFS('Promo Calendar'!$G$6:$G$400,'Promo Calendar'!$A$6:$A$400,$C242,'Promo Calendar'!$D$6:$D$400,"All",'Promo Calendar'!$I$6:$I$400,"&lt;="&amp;$A242,'Promo Calendar'!$J$6:$J$400,"&gt;="&amp;$A242,'Promo Calendar'!$G$6:$G$400,"&gt;0"),IFERROR(IF(INDEX('Chain Program'!$M$6:$M$120,MATCH($C242,'Chain Program'!$A$6:$A$120,0))="","Not set",INDEX('Chain Program'!$M$6:$M$120,MATCH($C242,'Chain Program'!$A$6:$A$120,0))),"Not set"))))</f>
        <v/>
      </c>
      <c r="I242" s="61" t="n"/>
      <c r="J242" s="45">
        <f>IF($I242="","",IF(NOT(ISNUMBER($H242)),"No plan price",IF(ABS($I242-$H242)&lt;0.005,"Match",IF($I242&gt;$H242,"Over plan","Under plan"))))</f>
        <v/>
      </c>
      <c r="K242" s="60" t="n"/>
      <c r="L242" s="60" t="n"/>
      <c r="M242" s="60" t="n"/>
      <c r="N242" s="60" t="n"/>
      <c r="O242" s="60" t="n"/>
      <c r="P242" s="62" t="n"/>
      <c r="Q242" s="62" t="n"/>
      <c r="R242" s="60" t="n"/>
      <c r="S242" s="59" t="n"/>
      <c r="T242" s="60" t="n"/>
      <c r="U242" s="59" t="n"/>
      <c r="V242" s="45">
        <f>IF(OR($A242="",$T242="",$T242="No Issue"),"",IF($T242="Resolved",IF($U242="","",$U242-$A242),TODAY()-$A242))</f>
        <v/>
      </c>
      <c r="W242" s="47">
        <f>IF(AND($C242&lt;&gt;"",$C242='Store History'!$C$4,OR('Store History'!$C$5="",$F242='Store History'!$C$5)),1,0)</f>
        <v/>
      </c>
      <c r="X242" s="47">
        <f>IF($W242=1,SUM($W242:$W$1005),"")</f>
        <v/>
      </c>
    </row>
    <row r="243">
      <c r="A243" s="59" t="n"/>
      <c r="B243" s="60" t="n"/>
      <c r="C243" s="60" t="n"/>
      <c r="D243" s="45">
        <f>IF($C243="","",IFERROR(INDEX('Chain Program'!$B$6:$B$120,MATCH($C243,'Chain Program'!$A$6:$A$120,0)),"Unknown ID"))</f>
        <v/>
      </c>
      <c r="E243" s="45">
        <f>IF($C243="","",IFERROR(INDEX('Chain Program'!$D$6:$D$120,MATCH($C243,'Chain Program'!$A$6:$A$120,0)),"Unknown ID"))</f>
        <v/>
      </c>
      <c r="F243" s="60" t="n"/>
      <c r="G243" s="60" t="n"/>
      <c r="H243" s="56">
        <f>IF(OR($C243="",$A243=""),"",IF(COUNTIFS('Promo Calendar'!$A$6:$A$400,$C243,'Promo Calendar'!$D$6:$D$400,IF($G243="","All",$G243),'Promo Calendar'!$I$6:$I$400,"&lt;="&amp;$A243,'Promo Calendar'!$J$6:$J$400,"&gt;="&amp;$A243,'Promo Calendar'!$G$6:$G$400,"&gt;0")&gt;0,_xlfn.MINIFS('Promo Calendar'!$G$6:$G$400,'Promo Calendar'!$A$6:$A$400,$C243,'Promo Calendar'!$D$6:$D$400,IF($G243="","All",$G243),'Promo Calendar'!$I$6:$I$400,"&lt;="&amp;$A243,'Promo Calendar'!$J$6:$J$400,"&gt;="&amp;$A243,'Promo Calendar'!$G$6:$G$400,"&gt;0"),IF(COUNTIFS('Promo Calendar'!$A$6:$A$400,$C243,'Promo Calendar'!$D$6:$D$400,"All",'Promo Calendar'!$I$6:$I$400,"&lt;="&amp;$A243,'Promo Calendar'!$J$6:$J$400,"&gt;="&amp;$A243,'Promo Calendar'!$G$6:$G$400,"&gt;0")&gt;0,_xlfn.MINIFS('Promo Calendar'!$G$6:$G$400,'Promo Calendar'!$A$6:$A$400,$C243,'Promo Calendar'!$D$6:$D$400,"All",'Promo Calendar'!$I$6:$I$400,"&lt;="&amp;$A243,'Promo Calendar'!$J$6:$J$400,"&gt;="&amp;$A243,'Promo Calendar'!$G$6:$G$400,"&gt;0"),IFERROR(IF(INDEX('Chain Program'!$M$6:$M$120,MATCH($C243,'Chain Program'!$A$6:$A$120,0))="","Not set",INDEX('Chain Program'!$M$6:$M$120,MATCH($C243,'Chain Program'!$A$6:$A$120,0))),"Not set"))))</f>
        <v/>
      </c>
      <c r="I243" s="61" t="n"/>
      <c r="J243" s="45">
        <f>IF($I243="","",IF(NOT(ISNUMBER($H243)),"No plan price",IF(ABS($I243-$H243)&lt;0.005,"Match",IF($I243&gt;$H243,"Over plan","Under plan"))))</f>
        <v/>
      </c>
      <c r="K243" s="60" t="n"/>
      <c r="L243" s="60" t="n"/>
      <c r="M243" s="60" t="n"/>
      <c r="N243" s="60" t="n"/>
      <c r="O243" s="60" t="n"/>
      <c r="P243" s="62" t="n"/>
      <c r="Q243" s="62" t="n"/>
      <c r="R243" s="60" t="n"/>
      <c r="S243" s="59" t="n"/>
      <c r="T243" s="60" t="n"/>
      <c r="U243" s="59" t="n"/>
      <c r="V243" s="45">
        <f>IF(OR($A243="",$T243="",$T243="No Issue"),"",IF($T243="Resolved",IF($U243="","",$U243-$A243),TODAY()-$A243))</f>
        <v/>
      </c>
      <c r="W243" s="47">
        <f>IF(AND($C243&lt;&gt;"",$C243='Store History'!$C$4,OR('Store History'!$C$5="",$F243='Store History'!$C$5)),1,0)</f>
        <v/>
      </c>
      <c r="X243" s="47">
        <f>IF($W243=1,SUM($W243:$W$1005),"")</f>
        <v/>
      </c>
    </row>
    <row r="244">
      <c r="A244" s="59" t="n"/>
      <c r="B244" s="60" t="n"/>
      <c r="C244" s="60" t="n"/>
      <c r="D244" s="45">
        <f>IF($C244="","",IFERROR(INDEX('Chain Program'!$B$6:$B$120,MATCH($C244,'Chain Program'!$A$6:$A$120,0)),"Unknown ID"))</f>
        <v/>
      </c>
      <c r="E244" s="45">
        <f>IF($C244="","",IFERROR(INDEX('Chain Program'!$D$6:$D$120,MATCH($C244,'Chain Program'!$A$6:$A$120,0)),"Unknown ID"))</f>
        <v/>
      </c>
      <c r="F244" s="60" t="n"/>
      <c r="G244" s="60" t="n"/>
      <c r="H244" s="56">
        <f>IF(OR($C244="",$A244=""),"",IF(COUNTIFS('Promo Calendar'!$A$6:$A$400,$C244,'Promo Calendar'!$D$6:$D$400,IF($G244="","All",$G244),'Promo Calendar'!$I$6:$I$400,"&lt;="&amp;$A244,'Promo Calendar'!$J$6:$J$400,"&gt;="&amp;$A244,'Promo Calendar'!$G$6:$G$400,"&gt;0")&gt;0,_xlfn.MINIFS('Promo Calendar'!$G$6:$G$400,'Promo Calendar'!$A$6:$A$400,$C244,'Promo Calendar'!$D$6:$D$400,IF($G244="","All",$G244),'Promo Calendar'!$I$6:$I$400,"&lt;="&amp;$A244,'Promo Calendar'!$J$6:$J$400,"&gt;="&amp;$A244,'Promo Calendar'!$G$6:$G$400,"&gt;0"),IF(COUNTIFS('Promo Calendar'!$A$6:$A$400,$C244,'Promo Calendar'!$D$6:$D$400,"All",'Promo Calendar'!$I$6:$I$400,"&lt;="&amp;$A244,'Promo Calendar'!$J$6:$J$400,"&gt;="&amp;$A244,'Promo Calendar'!$G$6:$G$400,"&gt;0")&gt;0,_xlfn.MINIFS('Promo Calendar'!$G$6:$G$400,'Promo Calendar'!$A$6:$A$400,$C244,'Promo Calendar'!$D$6:$D$400,"All",'Promo Calendar'!$I$6:$I$400,"&lt;="&amp;$A244,'Promo Calendar'!$J$6:$J$400,"&gt;="&amp;$A244,'Promo Calendar'!$G$6:$G$400,"&gt;0"),IFERROR(IF(INDEX('Chain Program'!$M$6:$M$120,MATCH($C244,'Chain Program'!$A$6:$A$120,0))="","Not set",INDEX('Chain Program'!$M$6:$M$120,MATCH($C244,'Chain Program'!$A$6:$A$120,0))),"Not set"))))</f>
        <v/>
      </c>
      <c r="I244" s="61" t="n"/>
      <c r="J244" s="45">
        <f>IF($I244="","",IF(NOT(ISNUMBER($H244)),"No plan price",IF(ABS($I244-$H244)&lt;0.005,"Match",IF($I244&gt;$H244,"Over plan","Under plan"))))</f>
        <v/>
      </c>
      <c r="K244" s="60" t="n"/>
      <c r="L244" s="60" t="n"/>
      <c r="M244" s="60" t="n"/>
      <c r="N244" s="60" t="n"/>
      <c r="O244" s="60" t="n"/>
      <c r="P244" s="62" t="n"/>
      <c r="Q244" s="62" t="n"/>
      <c r="R244" s="60" t="n"/>
      <c r="S244" s="59" t="n"/>
      <c r="T244" s="60" t="n"/>
      <c r="U244" s="59" t="n"/>
      <c r="V244" s="45">
        <f>IF(OR($A244="",$T244="",$T244="No Issue"),"",IF($T244="Resolved",IF($U244="","",$U244-$A244),TODAY()-$A244))</f>
        <v/>
      </c>
      <c r="W244" s="47">
        <f>IF(AND($C244&lt;&gt;"",$C244='Store History'!$C$4,OR('Store History'!$C$5="",$F244='Store History'!$C$5)),1,0)</f>
        <v/>
      </c>
      <c r="X244" s="47">
        <f>IF($W244=1,SUM($W244:$W$1005),"")</f>
        <v/>
      </c>
    </row>
    <row r="245">
      <c r="A245" s="59" t="n"/>
      <c r="B245" s="60" t="n"/>
      <c r="C245" s="60" t="n"/>
      <c r="D245" s="45">
        <f>IF($C245="","",IFERROR(INDEX('Chain Program'!$B$6:$B$120,MATCH($C245,'Chain Program'!$A$6:$A$120,0)),"Unknown ID"))</f>
        <v/>
      </c>
      <c r="E245" s="45">
        <f>IF($C245="","",IFERROR(INDEX('Chain Program'!$D$6:$D$120,MATCH($C245,'Chain Program'!$A$6:$A$120,0)),"Unknown ID"))</f>
        <v/>
      </c>
      <c r="F245" s="60" t="n"/>
      <c r="G245" s="60" t="n"/>
      <c r="H245" s="56">
        <f>IF(OR($C245="",$A245=""),"",IF(COUNTIFS('Promo Calendar'!$A$6:$A$400,$C245,'Promo Calendar'!$D$6:$D$400,IF($G245="","All",$G245),'Promo Calendar'!$I$6:$I$400,"&lt;="&amp;$A245,'Promo Calendar'!$J$6:$J$400,"&gt;="&amp;$A245,'Promo Calendar'!$G$6:$G$400,"&gt;0")&gt;0,_xlfn.MINIFS('Promo Calendar'!$G$6:$G$400,'Promo Calendar'!$A$6:$A$400,$C245,'Promo Calendar'!$D$6:$D$400,IF($G245="","All",$G245),'Promo Calendar'!$I$6:$I$400,"&lt;="&amp;$A245,'Promo Calendar'!$J$6:$J$400,"&gt;="&amp;$A245,'Promo Calendar'!$G$6:$G$400,"&gt;0"),IF(COUNTIFS('Promo Calendar'!$A$6:$A$400,$C245,'Promo Calendar'!$D$6:$D$400,"All",'Promo Calendar'!$I$6:$I$400,"&lt;="&amp;$A245,'Promo Calendar'!$J$6:$J$400,"&gt;="&amp;$A245,'Promo Calendar'!$G$6:$G$400,"&gt;0")&gt;0,_xlfn.MINIFS('Promo Calendar'!$G$6:$G$400,'Promo Calendar'!$A$6:$A$400,$C245,'Promo Calendar'!$D$6:$D$400,"All",'Promo Calendar'!$I$6:$I$400,"&lt;="&amp;$A245,'Promo Calendar'!$J$6:$J$400,"&gt;="&amp;$A245,'Promo Calendar'!$G$6:$G$400,"&gt;0"),IFERROR(IF(INDEX('Chain Program'!$M$6:$M$120,MATCH($C245,'Chain Program'!$A$6:$A$120,0))="","Not set",INDEX('Chain Program'!$M$6:$M$120,MATCH($C245,'Chain Program'!$A$6:$A$120,0))),"Not set"))))</f>
        <v/>
      </c>
      <c r="I245" s="61" t="n"/>
      <c r="J245" s="45">
        <f>IF($I245="","",IF(NOT(ISNUMBER($H245)),"No plan price",IF(ABS($I245-$H245)&lt;0.005,"Match",IF($I245&gt;$H245,"Over plan","Under plan"))))</f>
        <v/>
      </c>
      <c r="K245" s="60" t="n"/>
      <c r="L245" s="60" t="n"/>
      <c r="M245" s="60" t="n"/>
      <c r="N245" s="60" t="n"/>
      <c r="O245" s="60" t="n"/>
      <c r="P245" s="62" t="n"/>
      <c r="Q245" s="62" t="n"/>
      <c r="R245" s="60" t="n"/>
      <c r="S245" s="59" t="n"/>
      <c r="T245" s="60" t="n"/>
      <c r="U245" s="59" t="n"/>
      <c r="V245" s="45">
        <f>IF(OR($A245="",$T245="",$T245="No Issue"),"",IF($T245="Resolved",IF($U245="","",$U245-$A245),TODAY()-$A245))</f>
        <v/>
      </c>
      <c r="W245" s="47">
        <f>IF(AND($C245&lt;&gt;"",$C245='Store History'!$C$4,OR('Store History'!$C$5="",$F245='Store History'!$C$5)),1,0)</f>
        <v/>
      </c>
      <c r="X245" s="47">
        <f>IF($W245=1,SUM($W245:$W$1005),"")</f>
        <v/>
      </c>
    </row>
    <row r="246">
      <c r="A246" s="59" t="n"/>
      <c r="B246" s="60" t="n"/>
      <c r="C246" s="60" t="n"/>
      <c r="D246" s="45">
        <f>IF($C246="","",IFERROR(INDEX('Chain Program'!$B$6:$B$120,MATCH($C246,'Chain Program'!$A$6:$A$120,0)),"Unknown ID"))</f>
        <v/>
      </c>
      <c r="E246" s="45">
        <f>IF($C246="","",IFERROR(INDEX('Chain Program'!$D$6:$D$120,MATCH($C246,'Chain Program'!$A$6:$A$120,0)),"Unknown ID"))</f>
        <v/>
      </c>
      <c r="F246" s="60" t="n"/>
      <c r="G246" s="60" t="n"/>
      <c r="H246" s="56">
        <f>IF(OR($C246="",$A246=""),"",IF(COUNTIFS('Promo Calendar'!$A$6:$A$400,$C246,'Promo Calendar'!$D$6:$D$400,IF($G246="","All",$G246),'Promo Calendar'!$I$6:$I$400,"&lt;="&amp;$A246,'Promo Calendar'!$J$6:$J$400,"&gt;="&amp;$A246,'Promo Calendar'!$G$6:$G$400,"&gt;0")&gt;0,_xlfn.MINIFS('Promo Calendar'!$G$6:$G$400,'Promo Calendar'!$A$6:$A$400,$C246,'Promo Calendar'!$D$6:$D$400,IF($G246="","All",$G246),'Promo Calendar'!$I$6:$I$400,"&lt;="&amp;$A246,'Promo Calendar'!$J$6:$J$400,"&gt;="&amp;$A246,'Promo Calendar'!$G$6:$G$400,"&gt;0"),IF(COUNTIFS('Promo Calendar'!$A$6:$A$400,$C246,'Promo Calendar'!$D$6:$D$400,"All",'Promo Calendar'!$I$6:$I$400,"&lt;="&amp;$A246,'Promo Calendar'!$J$6:$J$400,"&gt;="&amp;$A246,'Promo Calendar'!$G$6:$G$400,"&gt;0")&gt;0,_xlfn.MINIFS('Promo Calendar'!$G$6:$G$400,'Promo Calendar'!$A$6:$A$400,$C246,'Promo Calendar'!$D$6:$D$400,"All",'Promo Calendar'!$I$6:$I$400,"&lt;="&amp;$A246,'Promo Calendar'!$J$6:$J$400,"&gt;="&amp;$A246,'Promo Calendar'!$G$6:$G$400,"&gt;0"),IFERROR(IF(INDEX('Chain Program'!$M$6:$M$120,MATCH($C246,'Chain Program'!$A$6:$A$120,0))="","Not set",INDEX('Chain Program'!$M$6:$M$120,MATCH($C246,'Chain Program'!$A$6:$A$120,0))),"Not set"))))</f>
        <v/>
      </c>
      <c r="I246" s="61" t="n"/>
      <c r="J246" s="45">
        <f>IF($I246="","",IF(NOT(ISNUMBER($H246)),"No plan price",IF(ABS($I246-$H246)&lt;0.005,"Match",IF($I246&gt;$H246,"Over plan","Under plan"))))</f>
        <v/>
      </c>
      <c r="K246" s="60" t="n"/>
      <c r="L246" s="60" t="n"/>
      <c r="M246" s="60" t="n"/>
      <c r="N246" s="60" t="n"/>
      <c r="O246" s="60" t="n"/>
      <c r="P246" s="62" t="n"/>
      <c r="Q246" s="62" t="n"/>
      <c r="R246" s="60" t="n"/>
      <c r="S246" s="59" t="n"/>
      <c r="T246" s="60" t="n"/>
      <c r="U246" s="59" t="n"/>
      <c r="V246" s="45">
        <f>IF(OR($A246="",$T246="",$T246="No Issue"),"",IF($T246="Resolved",IF($U246="","",$U246-$A246),TODAY()-$A246))</f>
        <v/>
      </c>
      <c r="W246" s="47">
        <f>IF(AND($C246&lt;&gt;"",$C246='Store History'!$C$4,OR('Store History'!$C$5="",$F246='Store History'!$C$5)),1,0)</f>
        <v/>
      </c>
      <c r="X246" s="47">
        <f>IF($W246=1,SUM($W246:$W$1005),"")</f>
        <v/>
      </c>
    </row>
    <row r="247">
      <c r="A247" s="59" t="n"/>
      <c r="B247" s="60" t="n"/>
      <c r="C247" s="60" t="n"/>
      <c r="D247" s="45">
        <f>IF($C247="","",IFERROR(INDEX('Chain Program'!$B$6:$B$120,MATCH($C247,'Chain Program'!$A$6:$A$120,0)),"Unknown ID"))</f>
        <v/>
      </c>
      <c r="E247" s="45">
        <f>IF($C247="","",IFERROR(INDEX('Chain Program'!$D$6:$D$120,MATCH($C247,'Chain Program'!$A$6:$A$120,0)),"Unknown ID"))</f>
        <v/>
      </c>
      <c r="F247" s="60" t="n"/>
      <c r="G247" s="60" t="n"/>
      <c r="H247" s="56">
        <f>IF(OR($C247="",$A247=""),"",IF(COUNTIFS('Promo Calendar'!$A$6:$A$400,$C247,'Promo Calendar'!$D$6:$D$400,IF($G247="","All",$G247),'Promo Calendar'!$I$6:$I$400,"&lt;="&amp;$A247,'Promo Calendar'!$J$6:$J$400,"&gt;="&amp;$A247,'Promo Calendar'!$G$6:$G$400,"&gt;0")&gt;0,_xlfn.MINIFS('Promo Calendar'!$G$6:$G$400,'Promo Calendar'!$A$6:$A$400,$C247,'Promo Calendar'!$D$6:$D$400,IF($G247="","All",$G247),'Promo Calendar'!$I$6:$I$400,"&lt;="&amp;$A247,'Promo Calendar'!$J$6:$J$400,"&gt;="&amp;$A247,'Promo Calendar'!$G$6:$G$400,"&gt;0"),IF(COUNTIFS('Promo Calendar'!$A$6:$A$400,$C247,'Promo Calendar'!$D$6:$D$400,"All",'Promo Calendar'!$I$6:$I$400,"&lt;="&amp;$A247,'Promo Calendar'!$J$6:$J$400,"&gt;="&amp;$A247,'Promo Calendar'!$G$6:$G$400,"&gt;0")&gt;0,_xlfn.MINIFS('Promo Calendar'!$G$6:$G$400,'Promo Calendar'!$A$6:$A$400,$C247,'Promo Calendar'!$D$6:$D$400,"All",'Promo Calendar'!$I$6:$I$400,"&lt;="&amp;$A247,'Promo Calendar'!$J$6:$J$400,"&gt;="&amp;$A247,'Promo Calendar'!$G$6:$G$400,"&gt;0"),IFERROR(IF(INDEX('Chain Program'!$M$6:$M$120,MATCH($C247,'Chain Program'!$A$6:$A$120,0))="","Not set",INDEX('Chain Program'!$M$6:$M$120,MATCH($C247,'Chain Program'!$A$6:$A$120,0))),"Not set"))))</f>
        <v/>
      </c>
      <c r="I247" s="61" t="n"/>
      <c r="J247" s="45">
        <f>IF($I247="","",IF(NOT(ISNUMBER($H247)),"No plan price",IF(ABS($I247-$H247)&lt;0.005,"Match",IF($I247&gt;$H247,"Over plan","Under plan"))))</f>
        <v/>
      </c>
      <c r="K247" s="60" t="n"/>
      <c r="L247" s="60" t="n"/>
      <c r="M247" s="60" t="n"/>
      <c r="N247" s="60" t="n"/>
      <c r="O247" s="60" t="n"/>
      <c r="P247" s="62" t="n"/>
      <c r="Q247" s="62" t="n"/>
      <c r="R247" s="60" t="n"/>
      <c r="S247" s="59" t="n"/>
      <c r="T247" s="60" t="n"/>
      <c r="U247" s="59" t="n"/>
      <c r="V247" s="45">
        <f>IF(OR($A247="",$T247="",$T247="No Issue"),"",IF($T247="Resolved",IF($U247="","",$U247-$A247),TODAY()-$A247))</f>
        <v/>
      </c>
      <c r="W247" s="47">
        <f>IF(AND($C247&lt;&gt;"",$C247='Store History'!$C$4,OR('Store History'!$C$5="",$F247='Store History'!$C$5)),1,0)</f>
        <v/>
      </c>
      <c r="X247" s="47">
        <f>IF($W247=1,SUM($W247:$W$1005),"")</f>
        <v/>
      </c>
    </row>
    <row r="248">
      <c r="A248" s="59" t="n"/>
      <c r="B248" s="60" t="n"/>
      <c r="C248" s="60" t="n"/>
      <c r="D248" s="45">
        <f>IF($C248="","",IFERROR(INDEX('Chain Program'!$B$6:$B$120,MATCH($C248,'Chain Program'!$A$6:$A$120,0)),"Unknown ID"))</f>
        <v/>
      </c>
      <c r="E248" s="45">
        <f>IF($C248="","",IFERROR(INDEX('Chain Program'!$D$6:$D$120,MATCH($C248,'Chain Program'!$A$6:$A$120,0)),"Unknown ID"))</f>
        <v/>
      </c>
      <c r="F248" s="60" t="n"/>
      <c r="G248" s="60" t="n"/>
      <c r="H248" s="56">
        <f>IF(OR($C248="",$A248=""),"",IF(COUNTIFS('Promo Calendar'!$A$6:$A$400,$C248,'Promo Calendar'!$D$6:$D$400,IF($G248="","All",$G248),'Promo Calendar'!$I$6:$I$400,"&lt;="&amp;$A248,'Promo Calendar'!$J$6:$J$400,"&gt;="&amp;$A248,'Promo Calendar'!$G$6:$G$400,"&gt;0")&gt;0,_xlfn.MINIFS('Promo Calendar'!$G$6:$G$400,'Promo Calendar'!$A$6:$A$400,$C248,'Promo Calendar'!$D$6:$D$400,IF($G248="","All",$G248),'Promo Calendar'!$I$6:$I$400,"&lt;="&amp;$A248,'Promo Calendar'!$J$6:$J$400,"&gt;="&amp;$A248,'Promo Calendar'!$G$6:$G$400,"&gt;0"),IF(COUNTIFS('Promo Calendar'!$A$6:$A$400,$C248,'Promo Calendar'!$D$6:$D$400,"All",'Promo Calendar'!$I$6:$I$400,"&lt;="&amp;$A248,'Promo Calendar'!$J$6:$J$400,"&gt;="&amp;$A248,'Promo Calendar'!$G$6:$G$400,"&gt;0")&gt;0,_xlfn.MINIFS('Promo Calendar'!$G$6:$G$400,'Promo Calendar'!$A$6:$A$400,$C248,'Promo Calendar'!$D$6:$D$400,"All",'Promo Calendar'!$I$6:$I$400,"&lt;="&amp;$A248,'Promo Calendar'!$J$6:$J$400,"&gt;="&amp;$A248,'Promo Calendar'!$G$6:$G$400,"&gt;0"),IFERROR(IF(INDEX('Chain Program'!$M$6:$M$120,MATCH($C248,'Chain Program'!$A$6:$A$120,0))="","Not set",INDEX('Chain Program'!$M$6:$M$120,MATCH($C248,'Chain Program'!$A$6:$A$120,0))),"Not set"))))</f>
        <v/>
      </c>
      <c r="I248" s="61" t="n"/>
      <c r="J248" s="45">
        <f>IF($I248="","",IF(NOT(ISNUMBER($H248)),"No plan price",IF(ABS($I248-$H248)&lt;0.005,"Match",IF($I248&gt;$H248,"Over plan","Under plan"))))</f>
        <v/>
      </c>
      <c r="K248" s="60" t="n"/>
      <c r="L248" s="60" t="n"/>
      <c r="M248" s="60" t="n"/>
      <c r="N248" s="60" t="n"/>
      <c r="O248" s="60" t="n"/>
      <c r="P248" s="62" t="n"/>
      <c r="Q248" s="62" t="n"/>
      <c r="R248" s="60" t="n"/>
      <c r="S248" s="59" t="n"/>
      <c r="T248" s="60" t="n"/>
      <c r="U248" s="59" t="n"/>
      <c r="V248" s="45">
        <f>IF(OR($A248="",$T248="",$T248="No Issue"),"",IF($T248="Resolved",IF($U248="","",$U248-$A248),TODAY()-$A248))</f>
        <v/>
      </c>
      <c r="W248" s="47">
        <f>IF(AND($C248&lt;&gt;"",$C248='Store History'!$C$4,OR('Store History'!$C$5="",$F248='Store History'!$C$5)),1,0)</f>
        <v/>
      </c>
      <c r="X248" s="47">
        <f>IF($W248=1,SUM($W248:$W$1005),"")</f>
        <v/>
      </c>
    </row>
    <row r="249">
      <c r="A249" s="59" t="n"/>
      <c r="B249" s="60" t="n"/>
      <c r="C249" s="60" t="n"/>
      <c r="D249" s="45">
        <f>IF($C249="","",IFERROR(INDEX('Chain Program'!$B$6:$B$120,MATCH($C249,'Chain Program'!$A$6:$A$120,0)),"Unknown ID"))</f>
        <v/>
      </c>
      <c r="E249" s="45">
        <f>IF($C249="","",IFERROR(INDEX('Chain Program'!$D$6:$D$120,MATCH($C249,'Chain Program'!$A$6:$A$120,0)),"Unknown ID"))</f>
        <v/>
      </c>
      <c r="F249" s="60" t="n"/>
      <c r="G249" s="60" t="n"/>
      <c r="H249" s="56">
        <f>IF(OR($C249="",$A249=""),"",IF(COUNTIFS('Promo Calendar'!$A$6:$A$400,$C249,'Promo Calendar'!$D$6:$D$400,IF($G249="","All",$G249),'Promo Calendar'!$I$6:$I$400,"&lt;="&amp;$A249,'Promo Calendar'!$J$6:$J$400,"&gt;="&amp;$A249,'Promo Calendar'!$G$6:$G$400,"&gt;0")&gt;0,_xlfn.MINIFS('Promo Calendar'!$G$6:$G$400,'Promo Calendar'!$A$6:$A$400,$C249,'Promo Calendar'!$D$6:$D$400,IF($G249="","All",$G249),'Promo Calendar'!$I$6:$I$400,"&lt;="&amp;$A249,'Promo Calendar'!$J$6:$J$400,"&gt;="&amp;$A249,'Promo Calendar'!$G$6:$G$400,"&gt;0"),IF(COUNTIFS('Promo Calendar'!$A$6:$A$400,$C249,'Promo Calendar'!$D$6:$D$400,"All",'Promo Calendar'!$I$6:$I$400,"&lt;="&amp;$A249,'Promo Calendar'!$J$6:$J$400,"&gt;="&amp;$A249,'Promo Calendar'!$G$6:$G$400,"&gt;0")&gt;0,_xlfn.MINIFS('Promo Calendar'!$G$6:$G$400,'Promo Calendar'!$A$6:$A$400,$C249,'Promo Calendar'!$D$6:$D$400,"All",'Promo Calendar'!$I$6:$I$400,"&lt;="&amp;$A249,'Promo Calendar'!$J$6:$J$400,"&gt;="&amp;$A249,'Promo Calendar'!$G$6:$G$400,"&gt;0"),IFERROR(IF(INDEX('Chain Program'!$M$6:$M$120,MATCH($C249,'Chain Program'!$A$6:$A$120,0))="","Not set",INDEX('Chain Program'!$M$6:$M$120,MATCH($C249,'Chain Program'!$A$6:$A$120,0))),"Not set"))))</f>
        <v/>
      </c>
      <c r="I249" s="61" t="n"/>
      <c r="J249" s="45">
        <f>IF($I249="","",IF(NOT(ISNUMBER($H249)),"No plan price",IF(ABS($I249-$H249)&lt;0.005,"Match",IF($I249&gt;$H249,"Over plan","Under plan"))))</f>
        <v/>
      </c>
      <c r="K249" s="60" t="n"/>
      <c r="L249" s="60" t="n"/>
      <c r="M249" s="60" t="n"/>
      <c r="N249" s="60" t="n"/>
      <c r="O249" s="60" t="n"/>
      <c r="P249" s="62" t="n"/>
      <c r="Q249" s="62" t="n"/>
      <c r="R249" s="60" t="n"/>
      <c r="S249" s="59" t="n"/>
      <c r="T249" s="60" t="n"/>
      <c r="U249" s="59" t="n"/>
      <c r="V249" s="45">
        <f>IF(OR($A249="",$T249="",$T249="No Issue"),"",IF($T249="Resolved",IF($U249="","",$U249-$A249),TODAY()-$A249))</f>
        <v/>
      </c>
      <c r="W249" s="47">
        <f>IF(AND($C249&lt;&gt;"",$C249='Store History'!$C$4,OR('Store History'!$C$5="",$F249='Store History'!$C$5)),1,0)</f>
        <v/>
      </c>
      <c r="X249" s="47">
        <f>IF($W249=1,SUM($W249:$W$1005),"")</f>
        <v/>
      </c>
    </row>
    <row r="250">
      <c r="A250" s="59" t="n"/>
      <c r="B250" s="60" t="n"/>
      <c r="C250" s="60" t="n"/>
      <c r="D250" s="45">
        <f>IF($C250="","",IFERROR(INDEX('Chain Program'!$B$6:$B$120,MATCH($C250,'Chain Program'!$A$6:$A$120,0)),"Unknown ID"))</f>
        <v/>
      </c>
      <c r="E250" s="45">
        <f>IF($C250="","",IFERROR(INDEX('Chain Program'!$D$6:$D$120,MATCH($C250,'Chain Program'!$A$6:$A$120,0)),"Unknown ID"))</f>
        <v/>
      </c>
      <c r="F250" s="60" t="n"/>
      <c r="G250" s="60" t="n"/>
      <c r="H250" s="56">
        <f>IF(OR($C250="",$A250=""),"",IF(COUNTIFS('Promo Calendar'!$A$6:$A$400,$C250,'Promo Calendar'!$D$6:$D$400,IF($G250="","All",$G250),'Promo Calendar'!$I$6:$I$400,"&lt;="&amp;$A250,'Promo Calendar'!$J$6:$J$400,"&gt;="&amp;$A250,'Promo Calendar'!$G$6:$G$400,"&gt;0")&gt;0,_xlfn.MINIFS('Promo Calendar'!$G$6:$G$400,'Promo Calendar'!$A$6:$A$400,$C250,'Promo Calendar'!$D$6:$D$400,IF($G250="","All",$G250),'Promo Calendar'!$I$6:$I$400,"&lt;="&amp;$A250,'Promo Calendar'!$J$6:$J$400,"&gt;="&amp;$A250,'Promo Calendar'!$G$6:$G$400,"&gt;0"),IF(COUNTIFS('Promo Calendar'!$A$6:$A$400,$C250,'Promo Calendar'!$D$6:$D$400,"All",'Promo Calendar'!$I$6:$I$400,"&lt;="&amp;$A250,'Promo Calendar'!$J$6:$J$400,"&gt;="&amp;$A250,'Promo Calendar'!$G$6:$G$400,"&gt;0")&gt;0,_xlfn.MINIFS('Promo Calendar'!$G$6:$G$400,'Promo Calendar'!$A$6:$A$400,$C250,'Promo Calendar'!$D$6:$D$400,"All",'Promo Calendar'!$I$6:$I$400,"&lt;="&amp;$A250,'Promo Calendar'!$J$6:$J$400,"&gt;="&amp;$A250,'Promo Calendar'!$G$6:$G$400,"&gt;0"),IFERROR(IF(INDEX('Chain Program'!$M$6:$M$120,MATCH($C250,'Chain Program'!$A$6:$A$120,0))="","Not set",INDEX('Chain Program'!$M$6:$M$120,MATCH($C250,'Chain Program'!$A$6:$A$120,0))),"Not set"))))</f>
        <v/>
      </c>
      <c r="I250" s="61" t="n"/>
      <c r="J250" s="45">
        <f>IF($I250="","",IF(NOT(ISNUMBER($H250)),"No plan price",IF(ABS($I250-$H250)&lt;0.005,"Match",IF($I250&gt;$H250,"Over plan","Under plan"))))</f>
        <v/>
      </c>
      <c r="K250" s="60" t="n"/>
      <c r="L250" s="60" t="n"/>
      <c r="M250" s="60" t="n"/>
      <c r="N250" s="60" t="n"/>
      <c r="O250" s="60" t="n"/>
      <c r="P250" s="62" t="n"/>
      <c r="Q250" s="62" t="n"/>
      <c r="R250" s="60" t="n"/>
      <c r="S250" s="59" t="n"/>
      <c r="T250" s="60" t="n"/>
      <c r="U250" s="59" t="n"/>
      <c r="V250" s="45">
        <f>IF(OR($A250="",$T250="",$T250="No Issue"),"",IF($T250="Resolved",IF($U250="","",$U250-$A250),TODAY()-$A250))</f>
        <v/>
      </c>
      <c r="W250" s="47">
        <f>IF(AND($C250&lt;&gt;"",$C250='Store History'!$C$4,OR('Store History'!$C$5="",$F250='Store History'!$C$5)),1,0)</f>
        <v/>
      </c>
      <c r="X250" s="47">
        <f>IF($W250=1,SUM($W250:$W$1005),"")</f>
        <v/>
      </c>
    </row>
    <row r="251">
      <c r="A251" s="59" t="n"/>
      <c r="B251" s="60" t="n"/>
      <c r="C251" s="60" t="n"/>
      <c r="D251" s="45">
        <f>IF($C251="","",IFERROR(INDEX('Chain Program'!$B$6:$B$120,MATCH($C251,'Chain Program'!$A$6:$A$120,0)),"Unknown ID"))</f>
        <v/>
      </c>
      <c r="E251" s="45">
        <f>IF($C251="","",IFERROR(INDEX('Chain Program'!$D$6:$D$120,MATCH($C251,'Chain Program'!$A$6:$A$120,0)),"Unknown ID"))</f>
        <v/>
      </c>
      <c r="F251" s="60" t="n"/>
      <c r="G251" s="60" t="n"/>
      <c r="H251" s="56">
        <f>IF(OR($C251="",$A251=""),"",IF(COUNTIFS('Promo Calendar'!$A$6:$A$400,$C251,'Promo Calendar'!$D$6:$D$400,IF($G251="","All",$G251),'Promo Calendar'!$I$6:$I$400,"&lt;="&amp;$A251,'Promo Calendar'!$J$6:$J$400,"&gt;="&amp;$A251,'Promo Calendar'!$G$6:$G$400,"&gt;0")&gt;0,_xlfn.MINIFS('Promo Calendar'!$G$6:$G$400,'Promo Calendar'!$A$6:$A$400,$C251,'Promo Calendar'!$D$6:$D$400,IF($G251="","All",$G251),'Promo Calendar'!$I$6:$I$400,"&lt;="&amp;$A251,'Promo Calendar'!$J$6:$J$400,"&gt;="&amp;$A251,'Promo Calendar'!$G$6:$G$400,"&gt;0"),IF(COUNTIFS('Promo Calendar'!$A$6:$A$400,$C251,'Promo Calendar'!$D$6:$D$400,"All",'Promo Calendar'!$I$6:$I$400,"&lt;="&amp;$A251,'Promo Calendar'!$J$6:$J$400,"&gt;="&amp;$A251,'Promo Calendar'!$G$6:$G$400,"&gt;0")&gt;0,_xlfn.MINIFS('Promo Calendar'!$G$6:$G$400,'Promo Calendar'!$A$6:$A$400,$C251,'Promo Calendar'!$D$6:$D$400,"All",'Promo Calendar'!$I$6:$I$400,"&lt;="&amp;$A251,'Promo Calendar'!$J$6:$J$400,"&gt;="&amp;$A251,'Promo Calendar'!$G$6:$G$400,"&gt;0"),IFERROR(IF(INDEX('Chain Program'!$M$6:$M$120,MATCH($C251,'Chain Program'!$A$6:$A$120,0))="","Not set",INDEX('Chain Program'!$M$6:$M$120,MATCH($C251,'Chain Program'!$A$6:$A$120,0))),"Not set"))))</f>
        <v/>
      </c>
      <c r="I251" s="61" t="n"/>
      <c r="J251" s="45">
        <f>IF($I251="","",IF(NOT(ISNUMBER($H251)),"No plan price",IF(ABS($I251-$H251)&lt;0.005,"Match",IF($I251&gt;$H251,"Over plan","Under plan"))))</f>
        <v/>
      </c>
      <c r="K251" s="60" t="n"/>
      <c r="L251" s="60" t="n"/>
      <c r="M251" s="60" t="n"/>
      <c r="N251" s="60" t="n"/>
      <c r="O251" s="60" t="n"/>
      <c r="P251" s="62" t="n"/>
      <c r="Q251" s="62" t="n"/>
      <c r="R251" s="60" t="n"/>
      <c r="S251" s="59" t="n"/>
      <c r="T251" s="60" t="n"/>
      <c r="U251" s="59" t="n"/>
      <c r="V251" s="45">
        <f>IF(OR($A251="",$T251="",$T251="No Issue"),"",IF($T251="Resolved",IF($U251="","",$U251-$A251),TODAY()-$A251))</f>
        <v/>
      </c>
      <c r="W251" s="47">
        <f>IF(AND($C251&lt;&gt;"",$C251='Store History'!$C$4,OR('Store History'!$C$5="",$F251='Store History'!$C$5)),1,0)</f>
        <v/>
      </c>
      <c r="X251" s="47">
        <f>IF($W251=1,SUM($W251:$W$1005),"")</f>
        <v/>
      </c>
    </row>
    <row r="252">
      <c r="A252" s="59" t="n"/>
      <c r="B252" s="60" t="n"/>
      <c r="C252" s="60" t="n"/>
      <c r="D252" s="45">
        <f>IF($C252="","",IFERROR(INDEX('Chain Program'!$B$6:$B$120,MATCH($C252,'Chain Program'!$A$6:$A$120,0)),"Unknown ID"))</f>
        <v/>
      </c>
      <c r="E252" s="45">
        <f>IF($C252="","",IFERROR(INDEX('Chain Program'!$D$6:$D$120,MATCH($C252,'Chain Program'!$A$6:$A$120,0)),"Unknown ID"))</f>
        <v/>
      </c>
      <c r="F252" s="60" t="n"/>
      <c r="G252" s="60" t="n"/>
      <c r="H252" s="56">
        <f>IF(OR($C252="",$A252=""),"",IF(COUNTIFS('Promo Calendar'!$A$6:$A$400,$C252,'Promo Calendar'!$D$6:$D$400,IF($G252="","All",$G252),'Promo Calendar'!$I$6:$I$400,"&lt;="&amp;$A252,'Promo Calendar'!$J$6:$J$400,"&gt;="&amp;$A252,'Promo Calendar'!$G$6:$G$400,"&gt;0")&gt;0,_xlfn.MINIFS('Promo Calendar'!$G$6:$G$400,'Promo Calendar'!$A$6:$A$400,$C252,'Promo Calendar'!$D$6:$D$400,IF($G252="","All",$G252),'Promo Calendar'!$I$6:$I$400,"&lt;="&amp;$A252,'Promo Calendar'!$J$6:$J$400,"&gt;="&amp;$A252,'Promo Calendar'!$G$6:$G$400,"&gt;0"),IF(COUNTIFS('Promo Calendar'!$A$6:$A$400,$C252,'Promo Calendar'!$D$6:$D$400,"All",'Promo Calendar'!$I$6:$I$400,"&lt;="&amp;$A252,'Promo Calendar'!$J$6:$J$400,"&gt;="&amp;$A252,'Promo Calendar'!$G$6:$G$400,"&gt;0")&gt;0,_xlfn.MINIFS('Promo Calendar'!$G$6:$G$400,'Promo Calendar'!$A$6:$A$400,$C252,'Promo Calendar'!$D$6:$D$400,"All",'Promo Calendar'!$I$6:$I$400,"&lt;="&amp;$A252,'Promo Calendar'!$J$6:$J$400,"&gt;="&amp;$A252,'Promo Calendar'!$G$6:$G$400,"&gt;0"),IFERROR(IF(INDEX('Chain Program'!$M$6:$M$120,MATCH($C252,'Chain Program'!$A$6:$A$120,0))="","Not set",INDEX('Chain Program'!$M$6:$M$120,MATCH($C252,'Chain Program'!$A$6:$A$120,0))),"Not set"))))</f>
        <v/>
      </c>
      <c r="I252" s="61" t="n"/>
      <c r="J252" s="45">
        <f>IF($I252="","",IF(NOT(ISNUMBER($H252)),"No plan price",IF(ABS($I252-$H252)&lt;0.005,"Match",IF($I252&gt;$H252,"Over plan","Under plan"))))</f>
        <v/>
      </c>
      <c r="K252" s="60" t="n"/>
      <c r="L252" s="60" t="n"/>
      <c r="M252" s="60" t="n"/>
      <c r="N252" s="60" t="n"/>
      <c r="O252" s="60" t="n"/>
      <c r="P252" s="62" t="n"/>
      <c r="Q252" s="62" t="n"/>
      <c r="R252" s="60" t="n"/>
      <c r="S252" s="59" t="n"/>
      <c r="T252" s="60" t="n"/>
      <c r="U252" s="59" t="n"/>
      <c r="V252" s="45">
        <f>IF(OR($A252="",$T252="",$T252="No Issue"),"",IF($T252="Resolved",IF($U252="","",$U252-$A252),TODAY()-$A252))</f>
        <v/>
      </c>
      <c r="W252" s="47">
        <f>IF(AND($C252&lt;&gt;"",$C252='Store History'!$C$4,OR('Store History'!$C$5="",$F252='Store History'!$C$5)),1,0)</f>
        <v/>
      </c>
      <c r="X252" s="47">
        <f>IF($W252=1,SUM($W252:$W$1005),"")</f>
        <v/>
      </c>
    </row>
    <row r="253">
      <c r="A253" s="59" t="n"/>
      <c r="B253" s="60" t="n"/>
      <c r="C253" s="60" t="n"/>
      <c r="D253" s="45">
        <f>IF($C253="","",IFERROR(INDEX('Chain Program'!$B$6:$B$120,MATCH($C253,'Chain Program'!$A$6:$A$120,0)),"Unknown ID"))</f>
        <v/>
      </c>
      <c r="E253" s="45">
        <f>IF($C253="","",IFERROR(INDEX('Chain Program'!$D$6:$D$120,MATCH($C253,'Chain Program'!$A$6:$A$120,0)),"Unknown ID"))</f>
        <v/>
      </c>
      <c r="F253" s="60" t="n"/>
      <c r="G253" s="60" t="n"/>
      <c r="H253" s="56">
        <f>IF(OR($C253="",$A253=""),"",IF(COUNTIFS('Promo Calendar'!$A$6:$A$400,$C253,'Promo Calendar'!$D$6:$D$400,IF($G253="","All",$G253),'Promo Calendar'!$I$6:$I$400,"&lt;="&amp;$A253,'Promo Calendar'!$J$6:$J$400,"&gt;="&amp;$A253,'Promo Calendar'!$G$6:$G$400,"&gt;0")&gt;0,_xlfn.MINIFS('Promo Calendar'!$G$6:$G$400,'Promo Calendar'!$A$6:$A$400,$C253,'Promo Calendar'!$D$6:$D$400,IF($G253="","All",$G253),'Promo Calendar'!$I$6:$I$400,"&lt;="&amp;$A253,'Promo Calendar'!$J$6:$J$400,"&gt;="&amp;$A253,'Promo Calendar'!$G$6:$G$400,"&gt;0"),IF(COUNTIFS('Promo Calendar'!$A$6:$A$400,$C253,'Promo Calendar'!$D$6:$D$400,"All",'Promo Calendar'!$I$6:$I$400,"&lt;="&amp;$A253,'Promo Calendar'!$J$6:$J$400,"&gt;="&amp;$A253,'Promo Calendar'!$G$6:$G$400,"&gt;0")&gt;0,_xlfn.MINIFS('Promo Calendar'!$G$6:$G$400,'Promo Calendar'!$A$6:$A$400,$C253,'Promo Calendar'!$D$6:$D$400,"All",'Promo Calendar'!$I$6:$I$400,"&lt;="&amp;$A253,'Promo Calendar'!$J$6:$J$400,"&gt;="&amp;$A253,'Promo Calendar'!$G$6:$G$400,"&gt;0"),IFERROR(IF(INDEX('Chain Program'!$M$6:$M$120,MATCH($C253,'Chain Program'!$A$6:$A$120,0))="","Not set",INDEX('Chain Program'!$M$6:$M$120,MATCH($C253,'Chain Program'!$A$6:$A$120,0))),"Not set"))))</f>
        <v/>
      </c>
      <c r="I253" s="61" t="n"/>
      <c r="J253" s="45">
        <f>IF($I253="","",IF(NOT(ISNUMBER($H253)),"No plan price",IF(ABS($I253-$H253)&lt;0.005,"Match",IF($I253&gt;$H253,"Over plan","Under plan"))))</f>
        <v/>
      </c>
      <c r="K253" s="60" t="n"/>
      <c r="L253" s="60" t="n"/>
      <c r="M253" s="60" t="n"/>
      <c r="N253" s="60" t="n"/>
      <c r="O253" s="60" t="n"/>
      <c r="P253" s="62" t="n"/>
      <c r="Q253" s="62" t="n"/>
      <c r="R253" s="60" t="n"/>
      <c r="S253" s="59" t="n"/>
      <c r="T253" s="60" t="n"/>
      <c r="U253" s="59" t="n"/>
      <c r="V253" s="45">
        <f>IF(OR($A253="",$T253="",$T253="No Issue"),"",IF($T253="Resolved",IF($U253="","",$U253-$A253),TODAY()-$A253))</f>
        <v/>
      </c>
      <c r="W253" s="47">
        <f>IF(AND($C253&lt;&gt;"",$C253='Store History'!$C$4,OR('Store History'!$C$5="",$F253='Store History'!$C$5)),1,0)</f>
        <v/>
      </c>
      <c r="X253" s="47">
        <f>IF($W253=1,SUM($W253:$W$1005),"")</f>
        <v/>
      </c>
    </row>
    <row r="254">
      <c r="A254" s="59" t="n"/>
      <c r="B254" s="60" t="n"/>
      <c r="C254" s="60" t="n"/>
      <c r="D254" s="45">
        <f>IF($C254="","",IFERROR(INDEX('Chain Program'!$B$6:$B$120,MATCH($C254,'Chain Program'!$A$6:$A$120,0)),"Unknown ID"))</f>
        <v/>
      </c>
      <c r="E254" s="45">
        <f>IF($C254="","",IFERROR(INDEX('Chain Program'!$D$6:$D$120,MATCH($C254,'Chain Program'!$A$6:$A$120,0)),"Unknown ID"))</f>
        <v/>
      </c>
      <c r="F254" s="60" t="n"/>
      <c r="G254" s="60" t="n"/>
      <c r="H254" s="56">
        <f>IF(OR($C254="",$A254=""),"",IF(COUNTIFS('Promo Calendar'!$A$6:$A$400,$C254,'Promo Calendar'!$D$6:$D$400,IF($G254="","All",$G254),'Promo Calendar'!$I$6:$I$400,"&lt;="&amp;$A254,'Promo Calendar'!$J$6:$J$400,"&gt;="&amp;$A254,'Promo Calendar'!$G$6:$G$400,"&gt;0")&gt;0,_xlfn.MINIFS('Promo Calendar'!$G$6:$G$400,'Promo Calendar'!$A$6:$A$400,$C254,'Promo Calendar'!$D$6:$D$400,IF($G254="","All",$G254),'Promo Calendar'!$I$6:$I$400,"&lt;="&amp;$A254,'Promo Calendar'!$J$6:$J$400,"&gt;="&amp;$A254,'Promo Calendar'!$G$6:$G$400,"&gt;0"),IF(COUNTIFS('Promo Calendar'!$A$6:$A$400,$C254,'Promo Calendar'!$D$6:$D$400,"All",'Promo Calendar'!$I$6:$I$400,"&lt;="&amp;$A254,'Promo Calendar'!$J$6:$J$400,"&gt;="&amp;$A254,'Promo Calendar'!$G$6:$G$400,"&gt;0")&gt;0,_xlfn.MINIFS('Promo Calendar'!$G$6:$G$400,'Promo Calendar'!$A$6:$A$400,$C254,'Promo Calendar'!$D$6:$D$400,"All",'Promo Calendar'!$I$6:$I$400,"&lt;="&amp;$A254,'Promo Calendar'!$J$6:$J$400,"&gt;="&amp;$A254,'Promo Calendar'!$G$6:$G$400,"&gt;0"),IFERROR(IF(INDEX('Chain Program'!$M$6:$M$120,MATCH($C254,'Chain Program'!$A$6:$A$120,0))="","Not set",INDEX('Chain Program'!$M$6:$M$120,MATCH($C254,'Chain Program'!$A$6:$A$120,0))),"Not set"))))</f>
        <v/>
      </c>
      <c r="I254" s="61" t="n"/>
      <c r="J254" s="45">
        <f>IF($I254="","",IF(NOT(ISNUMBER($H254)),"No plan price",IF(ABS($I254-$H254)&lt;0.005,"Match",IF($I254&gt;$H254,"Over plan","Under plan"))))</f>
        <v/>
      </c>
      <c r="K254" s="60" t="n"/>
      <c r="L254" s="60" t="n"/>
      <c r="M254" s="60" t="n"/>
      <c r="N254" s="60" t="n"/>
      <c r="O254" s="60" t="n"/>
      <c r="P254" s="62" t="n"/>
      <c r="Q254" s="62" t="n"/>
      <c r="R254" s="60" t="n"/>
      <c r="S254" s="59" t="n"/>
      <c r="T254" s="60" t="n"/>
      <c r="U254" s="59" t="n"/>
      <c r="V254" s="45">
        <f>IF(OR($A254="",$T254="",$T254="No Issue"),"",IF($T254="Resolved",IF($U254="","",$U254-$A254),TODAY()-$A254))</f>
        <v/>
      </c>
      <c r="W254" s="47">
        <f>IF(AND($C254&lt;&gt;"",$C254='Store History'!$C$4,OR('Store History'!$C$5="",$F254='Store History'!$C$5)),1,0)</f>
        <v/>
      </c>
      <c r="X254" s="47">
        <f>IF($W254=1,SUM($W254:$W$1005),"")</f>
        <v/>
      </c>
    </row>
    <row r="255">
      <c r="A255" s="59" t="n"/>
      <c r="B255" s="60" t="n"/>
      <c r="C255" s="60" t="n"/>
      <c r="D255" s="45">
        <f>IF($C255="","",IFERROR(INDEX('Chain Program'!$B$6:$B$120,MATCH($C255,'Chain Program'!$A$6:$A$120,0)),"Unknown ID"))</f>
        <v/>
      </c>
      <c r="E255" s="45">
        <f>IF($C255="","",IFERROR(INDEX('Chain Program'!$D$6:$D$120,MATCH($C255,'Chain Program'!$A$6:$A$120,0)),"Unknown ID"))</f>
        <v/>
      </c>
      <c r="F255" s="60" t="n"/>
      <c r="G255" s="60" t="n"/>
      <c r="H255" s="56">
        <f>IF(OR($C255="",$A255=""),"",IF(COUNTIFS('Promo Calendar'!$A$6:$A$400,$C255,'Promo Calendar'!$D$6:$D$400,IF($G255="","All",$G255),'Promo Calendar'!$I$6:$I$400,"&lt;="&amp;$A255,'Promo Calendar'!$J$6:$J$400,"&gt;="&amp;$A255,'Promo Calendar'!$G$6:$G$400,"&gt;0")&gt;0,_xlfn.MINIFS('Promo Calendar'!$G$6:$G$400,'Promo Calendar'!$A$6:$A$400,$C255,'Promo Calendar'!$D$6:$D$400,IF($G255="","All",$G255),'Promo Calendar'!$I$6:$I$400,"&lt;="&amp;$A255,'Promo Calendar'!$J$6:$J$400,"&gt;="&amp;$A255,'Promo Calendar'!$G$6:$G$400,"&gt;0"),IF(COUNTIFS('Promo Calendar'!$A$6:$A$400,$C255,'Promo Calendar'!$D$6:$D$400,"All",'Promo Calendar'!$I$6:$I$400,"&lt;="&amp;$A255,'Promo Calendar'!$J$6:$J$400,"&gt;="&amp;$A255,'Promo Calendar'!$G$6:$G$400,"&gt;0")&gt;0,_xlfn.MINIFS('Promo Calendar'!$G$6:$G$400,'Promo Calendar'!$A$6:$A$400,$C255,'Promo Calendar'!$D$6:$D$400,"All",'Promo Calendar'!$I$6:$I$400,"&lt;="&amp;$A255,'Promo Calendar'!$J$6:$J$400,"&gt;="&amp;$A255,'Promo Calendar'!$G$6:$G$400,"&gt;0"),IFERROR(IF(INDEX('Chain Program'!$M$6:$M$120,MATCH($C255,'Chain Program'!$A$6:$A$120,0))="","Not set",INDEX('Chain Program'!$M$6:$M$120,MATCH($C255,'Chain Program'!$A$6:$A$120,0))),"Not set"))))</f>
        <v/>
      </c>
      <c r="I255" s="61" t="n"/>
      <c r="J255" s="45">
        <f>IF($I255="","",IF(NOT(ISNUMBER($H255)),"No plan price",IF(ABS($I255-$H255)&lt;0.005,"Match",IF($I255&gt;$H255,"Over plan","Under plan"))))</f>
        <v/>
      </c>
      <c r="K255" s="60" t="n"/>
      <c r="L255" s="60" t="n"/>
      <c r="M255" s="60" t="n"/>
      <c r="N255" s="60" t="n"/>
      <c r="O255" s="60" t="n"/>
      <c r="P255" s="62" t="n"/>
      <c r="Q255" s="62" t="n"/>
      <c r="R255" s="60" t="n"/>
      <c r="S255" s="59" t="n"/>
      <c r="T255" s="60" t="n"/>
      <c r="U255" s="59" t="n"/>
      <c r="V255" s="45">
        <f>IF(OR($A255="",$T255="",$T255="No Issue"),"",IF($T255="Resolved",IF($U255="","",$U255-$A255),TODAY()-$A255))</f>
        <v/>
      </c>
      <c r="W255" s="47">
        <f>IF(AND($C255&lt;&gt;"",$C255='Store History'!$C$4,OR('Store History'!$C$5="",$F255='Store History'!$C$5)),1,0)</f>
        <v/>
      </c>
      <c r="X255" s="47">
        <f>IF($W255=1,SUM($W255:$W$1005),"")</f>
        <v/>
      </c>
    </row>
    <row r="256">
      <c r="A256" s="59" t="n"/>
      <c r="B256" s="60" t="n"/>
      <c r="C256" s="60" t="n"/>
      <c r="D256" s="45">
        <f>IF($C256="","",IFERROR(INDEX('Chain Program'!$B$6:$B$120,MATCH($C256,'Chain Program'!$A$6:$A$120,0)),"Unknown ID"))</f>
        <v/>
      </c>
      <c r="E256" s="45">
        <f>IF($C256="","",IFERROR(INDEX('Chain Program'!$D$6:$D$120,MATCH($C256,'Chain Program'!$A$6:$A$120,0)),"Unknown ID"))</f>
        <v/>
      </c>
      <c r="F256" s="60" t="n"/>
      <c r="G256" s="60" t="n"/>
      <c r="H256" s="56">
        <f>IF(OR($C256="",$A256=""),"",IF(COUNTIFS('Promo Calendar'!$A$6:$A$400,$C256,'Promo Calendar'!$D$6:$D$400,IF($G256="","All",$G256),'Promo Calendar'!$I$6:$I$400,"&lt;="&amp;$A256,'Promo Calendar'!$J$6:$J$400,"&gt;="&amp;$A256,'Promo Calendar'!$G$6:$G$400,"&gt;0")&gt;0,_xlfn.MINIFS('Promo Calendar'!$G$6:$G$400,'Promo Calendar'!$A$6:$A$400,$C256,'Promo Calendar'!$D$6:$D$400,IF($G256="","All",$G256),'Promo Calendar'!$I$6:$I$400,"&lt;="&amp;$A256,'Promo Calendar'!$J$6:$J$400,"&gt;="&amp;$A256,'Promo Calendar'!$G$6:$G$400,"&gt;0"),IF(COUNTIFS('Promo Calendar'!$A$6:$A$400,$C256,'Promo Calendar'!$D$6:$D$400,"All",'Promo Calendar'!$I$6:$I$400,"&lt;="&amp;$A256,'Promo Calendar'!$J$6:$J$400,"&gt;="&amp;$A256,'Promo Calendar'!$G$6:$G$400,"&gt;0")&gt;0,_xlfn.MINIFS('Promo Calendar'!$G$6:$G$400,'Promo Calendar'!$A$6:$A$400,$C256,'Promo Calendar'!$D$6:$D$400,"All",'Promo Calendar'!$I$6:$I$400,"&lt;="&amp;$A256,'Promo Calendar'!$J$6:$J$400,"&gt;="&amp;$A256,'Promo Calendar'!$G$6:$G$400,"&gt;0"),IFERROR(IF(INDEX('Chain Program'!$M$6:$M$120,MATCH($C256,'Chain Program'!$A$6:$A$120,0))="","Not set",INDEX('Chain Program'!$M$6:$M$120,MATCH($C256,'Chain Program'!$A$6:$A$120,0))),"Not set"))))</f>
        <v/>
      </c>
      <c r="I256" s="61" t="n"/>
      <c r="J256" s="45">
        <f>IF($I256="","",IF(NOT(ISNUMBER($H256)),"No plan price",IF(ABS($I256-$H256)&lt;0.005,"Match",IF($I256&gt;$H256,"Over plan","Under plan"))))</f>
        <v/>
      </c>
      <c r="K256" s="60" t="n"/>
      <c r="L256" s="60" t="n"/>
      <c r="M256" s="60" t="n"/>
      <c r="N256" s="60" t="n"/>
      <c r="O256" s="60" t="n"/>
      <c r="P256" s="62" t="n"/>
      <c r="Q256" s="62" t="n"/>
      <c r="R256" s="60" t="n"/>
      <c r="S256" s="59" t="n"/>
      <c r="T256" s="60" t="n"/>
      <c r="U256" s="59" t="n"/>
      <c r="V256" s="45">
        <f>IF(OR($A256="",$T256="",$T256="No Issue"),"",IF($T256="Resolved",IF($U256="","",$U256-$A256),TODAY()-$A256))</f>
        <v/>
      </c>
      <c r="W256" s="47">
        <f>IF(AND($C256&lt;&gt;"",$C256='Store History'!$C$4,OR('Store History'!$C$5="",$F256='Store History'!$C$5)),1,0)</f>
        <v/>
      </c>
      <c r="X256" s="47">
        <f>IF($W256=1,SUM($W256:$W$1005),"")</f>
        <v/>
      </c>
    </row>
    <row r="257">
      <c r="A257" s="59" t="n"/>
      <c r="B257" s="60" t="n"/>
      <c r="C257" s="60" t="n"/>
      <c r="D257" s="45">
        <f>IF($C257="","",IFERROR(INDEX('Chain Program'!$B$6:$B$120,MATCH($C257,'Chain Program'!$A$6:$A$120,0)),"Unknown ID"))</f>
        <v/>
      </c>
      <c r="E257" s="45">
        <f>IF($C257="","",IFERROR(INDEX('Chain Program'!$D$6:$D$120,MATCH($C257,'Chain Program'!$A$6:$A$120,0)),"Unknown ID"))</f>
        <v/>
      </c>
      <c r="F257" s="60" t="n"/>
      <c r="G257" s="60" t="n"/>
      <c r="H257" s="56">
        <f>IF(OR($C257="",$A257=""),"",IF(COUNTIFS('Promo Calendar'!$A$6:$A$400,$C257,'Promo Calendar'!$D$6:$D$400,IF($G257="","All",$G257),'Promo Calendar'!$I$6:$I$400,"&lt;="&amp;$A257,'Promo Calendar'!$J$6:$J$400,"&gt;="&amp;$A257,'Promo Calendar'!$G$6:$G$400,"&gt;0")&gt;0,_xlfn.MINIFS('Promo Calendar'!$G$6:$G$400,'Promo Calendar'!$A$6:$A$400,$C257,'Promo Calendar'!$D$6:$D$400,IF($G257="","All",$G257),'Promo Calendar'!$I$6:$I$400,"&lt;="&amp;$A257,'Promo Calendar'!$J$6:$J$400,"&gt;="&amp;$A257,'Promo Calendar'!$G$6:$G$400,"&gt;0"),IF(COUNTIFS('Promo Calendar'!$A$6:$A$400,$C257,'Promo Calendar'!$D$6:$D$400,"All",'Promo Calendar'!$I$6:$I$400,"&lt;="&amp;$A257,'Promo Calendar'!$J$6:$J$400,"&gt;="&amp;$A257,'Promo Calendar'!$G$6:$G$400,"&gt;0")&gt;0,_xlfn.MINIFS('Promo Calendar'!$G$6:$G$400,'Promo Calendar'!$A$6:$A$400,$C257,'Promo Calendar'!$D$6:$D$400,"All",'Promo Calendar'!$I$6:$I$400,"&lt;="&amp;$A257,'Promo Calendar'!$J$6:$J$400,"&gt;="&amp;$A257,'Promo Calendar'!$G$6:$G$400,"&gt;0"),IFERROR(IF(INDEX('Chain Program'!$M$6:$M$120,MATCH($C257,'Chain Program'!$A$6:$A$120,0))="","Not set",INDEX('Chain Program'!$M$6:$M$120,MATCH($C257,'Chain Program'!$A$6:$A$120,0))),"Not set"))))</f>
        <v/>
      </c>
      <c r="I257" s="61" t="n"/>
      <c r="J257" s="45">
        <f>IF($I257="","",IF(NOT(ISNUMBER($H257)),"No plan price",IF(ABS($I257-$H257)&lt;0.005,"Match",IF($I257&gt;$H257,"Over plan","Under plan"))))</f>
        <v/>
      </c>
      <c r="K257" s="60" t="n"/>
      <c r="L257" s="60" t="n"/>
      <c r="M257" s="60" t="n"/>
      <c r="N257" s="60" t="n"/>
      <c r="O257" s="60" t="n"/>
      <c r="P257" s="62" t="n"/>
      <c r="Q257" s="62" t="n"/>
      <c r="R257" s="60" t="n"/>
      <c r="S257" s="59" t="n"/>
      <c r="T257" s="60" t="n"/>
      <c r="U257" s="59" t="n"/>
      <c r="V257" s="45">
        <f>IF(OR($A257="",$T257="",$T257="No Issue"),"",IF($T257="Resolved",IF($U257="","",$U257-$A257),TODAY()-$A257))</f>
        <v/>
      </c>
      <c r="W257" s="47">
        <f>IF(AND($C257&lt;&gt;"",$C257='Store History'!$C$4,OR('Store History'!$C$5="",$F257='Store History'!$C$5)),1,0)</f>
        <v/>
      </c>
      <c r="X257" s="47">
        <f>IF($W257=1,SUM($W257:$W$1005),"")</f>
        <v/>
      </c>
    </row>
    <row r="258">
      <c r="A258" s="59" t="n"/>
      <c r="B258" s="60" t="n"/>
      <c r="C258" s="60" t="n"/>
      <c r="D258" s="45">
        <f>IF($C258="","",IFERROR(INDEX('Chain Program'!$B$6:$B$120,MATCH($C258,'Chain Program'!$A$6:$A$120,0)),"Unknown ID"))</f>
        <v/>
      </c>
      <c r="E258" s="45">
        <f>IF($C258="","",IFERROR(INDEX('Chain Program'!$D$6:$D$120,MATCH($C258,'Chain Program'!$A$6:$A$120,0)),"Unknown ID"))</f>
        <v/>
      </c>
      <c r="F258" s="60" t="n"/>
      <c r="G258" s="60" t="n"/>
      <c r="H258" s="56">
        <f>IF(OR($C258="",$A258=""),"",IF(COUNTIFS('Promo Calendar'!$A$6:$A$400,$C258,'Promo Calendar'!$D$6:$D$400,IF($G258="","All",$G258),'Promo Calendar'!$I$6:$I$400,"&lt;="&amp;$A258,'Promo Calendar'!$J$6:$J$400,"&gt;="&amp;$A258,'Promo Calendar'!$G$6:$G$400,"&gt;0")&gt;0,_xlfn.MINIFS('Promo Calendar'!$G$6:$G$400,'Promo Calendar'!$A$6:$A$400,$C258,'Promo Calendar'!$D$6:$D$400,IF($G258="","All",$G258),'Promo Calendar'!$I$6:$I$400,"&lt;="&amp;$A258,'Promo Calendar'!$J$6:$J$400,"&gt;="&amp;$A258,'Promo Calendar'!$G$6:$G$400,"&gt;0"),IF(COUNTIFS('Promo Calendar'!$A$6:$A$400,$C258,'Promo Calendar'!$D$6:$D$400,"All",'Promo Calendar'!$I$6:$I$400,"&lt;="&amp;$A258,'Promo Calendar'!$J$6:$J$400,"&gt;="&amp;$A258,'Promo Calendar'!$G$6:$G$400,"&gt;0")&gt;0,_xlfn.MINIFS('Promo Calendar'!$G$6:$G$400,'Promo Calendar'!$A$6:$A$400,$C258,'Promo Calendar'!$D$6:$D$400,"All",'Promo Calendar'!$I$6:$I$400,"&lt;="&amp;$A258,'Promo Calendar'!$J$6:$J$400,"&gt;="&amp;$A258,'Promo Calendar'!$G$6:$G$400,"&gt;0"),IFERROR(IF(INDEX('Chain Program'!$M$6:$M$120,MATCH($C258,'Chain Program'!$A$6:$A$120,0))="","Not set",INDEX('Chain Program'!$M$6:$M$120,MATCH($C258,'Chain Program'!$A$6:$A$120,0))),"Not set"))))</f>
        <v/>
      </c>
      <c r="I258" s="61" t="n"/>
      <c r="J258" s="45">
        <f>IF($I258="","",IF(NOT(ISNUMBER($H258)),"No plan price",IF(ABS($I258-$H258)&lt;0.005,"Match",IF($I258&gt;$H258,"Over plan","Under plan"))))</f>
        <v/>
      </c>
      <c r="K258" s="60" t="n"/>
      <c r="L258" s="60" t="n"/>
      <c r="M258" s="60" t="n"/>
      <c r="N258" s="60" t="n"/>
      <c r="O258" s="60" t="n"/>
      <c r="P258" s="62" t="n"/>
      <c r="Q258" s="62" t="n"/>
      <c r="R258" s="60" t="n"/>
      <c r="S258" s="59" t="n"/>
      <c r="T258" s="60" t="n"/>
      <c r="U258" s="59" t="n"/>
      <c r="V258" s="45">
        <f>IF(OR($A258="",$T258="",$T258="No Issue"),"",IF($T258="Resolved",IF($U258="","",$U258-$A258),TODAY()-$A258))</f>
        <v/>
      </c>
      <c r="W258" s="47">
        <f>IF(AND($C258&lt;&gt;"",$C258='Store History'!$C$4,OR('Store History'!$C$5="",$F258='Store History'!$C$5)),1,0)</f>
        <v/>
      </c>
      <c r="X258" s="47">
        <f>IF($W258=1,SUM($W258:$W$1005),"")</f>
        <v/>
      </c>
    </row>
    <row r="259">
      <c r="A259" s="59" t="n"/>
      <c r="B259" s="60" t="n"/>
      <c r="C259" s="60" t="n"/>
      <c r="D259" s="45">
        <f>IF($C259="","",IFERROR(INDEX('Chain Program'!$B$6:$B$120,MATCH($C259,'Chain Program'!$A$6:$A$120,0)),"Unknown ID"))</f>
        <v/>
      </c>
      <c r="E259" s="45">
        <f>IF($C259="","",IFERROR(INDEX('Chain Program'!$D$6:$D$120,MATCH($C259,'Chain Program'!$A$6:$A$120,0)),"Unknown ID"))</f>
        <v/>
      </c>
      <c r="F259" s="60" t="n"/>
      <c r="G259" s="60" t="n"/>
      <c r="H259" s="56">
        <f>IF(OR($C259="",$A259=""),"",IF(COUNTIFS('Promo Calendar'!$A$6:$A$400,$C259,'Promo Calendar'!$D$6:$D$400,IF($G259="","All",$G259),'Promo Calendar'!$I$6:$I$400,"&lt;="&amp;$A259,'Promo Calendar'!$J$6:$J$400,"&gt;="&amp;$A259,'Promo Calendar'!$G$6:$G$400,"&gt;0")&gt;0,_xlfn.MINIFS('Promo Calendar'!$G$6:$G$400,'Promo Calendar'!$A$6:$A$400,$C259,'Promo Calendar'!$D$6:$D$400,IF($G259="","All",$G259),'Promo Calendar'!$I$6:$I$400,"&lt;="&amp;$A259,'Promo Calendar'!$J$6:$J$400,"&gt;="&amp;$A259,'Promo Calendar'!$G$6:$G$400,"&gt;0"),IF(COUNTIFS('Promo Calendar'!$A$6:$A$400,$C259,'Promo Calendar'!$D$6:$D$400,"All",'Promo Calendar'!$I$6:$I$400,"&lt;="&amp;$A259,'Promo Calendar'!$J$6:$J$400,"&gt;="&amp;$A259,'Promo Calendar'!$G$6:$G$400,"&gt;0")&gt;0,_xlfn.MINIFS('Promo Calendar'!$G$6:$G$400,'Promo Calendar'!$A$6:$A$400,$C259,'Promo Calendar'!$D$6:$D$400,"All",'Promo Calendar'!$I$6:$I$400,"&lt;="&amp;$A259,'Promo Calendar'!$J$6:$J$400,"&gt;="&amp;$A259,'Promo Calendar'!$G$6:$G$400,"&gt;0"),IFERROR(IF(INDEX('Chain Program'!$M$6:$M$120,MATCH($C259,'Chain Program'!$A$6:$A$120,0))="","Not set",INDEX('Chain Program'!$M$6:$M$120,MATCH($C259,'Chain Program'!$A$6:$A$120,0))),"Not set"))))</f>
        <v/>
      </c>
      <c r="I259" s="61" t="n"/>
      <c r="J259" s="45">
        <f>IF($I259="","",IF(NOT(ISNUMBER($H259)),"No plan price",IF(ABS($I259-$H259)&lt;0.005,"Match",IF($I259&gt;$H259,"Over plan","Under plan"))))</f>
        <v/>
      </c>
      <c r="K259" s="60" t="n"/>
      <c r="L259" s="60" t="n"/>
      <c r="M259" s="60" t="n"/>
      <c r="N259" s="60" t="n"/>
      <c r="O259" s="60" t="n"/>
      <c r="P259" s="62" t="n"/>
      <c r="Q259" s="62" t="n"/>
      <c r="R259" s="60" t="n"/>
      <c r="S259" s="59" t="n"/>
      <c r="T259" s="60" t="n"/>
      <c r="U259" s="59" t="n"/>
      <c r="V259" s="45">
        <f>IF(OR($A259="",$T259="",$T259="No Issue"),"",IF($T259="Resolved",IF($U259="","",$U259-$A259),TODAY()-$A259))</f>
        <v/>
      </c>
      <c r="W259" s="47">
        <f>IF(AND($C259&lt;&gt;"",$C259='Store History'!$C$4,OR('Store History'!$C$5="",$F259='Store History'!$C$5)),1,0)</f>
        <v/>
      </c>
      <c r="X259" s="47">
        <f>IF($W259=1,SUM($W259:$W$1005),"")</f>
        <v/>
      </c>
    </row>
    <row r="260">
      <c r="A260" s="59" t="n"/>
      <c r="B260" s="60" t="n"/>
      <c r="C260" s="60" t="n"/>
      <c r="D260" s="45">
        <f>IF($C260="","",IFERROR(INDEX('Chain Program'!$B$6:$B$120,MATCH($C260,'Chain Program'!$A$6:$A$120,0)),"Unknown ID"))</f>
        <v/>
      </c>
      <c r="E260" s="45">
        <f>IF($C260="","",IFERROR(INDEX('Chain Program'!$D$6:$D$120,MATCH($C260,'Chain Program'!$A$6:$A$120,0)),"Unknown ID"))</f>
        <v/>
      </c>
      <c r="F260" s="60" t="n"/>
      <c r="G260" s="60" t="n"/>
      <c r="H260" s="56">
        <f>IF(OR($C260="",$A260=""),"",IF(COUNTIFS('Promo Calendar'!$A$6:$A$400,$C260,'Promo Calendar'!$D$6:$D$400,IF($G260="","All",$G260),'Promo Calendar'!$I$6:$I$400,"&lt;="&amp;$A260,'Promo Calendar'!$J$6:$J$400,"&gt;="&amp;$A260,'Promo Calendar'!$G$6:$G$400,"&gt;0")&gt;0,_xlfn.MINIFS('Promo Calendar'!$G$6:$G$400,'Promo Calendar'!$A$6:$A$400,$C260,'Promo Calendar'!$D$6:$D$400,IF($G260="","All",$G260),'Promo Calendar'!$I$6:$I$400,"&lt;="&amp;$A260,'Promo Calendar'!$J$6:$J$400,"&gt;="&amp;$A260,'Promo Calendar'!$G$6:$G$400,"&gt;0"),IF(COUNTIFS('Promo Calendar'!$A$6:$A$400,$C260,'Promo Calendar'!$D$6:$D$400,"All",'Promo Calendar'!$I$6:$I$400,"&lt;="&amp;$A260,'Promo Calendar'!$J$6:$J$400,"&gt;="&amp;$A260,'Promo Calendar'!$G$6:$G$400,"&gt;0")&gt;0,_xlfn.MINIFS('Promo Calendar'!$G$6:$G$400,'Promo Calendar'!$A$6:$A$400,$C260,'Promo Calendar'!$D$6:$D$400,"All",'Promo Calendar'!$I$6:$I$400,"&lt;="&amp;$A260,'Promo Calendar'!$J$6:$J$400,"&gt;="&amp;$A260,'Promo Calendar'!$G$6:$G$400,"&gt;0"),IFERROR(IF(INDEX('Chain Program'!$M$6:$M$120,MATCH($C260,'Chain Program'!$A$6:$A$120,0))="","Not set",INDEX('Chain Program'!$M$6:$M$120,MATCH($C260,'Chain Program'!$A$6:$A$120,0))),"Not set"))))</f>
        <v/>
      </c>
      <c r="I260" s="61" t="n"/>
      <c r="J260" s="45">
        <f>IF($I260="","",IF(NOT(ISNUMBER($H260)),"No plan price",IF(ABS($I260-$H260)&lt;0.005,"Match",IF($I260&gt;$H260,"Over plan","Under plan"))))</f>
        <v/>
      </c>
      <c r="K260" s="60" t="n"/>
      <c r="L260" s="60" t="n"/>
      <c r="M260" s="60" t="n"/>
      <c r="N260" s="60" t="n"/>
      <c r="O260" s="60" t="n"/>
      <c r="P260" s="62" t="n"/>
      <c r="Q260" s="62" t="n"/>
      <c r="R260" s="60" t="n"/>
      <c r="S260" s="59" t="n"/>
      <c r="T260" s="60" t="n"/>
      <c r="U260" s="59" t="n"/>
      <c r="V260" s="45">
        <f>IF(OR($A260="",$T260="",$T260="No Issue"),"",IF($T260="Resolved",IF($U260="","",$U260-$A260),TODAY()-$A260))</f>
        <v/>
      </c>
      <c r="W260" s="47">
        <f>IF(AND($C260&lt;&gt;"",$C260='Store History'!$C$4,OR('Store History'!$C$5="",$F260='Store History'!$C$5)),1,0)</f>
        <v/>
      </c>
      <c r="X260" s="47">
        <f>IF($W260=1,SUM($W260:$W$1005),"")</f>
        <v/>
      </c>
    </row>
    <row r="261">
      <c r="A261" s="59" t="n"/>
      <c r="B261" s="60" t="n"/>
      <c r="C261" s="60" t="n"/>
      <c r="D261" s="45">
        <f>IF($C261="","",IFERROR(INDEX('Chain Program'!$B$6:$B$120,MATCH($C261,'Chain Program'!$A$6:$A$120,0)),"Unknown ID"))</f>
        <v/>
      </c>
      <c r="E261" s="45">
        <f>IF($C261="","",IFERROR(INDEX('Chain Program'!$D$6:$D$120,MATCH($C261,'Chain Program'!$A$6:$A$120,0)),"Unknown ID"))</f>
        <v/>
      </c>
      <c r="F261" s="60" t="n"/>
      <c r="G261" s="60" t="n"/>
      <c r="H261" s="56">
        <f>IF(OR($C261="",$A261=""),"",IF(COUNTIFS('Promo Calendar'!$A$6:$A$400,$C261,'Promo Calendar'!$D$6:$D$400,IF($G261="","All",$G261),'Promo Calendar'!$I$6:$I$400,"&lt;="&amp;$A261,'Promo Calendar'!$J$6:$J$400,"&gt;="&amp;$A261,'Promo Calendar'!$G$6:$G$400,"&gt;0")&gt;0,_xlfn.MINIFS('Promo Calendar'!$G$6:$G$400,'Promo Calendar'!$A$6:$A$400,$C261,'Promo Calendar'!$D$6:$D$400,IF($G261="","All",$G261),'Promo Calendar'!$I$6:$I$400,"&lt;="&amp;$A261,'Promo Calendar'!$J$6:$J$400,"&gt;="&amp;$A261,'Promo Calendar'!$G$6:$G$400,"&gt;0"),IF(COUNTIFS('Promo Calendar'!$A$6:$A$400,$C261,'Promo Calendar'!$D$6:$D$400,"All",'Promo Calendar'!$I$6:$I$400,"&lt;="&amp;$A261,'Promo Calendar'!$J$6:$J$400,"&gt;="&amp;$A261,'Promo Calendar'!$G$6:$G$400,"&gt;0")&gt;0,_xlfn.MINIFS('Promo Calendar'!$G$6:$G$400,'Promo Calendar'!$A$6:$A$400,$C261,'Promo Calendar'!$D$6:$D$400,"All",'Promo Calendar'!$I$6:$I$400,"&lt;="&amp;$A261,'Promo Calendar'!$J$6:$J$400,"&gt;="&amp;$A261,'Promo Calendar'!$G$6:$G$400,"&gt;0"),IFERROR(IF(INDEX('Chain Program'!$M$6:$M$120,MATCH($C261,'Chain Program'!$A$6:$A$120,0))="","Not set",INDEX('Chain Program'!$M$6:$M$120,MATCH($C261,'Chain Program'!$A$6:$A$120,0))),"Not set"))))</f>
        <v/>
      </c>
      <c r="I261" s="61" t="n"/>
      <c r="J261" s="45">
        <f>IF($I261="","",IF(NOT(ISNUMBER($H261)),"No plan price",IF(ABS($I261-$H261)&lt;0.005,"Match",IF($I261&gt;$H261,"Over plan","Under plan"))))</f>
        <v/>
      </c>
      <c r="K261" s="60" t="n"/>
      <c r="L261" s="60" t="n"/>
      <c r="M261" s="60" t="n"/>
      <c r="N261" s="60" t="n"/>
      <c r="O261" s="60" t="n"/>
      <c r="P261" s="62" t="n"/>
      <c r="Q261" s="62" t="n"/>
      <c r="R261" s="60" t="n"/>
      <c r="S261" s="59" t="n"/>
      <c r="T261" s="60" t="n"/>
      <c r="U261" s="59" t="n"/>
      <c r="V261" s="45">
        <f>IF(OR($A261="",$T261="",$T261="No Issue"),"",IF($T261="Resolved",IF($U261="","",$U261-$A261),TODAY()-$A261))</f>
        <v/>
      </c>
      <c r="W261" s="47">
        <f>IF(AND($C261&lt;&gt;"",$C261='Store History'!$C$4,OR('Store History'!$C$5="",$F261='Store History'!$C$5)),1,0)</f>
        <v/>
      </c>
      <c r="X261" s="47">
        <f>IF($W261=1,SUM($W261:$W$1005),"")</f>
        <v/>
      </c>
    </row>
    <row r="262">
      <c r="A262" s="59" t="n"/>
      <c r="B262" s="60" t="n"/>
      <c r="C262" s="60" t="n"/>
      <c r="D262" s="45">
        <f>IF($C262="","",IFERROR(INDEX('Chain Program'!$B$6:$B$120,MATCH($C262,'Chain Program'!$A$6:$A$120,0)),"Unknown ID"))</f>
        <v/>
      </c>
      <c r="E262" s="45">
        <f>IF($C262="","",IFERROR(INDEX('Chain Program'!$D$6:$D$120,MATCH($C262,'Chain Program'!$A$6:$A$120,0)),"Unknown ID"))</f>
        <v/>
      </c>
      <c r="F262" s="60" t="n"/>
      <c r="G262" s="60" t="n"/>
      <c r="H262" s="56">
        <f>IF(OR($C262="",$A262=""),"",IF(COUNTIFS('Promo Calendar'!$A$6:$A$400,$C262,'Promo Calendar'!$D$6:$D$400,IF($G262="","All",$G262),'Promo Calendar'!$I$6:$I$400,"&lt;="&amp;$A262,'Promo Calendar'!$J$6:$J$400,"&gt;="&amp;$A262,'Promo Calendar'!$G$6:$G$400,"&gt;0")&gt;0,_xlfn.MINIFS('Promo Calendar'!$G$6:$G$400,'Promo Calendar'!$A$6:$A$400,$C262,'Promo Calendar'!$D$6:$D$400,IF($G262="","All",$G262),'Promo Calendar'!$I$6:$I$400,"&lt;="&amp;$A262,'Promo Calendar'!$J$6:$J$400,"&gt;="&amp;$A262,'Promo Calendar'!$G$6:$G$400,"&gt;0"),IF(COUNTIFS('Promo Calendar'!$A$6:$A$400,$C262,'Promo Calendar'!$D$6:$D$400,"All",'Promo Calendar'!$I$6:$I$400,"&lt;="&amp;$A262,'Promo Calendar'!$J$6:$J$400,"&gt;="&amp;$A262,'Promo Calendar'!$G$6:$G$400,"&gt;0")&gt;0,_xlfn.MINIFS('Promo Calendar'!$G$6:$G$400,'Promo Calendar'!$A$6:$A$400,$C262,'Promo Calendar'!$D$6:$D$400,"All",'Promo Calendar'!$I$6:$I$400,"&lt;="&amp;$A262,'Promo Calendar'!$J$6:$J$400,"&gt;="&amp;$A262,'Promo Calendar'!$G$6:$G$400,"&gt;0"),IFERROR(IF(INDEX('Chain Program'!$M$6:$M$120,MATCH($C262,'Chain Program'!$A$6:$A$120,0))="","Not set",INDEX('Chain Program'!$M$6:$M$120,MATCH($C262,'Chain Program'!$A$6:$A$120,0))),"Not set"))))</f>
        <v/>
      </c>
      <c r="I262" s="61" t="n"/>
      <c r="J262" s="45">
        <f>IF($I262="","",IF(NOT(ISNUMBER($H262)),"No plan price",IF(ABS($I262-$H262)&lt;0.005,"Match",IF($I262&gt;$H262,"Over plan","Under plan"))))</f>
        <v/>
      </c>
      <c r="K262" s="60" t="n"/>
      <c r="L262" s="60" t="n"/>
      <c r="M262" s="60" t="n"/>
      <c r="N262" s="60" t="n"/>
      <c r="O262" s="60" t="n"/>
      <c r="P262" s="62" t="n"/>
      <c r="Q262" s="62" t="n"/>
      <c r="R262" s="60" t="n"/>
      <c r="S262" s="59" t="n"/>
      <c r="T262" s="60" t="n"/>
      <c r="U262" s="59" t="n"/>
      <c r="V262" s="45">
        <f>IF(OR($A262="",$T262="",$T262="No Issue"),"",IF($T262="Resolved",IF($U262="","",$U262-$A262),TODAY()-$A262))</f>
        <v/>
      </c>
      <c r="W262" s="47">
        <f>IF(AND($C262&lt;&gt;"",$C262='Store History'!$C$4,OR('Store History'!$C$5="",$F262='Store History'!$C$5)),1,0)</f>
        <v/>
      </c>
      <c r="X262" s="47">
        <f>IF($W262=1,SUM($W262:$W$1005),"")</f>
        <v/>
      </c>
    </row>
    <row r="263">
      <c r="A263" s="59" t="n"/>
      <c r="B263" s="60" t="n"/>
      <c r="C263" s="60" t="n"/>
      <c r="D263" s="45">
        <f>IF($C263="","",IFERROR(INDEX('Chain Program'!$B$6:$B$120,MATCH($C263,'Chain Program'!$A$6:$A$120,0)),"Unknown ID"))</f>
        <v/>
      </c>
      <c r="E263" s="45">
        <f>IF($C263="","",IFERROR(INDEX('Chain Program'!$D$6:$D$120,MATCH($C263,'Chain Program'!$A$6:$A$120,0)),"Unknown ID"))</f>
        <v/>
      </c>
      <c r="F263" s="60" t="n"/>
      <c r="G263" s="60" t="n"/>
      <c r="H263" s="56">
        <f>IF(OR($C263="",$A263=""),"",IF(COUNTIFS('Promo Calendar'!$A$6:$A$400,$C263,'Promo Calendar'!$D$6:$D$400,IF($G263="","All",$G263),'Promo Calendar'!$I$6:$I$400,"&lt;="&amp;$A263,'Promo Calendar'!$J$6:$J$400,"&gt;="&amp;$A263,'Promo Calendar'!$G$6:$G$400,"&gt;0")&gt;0,_xlfn.MINIFS('Promo Calendar'!$G$6:$G$400,'Promo Calendar'!$A$6:$A$400,$C263,'Promo Calendar'!$D$6:$D$400,IF($G263="","All",$G263),'Promo Calendar'!$I$6:$I$400,"&lt;="&amp;$A263,'Promo Calendar'!$J$6:$J$400,"&gt;="&amp;$A263,'Promo Calendar'!$G$6:$G$400,"&gt;0"),IF(COUNTIFS('Promo Calendar'!$A$6:$A$400,$C263,'Promo Calendar'!$D$6:$D$400,"All",'Promo Calendar'!$I$6:$I$400,"&lt;="&amp;$A263,'Promo Calendar'!$J$6:$J$400,"&gt;="&amp;$A263,'Promo Calendar'!$G$6:$G$400,"&gt;0")&gt;0,_xlfn.MINIFS('Promo Calendar'!$G$6:$G$400,'Promo Calendar'!$A$6:$A$400,$C263,'Promo Calendar'!$D$6:$D$400,"All",'Promo Calendar'!$I$6:$I$400,"&lt;="&amp;$A263,'Promo Calendar'!$J$6:$J$400,"&gt;="&amp;$A263,'Promo Calendar'!$G$6:$G$400,"&gt;0"),IFERROR(IF(INDEX('Chain Program'!$M$6:$M$120,MATCH($C263,'Chain Program'!$A$6:$A$120,0))="","Not set",INDEX('Chain Program'!$M$6:$M$120,MATCH($C263,'Chain Program'!$A$6:$A$120,0))),"Not set"))))</f>
        <v/>
      </c>
      <c r="I263" s="61" t="n"/>
      <c r="J263" s="45">
        <f>IF($I263="","",IF(NOT(ISNUMBER($H263)),"No plan price",IF(ABS($I263-$H263)&lt;0.005,"Match",IF($I263&gt;$H263,"Over plan","Under plan"))))</f>
        <v/>
      </c>
      <c r="K263" s="60" t="n"/>
      <c r="L263" s="60" t="n"/>
      <c r="M263" s="60" t="n"/>
      <c r="N263" s="60" t="n"/>
      <c r="O263" s="60" t="n"/>
      <c r="P263" s="62" t="n"/>
      <c r="Q263" s="62" t="n"/>
      <c r="R263" s="60" t="n"/>
      <c r="S263" s="59" t="n"/>
      <c r="T263" s="60" t="n"/>
      <c r="U263" s="59" t="n"/>
      <c r="V263" s="45">
        <f>IF(OR($A263="",$T263="",$T263="No Issue"),"",IF($T263="Resolved",IF($U263="","",$U263-$A263),TODAY()-$A263))</f>
        <v/>
      </c>
      <c r="W263" s="47">
        <f>IF(AND($C263&lt;&gt;"",$C263='Store History'!$C$4,OR('Store History'!$C$5="",$F263='Store History'!$C$5)),1,0)</f>
        <v/>
      </c>
      <c r="X263" s="47">
        <f>IF($W263=1,SUM($W263:$W$1005),"")</f>
        <v/>
      </c>
    </row>
    <row r="264">
      <c r="A264" s="59" t="n"/>
      <c r="B264" s="60" t="n"/>
      <c r="C264" s="60" t="n"/>
      <c r="D264" s="45">
        <f>IF($C264="","",IFERROR(INDEX('Chain Program'!$B$6:$B$120,MATCH($C264,'Chain Program'!$A$6:$A$120,0)),"Unknown ID"))</f>
        <v/>
      </c>
      <c r="E264" s="45">
        <f>IF($C264="","",IFERROR(INDEX('Chain Program'!$D$6:$D$120,MATCH($C264,'Chain Program'!$A$6:$A$120,0)),"Unknown ID"))</f>
        <v/>
      </c>
      <c r="F264" s="60" t="n"/>
      <c r="G264" s="60" t="n"/>
      <c r="H264" s="56">
        <f>IF(OR($C264="",$A264=""),"",IF(COUNTIFS('Promo Calendar'!$A$6:$A$400,$C264,'Promo Calendar'!$D$6:$D$400,IF($G264="","All",$G264),'Promo Calendar'!$I$6:$I$400,"&lt;="&amp;$A264,'Promo Calendar'!$J$6:$J$400,"&gt;="&amp;$A264,'Promo Calendar'!$G$6:$G$400,"&gt;0")&gt;0,_xlfn.MINIFS('Promo Calendar'!$G$6:$G$400,'Promo Calendar'!$A$6:$A$400,$C264,'Promo Calendar'!$D$6:$D$400,IF($G264="","All",$G264),'Promo Calendar'!$I$6:$I$400,"&lt;="&amp;$A264,'Promo Calendar'!$J$6:$J$400,"&gt;="&amp;$A264,'Promo Calendar'!$G$6:$G$400,"&gt;0"),IF(COUNTIFS('Promo Calendar'!$A$6:$A$400,$C264,'Promo Calendar'!$D$6:$D$400,"All",'Promo Calendar'!$I$6:$I$400,"&lt;="&amp;$A264,'Promo Calendar'!$J$6:$J$400,"&gt;="&amp;$A264,'Promo Calendar'!$G$6:$G$400,"&gt;0")&gt;0,_xlfn.MINIFS('Promo Calendar'!$G$6:$G$400,'Promo Calendar'!$A$6:$A$400,$C264,'Promo Calendar'!$D$6:$D$400,"All",'Promo Calendar'!$I$6:$I$400,"&lt;="&amp;$A264,'Promo Calendar'!$J$6:$J$400,"&gt;="&amp;$A264,'Promo Calendar'!$G$6:$G$400,"&gt;0"),IFERROR(IF(INDEX('Chain Program'!$M$6:$M$120,MATCH($C264,'Chain Program'!$A$6:$A$120,0))="","Not set",INDEX('Chain Program'!$M$6:$M$120,MATCH($C264,'Chain Program'!$A$6:$A$120,0))),"Not set"))))</f>
        <v/>
      </c>
      <c r="I264" s="61" t="n"/>
      <c r="J264" s="45">
        <f>IF($I264="","",IF(NOT(ISNUMBER($H264)),"No plan price",IF(ABS($I264-$H264)&lt;0.005,"Match",IF($I264&gt;$H264,"Over plan","Under plan"))))</f>
        <v/>
      </c>
      <c r="K264" s="60" t="n"/>
      <c r="L264" s="60" t="n"/>
      <c r="M264" s="60" t="n"/>
      <c r="N264" s="60" t="n"/>
      <c r="O264" s="60" t="n"/>
      <c r="P264" s="62" t="n"/>
      <c r="Q264" s="62" t="n"/>
      <c r="R264" s="60" t="n"/>
      <c r="S264" s="59" t="n"/>
      <c r="T264" s="60" t="n"/>
      <c r="U264" s="59" t="n"/>
      <c r="V264" s="45">
        <f>IF(OR($A264="",$T264="",$T264="No Issue"),"",IF($T264="Resolved",IF($U264="","",$U264-$A264),TODAY()-$A264))</f>
        <v/>
      </c>
      <c r="W264" s="47">
        <f>IF(AND($C264&lt;&gt;"",$C264='Store History'!$C$4,OR('Store History'!$C$5="",$F264='Store History'!$C$5)),1,0)</f>
        <v/>
      </c>
      <c r="X264" s="47">
        <f>IF($W264=1,SUM($W264:$W$1005),"")</f>
        <v/>
      </c>
    </row>
    <row r="265">
      <c r="A265" s="59" t="n"/>
      <c r="B265" s="60" t="n"/>
      <c r="C265" s="60" t="n"/>
      <c r="D265" s="45">
        <f>IF($C265="","",IFERROR(INDEX('Chain Program'!$B$6:$B$120,MATCH($C265,'Chain Program'!$A$6:$A$120,0)),"Unknown ID"))</f>
        <v/>
      </c>
      <c r="E265" s="45">
        <f>IF($C265="","",IFERROR(INDEX('Chain Program'!$D$6:$D$120,MATCH($C265,'Chain Program'!$A$6:$A$120,0)),"Unknown ID"))</f>
        <v/>
      </c>
      <c r="F265" s="60" t="n"/>
      <c r="G265" s="60" t="n"/>
      <c r="H265" s="56">
        <f>IF(OR($C265="",$A265=""),"",IF(COUNTIFS('Promo Calendar'!$A$6:$A$400,$C265,'Promo Calendar'!$D$6:$D$400,IF($G265="","All",$G265),'Promo Calendar'!$I$6:$I$400,"&lt;="&amp;$A265,'Promo Calendar'!$J$6:$J$400,"&gt;="&amp;$A265,'Promo Calendar'!$G$6:$G$400,"&gt;0")&gt;0,_xlfn.MINIFS('Promo Calendar'!$G$6:$G$400,'Promo Calendar'!$A$6:$A$400,$C265,'Promo Calendar'!$D$6:$D$400,IF($G265="","All",$G265),'Promo Calendar'!$I$6:$I$400,"&lt;="&amp;$A265,'Promo Calendar'!$J$6:$J$400,"&gt;="&amp;$A265,'Promo Calendar'!$G$6:$G$400,"&gt;0"),IF(COUNTIFS('Promo Calendar'!$A$6:$A$400,$C265,'Promo Calendar'!$D$6:$D$400,"All",'Promo Calendar'!$I$6:$I$400,"&lt;="&amp;$A265,'Promo Calendar'!$J$6:$J$400,"&gt;="&amp;$A265,'Promo Calendar'!$G$6:$G$400,"&gt;0")&gt;0,_xlfn.MINIFS('Promo Calendar'!$G$6:$G$400,'Promo Calendar'!$A$6:$A$400,$C265,'Promo Calendar'!$D$6:$D$400,"All",'Promo Calendar'!$I$6:$I$400,"&lt;="&amp;$A265,'Promo Calendar'!$J$6:$J$400,"&gt;="&amp;$A265,'Promo Calendar'!$G$6:$G$400,"&gt;0"),IFERROR(IF(INDEX('Chain Program'!$M$6:$M$120,MATCH($C265,'Chain Program'!$A$6:$A$120,0))="","Not set",INDEX('Chain Program'!$M$6:$M$120,MATCH($C265,'Chain Program'!$A$6:$A$120,0))),"Not set"))))</f>
        <v/>
      </c>
      <c r="I265" s="61" t="n"/>
      <c r="J265" s="45">
        <f>IF($I265="","",IF(NOT(ISNUMBER($H265)),"No plan price",IF(ABS($I265-$H265)&lt;0.005,"Match",IF($I265&gt;$H265,"Over plan","Under plan"))))</f>
        <v/>
      </c>
      <c r="K265" s="60" t="n"/>
      <c r="L265" s="60" t="n"/>
      <c r="M265" s="60" t="n"/>
      <c r="N265" s="60" t="n"/>
      <c r="O265" s="60" t="n"/>
      <c r="P265" s="62" t="n"/>
      <c r="Q265" s="62" t="n"/>
      <c r="R265" s="60" t="n"/>
      <c r="S265" s="59" t="n"/>
      <c r="T265" s="60" t="n"/>
      <c r="U265" s="59" t="n"/>
      <c r="V265" s="45">
        <f>IF(OR($A265="",$T265="",$T265="No Issue"),"",IF($T265="Resolved",IF($U265="","",$U265-$A265),TODAY()-$A265))</f>
        <v/>
      </c>
      <c r="W265" s="47">
        <f>IF(AND($C265&lt;&gt;"",$C265='Store History'!$C$4,OR('Store History'!$C$5="",$F265='Store History'!$C$5)),1,0)</f>
        <v/>
      </c>
      <c r="X265" s="47">
        <f>IF($W265=1,SUM($W265:$W$1005),"")</f>
        <v/>
      </c>
    </row>
    <row r="266">
      <c r="A266" s="59" t="n"/>
      <c r="B266" s="60" t="n"/>
      <c r="C266" s="60" t="n"/>
      <c r="D266" s="45">
        <f>IF($C266="","",IFERROR(INDEX('Chain Program'!$B$6:$B$120,MATCH($C266,'Chain Program'!$A$6:$A$120,0)),"Unknown ID"))</f>
        <v/>
      </c>
      <c r="E266" s="45">
        <f>IF($C266="","",IFERROR(INDEX('Chain Program'!$D$6:$D$120,MATCH($C266,'Chain Program'!$A$6:$A$120,0)),"Unknown ID"))</f>
        <v/>
      </c>
      <c r="F266" s="60" t="n"/>
      <c r="G266" s="60" t="n"/>
      <c r="H266" s="56">
        <f>IF(OR($C266="",$A266=""),"",IF(COUNTIFS('Promo Calendar'!$A$6:$A$400,$C266,'Promo Calendar'!$D$6:$D$400,IF($G266="","All",$G266),'Promo Calendar'!$I$6:$I$400,"&lt;="&amp;$A266,'Promo Calendar'!$J$6:$J$400,"&gt;="&amp;$A266,'Promo Calendar'!$G$6:$G$400,"&gt;0")&gt;0,_xlfn.MINIFS('Promo Calendar'!$G$6:$G$400,'Promo Calendar'!$A$6:$A$400,$C266,'Promo Calendar'!$D$6:$D$400,IF($G266="","All",$G266),'Promo Calendar'!$I$6:$I$400,"&lt;="&amp;$A266,'Promo Calendar'!$J$6:$J$400,"&gt;="&amp;$A266,'Promo Calendar'!$G$6:$G$400,"&gt;0"),IF(COUNTIFS('Promo Calendar'!$A$6:$A$400,$C266,'Promo Calendar'!$D$6:$D$400,"All",'Promo Calendar'!$I$6:$I$400,"&lt;="&amp;$A266,'Promo Calendar'!$J$6:$J$400,"&gt;="&amp;$A266,'Promo Calendar'!$G$6:$G$400,"&gt;0")&gt;0,_xlfn.MINIFS('Promo Calendar'!$G$6:$G$400,'Promo Calendar'!$A$6:$A$400,$C266,'Promo Calendar'!$D$6:$D$400,"All",'Promo Calendar'!$I$6:$I$400,"&lt;="&amp;$A266,'Promo Calendar'!$J$6:$J$400,"&gt;="&amp;$A266,'Promo Calendar'!$G$6:$G$400,"&gt;0"),IFERROR(IF(INDEX('Chain Program'!$M$6:$M$120,MATCH($C266,'Chain Program'!$A$6:$A$120,0))="","Not set",INDEX('Chain Program'!$M$6:$M$120,MATCH($C266,'Chain Program'!$A$6:$A$120,0))),"Not set"))))</f>
        <v/>
      </c>
      <c r="I266" s="61" t="n"/>
      <c r="J266" s="45">
        <f>IF($I266="","",IF(NOT(ISNUMBER($H266)),"No plan price",IF(ABS($I266-$H266)&lt;0.005,"Match",IF($I266&gt;$H266,"Over plan","Under plan"))))</f>
        <v/>
      </c>
      <c r="K266" s="60" t="n"/>
      <c r="L266" s="60" t="n"/>
      <c r="M266" s="60" t="n"/>
      <c r="N266" s="60" t="n"/>
      <c r="O266" s="60" t="n"/>
      <c r="P266" s="62" t="n"/>
      <c r="Q266" s="62" t="n"/>
      <c r="R266" s="60" t="n"/>
      <c r="S266" s="59" t="n"/>
      <c r="T266" s="60" t="n"/>
      <c r="U266" s="59" t="n"/>
      <c r="V266" s="45">
        <f>IF(OR($A266="",$T266="",$T266="No Issue"),"",IF($T266="Resolved",IF($U266="","",$U266-$A266),TODAY()-$A266))</f>
        <v/>
      </c>
      <c r="W266" s="47">
        <f>IF(AND($C266&lt;&gt;"",$C266='Store History'!$C$4,OR('Store History'!$C$5="",$F266='Store History'!$C$5)),1,0)</f>
        <v/>
      </c>
      <c r="X266" s="47">
        <f>IF($W266=1,SUM($W266:$W$1005),"")</f>
        <v/>
      </c>
    </row>
    <row r="267">
      <c r="A267" s="59" t="n"/>
      <c r="B267" s="60" t="n"/>
      <c r="C267" s="60" t="n"/>
      <c r="D267" s="45">
        <f>IF($C267="","",IFERROR(INDEX('Chain Program'!$B$6:$B$120,MATCH($C267,'Chain Program'!$A$6:$A$120,0)),"Unknown ID"))</f>
        <v/>
      </c>
      <c r="E267" s="45">
        <f>IF($C267="","",IFERROR(INDEX('Chain Program'!$D$6:$D$120,MATCH($C267,'Chain Program'!$A$6:$A$120,0)),"Unknown ID"))</f>
        <v/>
      </c>
      <c r="F267" s="60" t="n"/>
      <c r="G267" s="60" t="n"/>
      <c r="H267" s="56">
        <f>IF(OR($C267="",$A267=""),"",IF(COUNTIFS('Promo Calendar'!$A$6:$A$400,$C267,'Promo Calendar'!$D$6:$D$400,IF($G267="","All",$G267),'Promo Calendar'!$I$6:$I$400,"&lt;="&amp;$A267,'Promo Calendar'!$J$6:$J$400,"&gt;="&amp;$A267,'Promo Calendar'!$G$6:$G$400,"&gt;0")&gt;0,_xlfn.MINIFS('Promo Calendar'!$G$6:$G$400,'Promo Calendar'!$A$6:$A$400,$C267,'Promo Calendar'!$D$6:$D$400,IF($G267="","All",$G267),'Promo Calendar'!$I$6:$I$400,"&lt;="&amp;$A267,'Promo Calendar'!$J$6:$J$400,"&gt;="&amp;$A267,'Promo Calendar'!$G$6:$G$400,"&gt;0"),IF(COUNTIFS('Promo Calendar'!$A$6:$A$400,$C267,'Promo Calendar'!$D$6:$D$400,"All",'Promo Calendar'!$I$6:$I$400,"&lt;="&amp;$A267,'Promo Calendar'!$J$6:$J$400,"&gt;="&amp;$A267,'Promo Calendar'!$G$6:$G$400,"&gt;0")&gt;0,_xlfn.MINIFS('Promo Calendar'!$G$6:$G$400,'Promo Calendar'!$A$6:$A$400,$C267,'Promo Calendar'!$D$6:$D$400,"All",'Promo Calendar'!$I$6:$I$400,"&lt;="&amp;$A267,'Promo Calendar'!$J$6:$J$400,"&gt;="&amp;$A267,'Promo Calendar'!$G$6:$G$400,"&gt;0"),IFERROR(IF(INDEX('Chain Program'!$M$6:$M$120,MATCH($C267,'Chain Program'!$A$6:$A$120,0))="","Not set",INDEX('Chain Program'!$M$6:$M$120,MATCH($C267,'Chain Program'!$A$6:$A$120,0))),"Not set"))))</f>
        <v/>
      </c>
      <c r="I267" s="61" t="n"/>
      <c r="J267" s="45">
        <f>IF($I267="","",IF(NOT(ISNUMBER($H267)),"No plan price",IF(ABS($I267-$H267)&lt;0.005,"Match",IF($I267&gt;$H267,"Over plan","Under plan"))))</f>
        <v/>
      </c>
      <c r="K267" s="60" t="n"/>
      <c r="L267" s="60" t="n"/>
      <c r="M267" s="60" t="n"/>
      <c r="N267" s="60" t="n"/>
      <c r="O267" s="60" t="n"/>
      <c r="P267" s="62" t="n"/>
      <c r="Q267" s="62" t="n"/>
      <c r="R267" s="60" t="n"/>
      <c r="S267" s="59" t="n"/>
      <c r="T267" s="60" t="n"/>
      <c r="U267" s="59" t="n"/>
      <c r="V267" s="45">
        <f>IF(OR($A267="",$T267="",$T267="No Issue"),"",IF($T267="Resolved",IF($U267="","",$U267-$A267),TODAY()-$A267))</f>
        <v/>
      </c>
      <c r="W267" s="47">
        <f>IF(AND($C267&lt;&gt;"",$C267='Store History'!$C$4,OR('Store History'!$C$5="",$F267='Store History'!$C$5)),1,0)</f>
        <v/>
      </c>
      <c r="X267" s="47">
        <f>IF($W267=1,SUM($W267:$W$1005),"")</f>
        <v/>
      </c>
    </row>
    <row r="268">
      <c r="A268" s="59" t="n"/>
      <c r="B268" s="60" t="n"/>
      <c r="C268" s="60" t="n"/>
      <c r="D268" s="45">
        <f>IF($C268="","",IFERROR(INDEX('Chain Program'!$B$6:$B$120,MATCH($C268,'Chain Program'!$A$6:$A$120,0)),"Unknown ID"))</f>
        <v/>
      </c>
      <c r="E268" s="45">
        <f>IF($C268="","",IFERROR(INDEX('Chain Program'!$D$6:$D$120,MATCH($C268,'Chain Program'!$A$6:$A$120,0)),"Unknown ID"))</f>
        <v/>
      </c>
      <c r="F268" s="60" t="n"/>
      <c r="G268" s="60" t="n"/>
      <c r="H268" s="56">
        <f>IF(OR($C268="",$A268=""),"",IF(COUNTIFS('Promo Calendar'!$A$6:$A$400,$C268,'Promo Calendar'!$D$6:$D$400,IF($G268="","All",$G268),'Promo Calendar'!$I$6:$I$400,"&lt;="&amp;$A268,'Promo Calendar'!$J$6:$J$400,"&gt;="&amp;$A268,'Promo Calendar'!$G$6:$G$400,"&gt;0")&gt;0,_xlfn.MINIFS('Promo Calendar'!$G$6:$G$400,'Promo Calendar'!$A$6:$A$400,$C268,'Promo Calendar'!$D$6:$D$400,IF($G268="","All",$G268),'Promo Calendar'!$I$6:$I$400,"&lt;="&amp;$A268,'Promo Calendar'!$J$6:$J$400,"&gt;="&amp;$A268,'Promo Calendar'!$G$6:$G$400,"&gt;0"),IF(COUNTIFS('Promo Calendar'!$A$6:$A$400,$C268,'Promo Calendar'!$D$6:$D$400,"All",'Promo Calendar'!$I$6:$I$400,"&lt;="&amp;$A268,'Promo Calendar'!$J$6:$J$400,"&gt;="&amp;$A268,'Promo Calendar'!$G$6:$G$400,"&gt;0")&gt;0,_xlfn.MINIFS('Promo Calendar'!$G$6:$G$400,'Promo Calendar'!$A$6:$A$400,$C268,'Promo Calendar'!$D$6:$D$400,"All",'Promo Calendar'!$I$6:$I$400,"&lt;="&amp;$A268,'Promo Calendar'!$J$6:$J$400,"&gt;="&amp;$A268,'Promo Calendar'!$G$6:$G$400,"&gt;0"),IFERROR(IF(INDEX('Chain Program'!$M$6:$M$120,MATCH($C268,'Chain Program'!$A$6:$A$120,0))="","Not set",INDEX('Chain Program'!$M$6:$M$120,MATCH($C268,'Chain Program'!$A$6:$A$120,0))),"Not set"))))</f>
        <v/>
      </c>
      <c r="I268" s="61" t="n"/>
      <c r="J268" s="45">
        <f>IF($I268="","",IF(NOT(ISNUMBER($H268)),"No plan price",IF(ABS($I268-$H268)&lt;0.005,"Match",IF($I268&gt;$H268,"Over plan","Under plan"))))</f>
        <v/>
      </c>
      <c r="K268" s="60" t="n"/>
      <c r="L268" s="60" t="n"/>
      <c r="M268" s="60" t="n"/>
      <c r="N268" s="60" t="n"/>
      <c r="O268" s="60" t="n"/>
      <c r="P268" s="62" t="n"/>
      <c r="Q268" s="62" t="n"/>
      <c r="R268" s="60" t="n"/>
      <c r="S268" s="59" t="n"/>
      <c r="T268" s="60" t="n"/>
      <c r="U268" s="59" t="n"/>
      <c r="V268" s="45">
        <f>IF(OR($A268="",$T268="",$T268="No Issue"),"",IF($T268="Resolved",IF($U268="","",$U268-$A268),TODAY()-$A268))</f>
        <v/>
      </c>
      <c r="W268" s="47">
        <f>IF(AND($C268&lt;&gt;"",$C268='Store History'!$C$4,OR('Store History'!$C$5="",$F268='Store History'!$C$5)),1,0)</f>
        <v/>
      </c>
      <c r="X268" s="47">
        <f>IF($W268=1,SUM($W268:$W$1005),"")</f>
        <v/>
      </c>
    </row>
    <row r="269">
      <c r="A269" s="59" t="n"/>
      <c r="B269" s="60" t="n"/>
      <c r="C269" s="60" t="n"/>
      <c r="D269" s="45">
        <f>IF($C269="","",IFERROR(INDEX('Chain Program'!$B$6:$B$120,MATCH($C269,'Chain Program'!$A$6:$A$120,0)),"Unknown ID"))</f>
        <v/>
      </c>
      <c r="E269" s="45">
        <f>IF($C269="","",IFERROR(INDEX('Chain Program'!$D$6:$D$120,MATCH($C269,'Chain Program'!$A$6:$A$120,0)),"Unknown ID"))</f>
        <v/>
      </c>
      <c r="F269" s="60" t="n"/>
      <c r="G269" s="60" t="n"/>
      <c r="H269" s="56">
        <f>IF(OR($C269="",$A269=""),"",IF(COUNTIFS('Promo Calendar'!$A$6:$A$400,$C269,'Promo Calendar'!$D$6:$D$400,IF($G269="","All",$G269),'Promo Calendar'!$I$6:$I$400,"&lt;="&amp;$A269,'Promo Calendar'!$J$6:$J$400,"&gt;="&amp;$A269,'Promo Calendar'!$G$6:$G$400,"&gt;0")&gt;0,_xlfn.MINIFS('Promo Calendar'!$G$6:$G$400,'Promo Calendar'!$A$6:$A$400,$C269,'Promo Calendar'!$D$6:$D$400,IF($G269="","All",$G269),'Promo Calendar'!$I$6:$I$400,"&lt;="&amp;$A269,'Promo Calendar'!$J$6:$J$400,"&gt;="&amp;$A269,'Promo Calendar'!$G$6:$G$400,"&gt;0"),IF(COUNTIFS('Promo Calendar'!$A$6:$A$400,$C269,'Promo Calendar'!$D$6:$D$400,"All",'Promo Calendar'!$I$6:$I$400,"&lt;="&amp;$A269,'Promo Calendar'!$J$6:$J$400,"&gt;="&amp;$A269,'Promo Calendar'!$G$6:$G$400,"&gt;0")&gt;0,_xlfn.MINIFS('Promo Calendar'!$G$6:$G$400,'Promo Calendar'!$A$6:$A$400,$C269,'Promo Calendar'!$D$6:$D$400,"All",'Promo Calendar'!$I$6:$I$400,"&lt;="&amp;$A269,'Promo Calendar'!$J$6:$J$400,"&gt;="&amp;$A269,'Promo Calendar'!$G$6:$G$400,"&gt;0"),IFERROR(IF(INDEX('Chain Program'!$M$6:$M$120,MATCH($C269,'Chain Program'!$A$6:$A$120,0))="","Not set",INDEX('Chain Program'!$M$6:$M$120,MATCH($C269,'Chain Program'!$A$6:$A$120,0))),"Not set"))))</f>
        <v/>
      </c>
      <c r="I269" s="61" t="n"/>
      <c r="J269" s="45">
        <f>IF($I269="","",IF(NOT(ISNUMBER($H269)),"No plan price",IF(ABS($I269-$H269)&lt;0.005,"Match",IF($I269&gt;$H269,"Over plan","Under plan"))))</f>
        <v/>
      </c>
      <c r="K269" s="60" t="n"/>
      <c r="L269" s="60" t="n"/>
      <c r="M269" s="60" t="n"/>
      <c r="N269" s="60" t="n"/>
      <c r="O269" s="60" t="n"/>
      <c r="P269" s="62" t="n"/>
      <c r="Q269" s="62" t="n"/>
      <c r="R269" s="60" t="n"/>
      <c r="S269" s="59" t="n"/>
      <c r="T269" s="60" t="n"/>
      <c r="U269" s="59" t="n"/>
      <c r="V269" s="45">
        <f>IF(OR($A269="",$T269="",$T269="No Issue"),"",IF($T269="Resolved",IF($U269="","",$U269-$A269),TODAY()-$A269))</f>
        <v/>
      </c>
      <c r="W269" s="47">
        <f>IF(AND($C269&lt;&gt;"",$C269='Store History'!$C$4,OR('Store History'!$C$5="",$F269='Store History'!$C$5)),1,0)</f>
        <v/>
      </c>
      <c r="X269" s="47">
        <f>IF($W269=1,SUM($W269:$W$1005),"")</f>
        <v/>
      </c>
    </row>
    <row r="270">
      <c r="A270" s="59" t="n"/>
      <c r="B270" s="60" t="n"/>
      <c r="C270" s="60" t="n"/>
      <c r="D270" s="45">
        <f>IF($C270="","",IFERROR(INDEX('Chain Program'!$B$6:$B$120,MATCH($C270,'Chain Program'!$A$6:$A$120,0)),"Unknown ID"))</f>
        <v/>
      </c>
      <c r="E270" s="45">
        <f>IF($C270="","",IFERROR(INDEX('Chain Program'!$D$6:$D$120,MATCH($C270,'Chain Program'!$A$6:$A$120,0)),"Unknown ID"))</f>
        <v/>
      </c>
      <c r="F270" s="60" t="n"/>
      <c r="G270" s="60" t="n"/>
      <c r="H270" s="56">
        <f>IF(OR($C270="",$A270=""),"",IF(COUNTIFS('Promo Calendar'!$A$6:$A$400,$C270,'Promo Calendar'!$D$6:$D$400,IF($G270="","All",$G270),'Promo Calendar'!$I$6:$I$400,"&lt;="&amp;$A270,'Promo Calendar'!$J$6:$J$400,"&gt;="&amp;$A270,'Promo Calendar'!$G$6:$G$400,"&gt;0")&gt;0,_xlfn.MINIFS('Promo Calendar'!$G$6:$G$400,'Promo Calendar'!$A$6:$A$400,$C270,'Promo Calendar'!$D$6:$D$400,IF($G270="","All",$G270),'Promo Calendar'!$I$6:$I$400,"&lt;="&amp;$A270,'Promo Calendar'!$J$6:$J$400,"&gt;="&amp;$A270,'Promo Calendar'!$G$6:$G$400,"&gt;0"),IF(COUNTIFS('Promo Calendar'!$A$6:$A$400,$C270,'Promo Calendar'!$D$6:$D$400,"All",'Promo Calendar'!$I$6:$I$400,"&lt;="&amp;$A270,'Promo Calendar'!$J$6:$J$400,"&gt;="&amp;$A270,'Promo Calendar'!$G$6:$G$400,"&gt;0")&gt;0,_xlfn.MINIFS('Promo Calendar'!$G$6:$G$400,'Promo Calendar'!$A$6:$A$400,$C270,'Promo Calendar'!$D$6:$D$400,"All",'Promo Calendar'!$I$6:$I$400,"&lt;="&amp;$A270,'Promo Calendar'!$J$6:$J$400,"&gt;="&amp;$A270,'Promo Calendar'!$G$6:$G$400,"&gt;0"),IFERROR(IF(INDEX('Chain Program'!$M$6:$M$120,MATCH($C270,'Chain Program'!$A$6:$A$120,0))="","Not set",INDEX('Chain Program'!$M$6:$M$120,MATCH($C270,'Chain Program'!$A$6:$A$120,0))),"Not set"))))</f>
        <v/>
      </c>
      <c r="I270" s="61" t="n"/>
      <c r="J270" s="45">
        <f>IF($I270="","",IF(NOT(ISNUMBER($H270)),"No plan price",IF(ABS($I270-$H270)&lt;0.005,"Match",IF($I270&gt;$H270,"Over plan","Under plan"))))</f>
        <v/>
      </c>
      <c r="K270" s="60" t="n"/>
      <c r="L270" s="60" t="n"/>
      <c r="M270" s="60" t="n"/>
      <c r="N270" s="60" t="n"/>
      <c r="O270" s="60" t="n"/>
      <c r="P270" s="62" t="n"/>
      <c r="Q270" s="62" t="n"/>
      <c r="R270" s="60" t="n"/>
      <c r="S270" s="59" t="n"/>
      <c r="T270" s="60" t="n"/>
      <c r="U270" s="59" t="n"/>
      <c r="V270" s="45">
        <f>IF(OR($A270="",$T270="",$T270="No Issue"),"",IF($T270="Resolved",IF($U270="","",$U270-$A270),TODAY()-$A270))</f>
        <v/>
      </c>
      <c r="W270" s="47">
        <f>IF(AND($C270&lt;&gt;"",$C270='Store History'!$C$4,OR('Store History'!$C$5="",$F270='Store History'!$C$5)),1,0)</f>
        <v/>
      </c>
      <c r="X270" s="47">
        <f>IF($W270=1,SUM($W270:$W$1005),"")</f>
        <v/>
      </c>
    </row>
    <row r="271">
      <c r="A271" s="59" t="n"/>
      <c r="B271" s="60" t="n"/>
      <c r="C271" s="60" t="n"/>
      <c r="D271" s="45">
        <f>IF($C271="","",IFERROR(INDEX('Chain Program'!$B$6:$B$120,MATCH($C271,'Chain Program'!$A$6:$A$120,0)),"Unknown ID"))</f>
        <v/>
      </c>
      <c r="E271" s="45">
        <f>IF($C271="","",IFERROR(INDEX('Chain Program'!$D$6:$D$120,MATCH($C271,'Chain Program'!$A$6:$A$120,0)),"Unknown ID"))</f>
        <v/>
      </c>
      <c r="F271" s="60" t="n"/>
      <c r="G271" s="60" t="n"/>
      <c r="H271" s="56">
        <f>IF(OR($C271="",$A271=""),"",IF(COUNTIFS('Promo Calendar'!$A$6:$A$400,$C271,'Promo Calendar'!$D$6:$D$400,IF($G271="","All",$G271),'Promo Calendar'!$I$6:$I$400,"&lt;="&amp;$A271,'Promo Calendar'!$J$6:$J$400,"&gt;="&amp;$A271,'Promo Calendar'!$G$6:$G$400,"&gt;0")&gt;0,_xlfn.MINIFS('Promo Calendar'!$G$6:$G$400,'Promo Calendar'!$A$6:$A$400,$C271,'Promo Calendar'!$D$6:$D$400,IF($G271="","All",$G271),'Promo Calendar'!$I$6:$I$400,"&lt;="&amp;$A271,'Promo Calendar'!$J$6:$J$400,"&gt;="&amp;$A271,'Promo Calendar'!$G$6:$G$400,"&gt;0"),IF(COUNTIFS('Promo Calendar'!$A$6:$A$400,$C271,'Promo Calendar'!$D$6:$D$400,"All",'Promo Calendar'!$I$6:$I$400,"&lt;="&amp;$A271,'Promo Calendar'!$J$6:$J$400,"&gt;="&amp;$A271,'Promo Calendar'!$G$6:$G$400,"&gt;0")&gt;0,_xlfn.MINIFS('Promo Calendar'!$G$6:$G$400,'Promo Calendar'!$A$6:$A$400,$C271,'Promo Calendar'!$D$6:$D$400,"All",'Promo Calendar'!$I$6:$I$400,"&lt;="&amp;$A271,'Promo Calendar'!$J$6:$J$400,"&gt;="&amp;$A271,'Promo Calendar'!$G$6:$G$400,"&gt;0"),IFERROR(IF(INDEX('Chain Program'!$M$6:$M$120,MATCH($C271,'Chain Program'!$A$6:$A$120,0))="","Not set",INDEX('Chain Program'!$M$6:$M$120,MATCH($C271,'Chain Program'!$A$6:$A$120,0))),"Not set"))))</f>
        <v/>
      </c>
      <c r="I271" s="61" t="n"/>
      <c r="J271" s="45">
        <f>IF($I271="","",IF(NOT(ISNUMBER($H271)),"No plan price",IF(ABS($I271-$H271)&lt;0.005,"Match",IF($I271&gt;$H271,"Over plan","Under plan"))))</f>
        <v/>
      </c>
      <c r="K271" s="60" t="n"/>
      <c r="L271" s="60" t="n"/>
      <c r="M271" s="60" t="n"/>
      <c r="N271" s="60" t="n"/>
      <c r="O271" s="60" t="n"/>
      <c r="P271" s="62" t="n"/>
      <c r="Q271" s="62" t="n"/>
      <c r="R271" s="60" t="n"/>
      <c r="S271" s="59" t="n"/>
      <c r="T271" s="60" t="n"/>
      <c r="U271" s="59" t="n"/>
      <c r="V271" s="45">
        <f>IF(OR($A271="",$T271="",$T271="No Issue"),"",IF($T271="Resolved",IF($U271="","",$U271-$A271),TODAY()-$A271))</f>
        <v/>
      </c>
      <c r="W271" s="47">
        <f>IF(AND($C271&lt;&gt;"",$C271='Store History'!$C$4,OR('Store History'!$C$5="",$F271='Store History'!$C$5)),1,0)</f>
        <v/>
      </c>
      <c r="X271" s="47">
        <f>IF($W271=1,SUM($W271:$W$1005),"")</f>
        <v/>
      </c>
    </row>
    <row r="272">
      <c r="A272" s="59" t="n"/>
      <c r="B272" s="60" t="n"/>
      <c r="C272" s="60" t="n"/>
      <c r="D272" s="45">
        <f>IF($C272="","",IFERROR(INDEX('Chain Program'!$B$6:$B$120,MATCH($C272,'Chain Program'!$A$6:$A$120,0)),"Unknown ID"))</f>
        <v/>
      </c>
      <c r="E272" s="45">
        <f>IF($C272="","",IFERROR(INDEX('Chain Program'!$D$6:$D$120,MATCH($C272,'Chain Program'!$A$6:$A$120,0)),"Unknown ID"))</f>
        <v/>
      </c>
      <c r="F272" s="60" t="n"/>
      <c r="G272" s="60" t="n"/>
      <c r="H272" s="56">
        <f>IF(OR($C272="",$A272=""),"",IF(COUNTIFS('Promo Calendar'!$A$6:$A$400,$C272,'Promo Calendar'!$D$6:$D$400,IF($G272="","All",$G272),'Promo Calendar'!$I$6:$I$400,"&lt;="&amp;$A272,'Promo Calendar'!$J$6:$J$400,"&gt;="&amp;$A272,'Promo Calendar'!$G$6:$G$400,"&gt;0")&gt;0,_xlfn.MINIFS('Promo Calendar'!$G$6:$G$400,'Promo Calendar'!$A$6:$A$400,$C272,'Promo Calendar'!$D$6:$D$400,IF($G272="","All",$G272),'Promo Calendar'!$I$6:$I$400,"&lt;="&amp;$A272,'Promo Calendar'!$J$6:$J$400,"&gt;="&amp;$A272,'Promo Calendar'!$G$6:$G$400,"&gt;0"),IF(COUNTIFS('Promo Calendar'!$A$6:$A$400,$C272,'Promo Calendar'!$D$6:$D$400,"All",'Promo Calendar'!$I$6:$I$400,"&lt;="&amp;$A272,'Promo Calendar'!$J$6:$J$400,"&gt;="&amp;$A272,'Promo Calendar'!$G$6:$G$400,"&gt;0")&gt;0,_xlfn.MINIFS('Promo Calendar'!$G$6:$G$400,'Promo Calendar'!$A$6:$A$400,$C272,'Promo Calendar'!$D$6:$D$400,"All",'Promo Calendar'!$I$6:$I$400,"&lt;="&amp;$A272,'Promo Calendar'!$J$6:$J$400,"&gt;="&amp;$A272,'Promo Calendar'!$G$6:$G$400,"&gt;0"),IFERROR(IF(INDEX('Chain Program'!$M$6:$M$120,MATCH($C272,'Chain Program'!$A$6:$A$120,0))="","Not set",INDEX('Chain Program'!$M$6:$M$120,MATCH($C272,'Chain Program'!$A$6:$A$120,0))),"Not set"))))</f>
        <v/>
      </c>
      <c r="I272" s="61" t="n"/>
      <c r="J272" s="45">
        <f>IF($I272="","",IF(NOT(ISNUMBER($H272)),"No plan price",IF(ABS($I272-$H272)&lt;0.005,"Match",IF($I272&gt;$H272,"Over plan","Under plan"))))</f>
        <v/>
      </c>
      <c r="K272" s="60" t="n"/>
      <c r="L272" s="60" t="n"/>
      <c r="M272" s="60" t="n"/>
      <c r="N272" s="60" t="n"/>
      <c r="O272" s="60" t="n"/>
      <c r="P272" s="62" t="n"/>
      <c r="Q272" s="62" t="n"/>
      <c r="R272" s="60" t="n"/>
      <c r="S272" s="59" t="n"/>
      <c r="T272" s="60" t="n"/>
      <c r="U272" s="59" t="n"/>
      <c r="V272" s="45">
        <f>IF(OR($A272="",$T272="",$T272="No Issue"),"",IF($T272="Resolved",IF($U272="","",$U272-$A272),TODAY()-$A272))</f>
        <v/>
      </c>
      <c r="W272" s="47">
        <f>IF(AND($C272&lt;&gt;"",$C272='Store History'!$C$4,OR('Store History'!$C$5="",$F272='Store History'!$C$5)),1,0)</f>
        <v/>
      </c>
      <c r="X272" s="47">
        <f>IF($W272=1,SUM($W272:$W$1005),"")</f>
        <v/>
      </c>
    </row>
    <row r="273">
      <c r="A273" s="59" t="n"/>
      <c r="B273" s="60" t="n"/>
      <c r="C273" s="60" t="n"/>
      <c r="D273" s="45">
        <f>IF($C273="","",IFERROR(INDEX('Chain Program'!$B$6:$B$120,MATCH($C273,'Chain Program'!$A$6:$A$120,0)),"Unknown ID"))</f>
        <v/>
      </c>
      <c r="E273" s="45">
        <f>IF($C273="","",IFERROR(INDEX('Chain Program'!$D$6:$D$120,MATCH($C273,'Chain Program'!$A$6:$A$120,0)),"Unknown ID"))</f>
        <v/>
      </c>
      <c r="F273" s="60" t="n"/>
      <c r="G273" s="60" t="n"/>
      <c r="H273" s="56">
        <f>IF(OR($C273="",$A273=""),"",IF(COUNTIFS('Promo Calendar'!$A$6:$A$400,$C273,'Promo Calendar'!$D$6:$D$400,IF($G273="","All",$G273),'Promo Calendar'!$I$6:$I$400,"&lt;="&amp;$A273,'Promo Calendar'!$J$6:$J$400,"&gt;="&amp;$A273,'Promo Calendar'!$G$6:$G$400,"&gt;0")&gt;0,_xlfn.MINIFS('Promo Calendar'!$G$6:$G$400,'Promo Calendar'!$A$6:$A$400,$C273,'Promo Calendar'!$D$6:$D$400,IF($G273="","All",$G273),'Promo Calendar'!$I$6:$I$400,"&lt;="&amp;$A273,'Promo Calendar'!$J$6:$J$400,"&gt;="&amp;$A273,'Promo Calendar'!$G$6:$G$400,"&gt;0"),IF(COUNTIFS('Promo Calendar'!$A$6:$A$400,$C273,'Promo Calendar'!$D$6:$D$400,"All",'Promo Calendar'!$I$6:$I$400,"&lt;="&amp;$A273,'Promo Calendar'!$J$6:$J$400,"&gt;="&amp;$A273,'Promo Calendar'!$G$6:$G$400,"&gt;0")&gt;0,_xlfn.MINIFS('Promo Calendar'!$G$6:$G$400,'Promo Calendar'!$A$6:$A$400,$C273,'Promo Calendar'!$D$6:$D$400,"All",'Promo Calendar'!$I$6:$I$400,"&lt;="&amp;$A273,'Promo Calendar'!$J$6:$J$400,"&gt;="&amp;$A273,'Promo Calendar'!$G$6:$G$400,"&gt;0"),IFERROR(IF(INDEX('Chain Program'!$M$6:$M$120,MATCH($C273,'Chain Program'!$A$6:$A$120,0))="","Not set",INDEX('Chain Program'!$M$6:$M$120,MATCH($C273,'Chain Program'!$A$6:$A$120,0))),"Not set"))))</f>
        <v/>
      </c>
      <c r="I273" s="61" t="n"/>
      <c r="J273" s="45">
        <f>IF($I273="","",IF(NOT(ISNUMBER($H273)),"No plan price",IF(ABS($I273-$H273)&lt;0.005,"Match",IF($I273&gt;$H273,"Over plan","Under plan"))))</f>
        <v/>
      </c>
      <c r="K273" s="60" t="n"/>
      <c r="L273" s="60" t="n"/>
      <c r="M273" s="60" t="n"/>
      <c r="N273" s="60" t="n"/>
      <c r="O273" s="60" t="n"/>
      <c r="P273" s="62" t="n"/>
      <c r="Q273" s="62" t="n"/>
      <c r="R273" s="60" t="n"/>
      <c r="S273" s="59" t="n"/>
      <c r="T273" s="60" t="n"/>
      <c r="U273" s="59" t="n"/>
      <c r="V273" s="45">
        <f>IF(OR($A273="",$T273="",$T273="No Issue"),"",IF($T273="Resolved",IF($U273="","",$U273-$A273),TODAY()-$A273))</f>
        <v/>
      </c>
      <c r="W273" s="47">
        <f>IF(AND($C273&lt;&gt;"",$C273='Store History'!$C$4,OR('Store History'!$C$5="",$F273='Store History'!$C$5)),1,0)</f>
        <v/>
      </c>
      <c r="X273" s="47">
        <f>IF($W273=1,SUM($W273:$W$1005),"")</f>
        <v/>
      </c>
    </row>
    <row r="274">
      <c r="A274" s="59" t="n"/>
      <c r="B274" s="60" t="n"/>
      <c r="C274" s="60" t="n"/>
      <c r="D274" s="45">
        <f>IF($C274="","",IFERROR(INDEX('Chain Program'!$B$6:$B$120,MATCH($C274,'Chain Program'!$A$6:$A$120,0)),"Unknown ID"))</f>
        <v/>
      </c>
      <c r="E274" s="45">
        <f>IF($C274="","",IFERROR(INDEX('Chain Program'!$D$6:$D$120,MATCH($C274,'Chain Program'!$A$6:$A$120,0)),"Unknown ID"))</f>
        <v/>
      </c>
      <c r="F274" s="60" t="n"/>
      <c r="G274" s="60" t="n"/>
      <c r="H274" s="56">
        <f>IF(OR($C274="",$A274=""),"",IF(COUNTIFS('Promo Calendar'!$A$6:$A$400,$C274,'Promo Calendar'!$D$6:$D$400,IF($G274="","All",$G274),'Promo Calendar'!$I$6:$I$400,"&lt;="&amp;$A274,'Promo Calendar'!$J$6:$J$400,"&gt;="&amp;$A274,'Promo Calendar'!$G$6:$G$400,"&gt;0")&gt;0,_xlfn.MINIFS('Promo Calendar'!$G$6:$G$400,'Promo Calendar'!$A$6:$A$400,$C274,'Promo Calendar'!$D$6:$D$400,IF($G274="","All",$G274),'Promo Calendar'!$I$6:$I$400,"&lt;="&amp;$A274,'Promo Calendar'!$J$6:$J$400,"&gt;="&amp;$A274,'Promo Calendar'!$G$6:$G$400,"&gt;0"),IF(COUNTIFS('Promo Calendar'!$A$6:$A$400,$C274,'Promo Calendar'!$D$6:$D$400,"All",'Promo Calendar'!$I$6:$I$400,"&lt;="&amp;$A274,'Promo Calendar'!$J$6:$J$400,"&gt;="&amp;$A274,'Promo Calendar'!$G$6:$G$400,"&gt;0")&gt;0,_xlfn.MINIFS('Promo Calendar'!$G$6:$G$400,'Promo Calendar'!$A$6:$A$400,$C274,'Promo Calendar'!$D$6:$D$400,"All",'Promo Calendar'!$I$6:$I$400,"&lt;="&amp;$A274,'Promo Calendar'!$J$6:$J$400,"&gt;="&amp;$A274,'Promo Calendar'!$G$6:$G$400,"&gt;0"),IFERROR(IF(INDEX('Chain Program'!$M$6:$M$120,MATCH($C274,'Chain Program'!$A$6:$A$120,0))="","Not set",INDEX('Chain Program'!$M$6:$M$120,MATCH($C274,'Chain Program'!$A$6:$A$120,0))),"Not set"))))</f>
        <v/>
      </c>
      <c r="I274" s="61" t="n"/>
      <c r="J274" s="45">
        <f>IF($I274="","",IF(NOT(ISNUMBER($H274)),"No plan price",IF(ABS($I274-$H274)&lt;0.005,"Match",IF($I274&gt;$H274,"Over plan","Under plan"))))</f>
        <v/>
      </c>
      <c r="K274" s="60" t="n"/>
      <c r="L274" s="60" t="n"/>
      <c r="M274" s="60" t="n"/>
      <c r="N274" s="60" t="n"/>
      <c r="O274" s="60" t="n"/>
      <c r="P274" s="62" t="n"/>
      <c r="Q274" s="62" t="n"/>
      <c r="R274" s="60" t="n"/>
      <c r="S274" s="59" t="n"/>
      <c r="T274" s="60" t="n"/>
      <c r="U274" s="59" t="n"/>
      <c r="V274" s="45">
        <f>IF(OR($A274="",$T274="",$T274="No Issue"),"",IF($T274="Resolved",IF($U274="","",$U274-$A274),TODAY()-$A274))</f>
        <v/>
      </c>
      <c r="W274" s="47">
        <f>IF(AND($C274&lt;&gt;"",$C274='Store History'!$C$4,OR('Store History'!$C$5="",$F274='Store History'!$C$5)),1,0)</f>
        <v/>
      </c>
      <c r="X274" s="47">
        <f>IF($W274=1,SUM($W274:$W$1005),"")</f>
        <v/>
      </c>
    </row>
    <row r="275">
      <c r="A275" s="59" t="n"/>
      <c r="B275" s="60" t="n"/>
      <c r="C275" s="60" t="n"/>
      <c r="D275" s="45">
        <f>IF($C275="","",IFERROR(INDEX('Chain Program'!$B$6:$B$120,MATCH($C275,'Chain Program'!$A$6:$A$120,0)),"Unknown ID"))</f>
        <v/>
      </c>
      <c r="E275" s="45">
        <f>IF($C275="","",IFERROR(INDEX('Chain Program'!$D$6:$D$120,MATCH($C275,'Chain Program'!$A$6:$A$120,0)),"Unknown ID"))</f>
        <v/>
      </c>
      <c r="F275" s="60" t="n"/>
      <c r="G275" s="60" t="n"/>
      <c r="H275" s="56">
        <f>IF(OR($C275="",$A275=""),"",IF(COUNTIFS('Promo Calendar'!$A$6:$A$400,$C275,'Promo Calendar'!$D$6:$D$400,IF($G275="","All",$G275),'Promo Calendar'!$I$6:$I$400,"&lt;="&amp;$A275,'Promo Calendar'!$J$6:$J$400,"&gt;="&amp;$A275,'Promo Calendar'!$G$6:$G$400,"&gt;0")&gt;0,_xlfn.MINIFS('Promo Calendar'!$G$6:$G$400,'Promo Calendar'!$A$6:$A$400,$C275,'Promo Calendar'!$D$6:$D$400,IF($G275="","All",$G275),'Promo Calendar'!$I$6:$I$400,"&lt;="&amp;$A275,'Promo Calendar'!$J$6:$J$400,"&gt;="&amp;$A275,'Promo Calendar'!$G$6:$G$400,"&gt;0"),IF(COUNTIFS('Promo Calendar'!$A$6:$A$400,$C275,'Promo Calendar'!$D$6:$D$400,"All",'Promo Calendar'!$I$6:$I$400,"&lt;="&amp;$A275,'Promo Calendar'!$J$6:$J$400,"&gt;="&amp;$A275,'Promo Calendar'!$G$6:$G$400,"&gt;0")&gt;0,_xlfn.MINIFS('Promo Calendar'!$G$6:$G$400,'Promo Calendar'!$A$6:$A$400,$C275,'Promo Calendar'!$D$6:$D$400,"All",'Promo Calendar'!$I$6:$I$400,"&lt;="&amp;$A275,'Promo Calendar'!$J$6:$J$400,"&gt;="&amp;$A275,'Promo Calendar'!$G$6:$G$400,"&gt;0"),IFERROR(IF(INDEX('Chain Program'!$M$6:$M$120,MATCH($C275,'Chain Program'!$A$6:$A$120,0))="","Not set",INDEX('Chain Program'!$M$6:$M$120,MATCH($C275,'Chain Program'!$A$6:$A$120,0))),"Not set"))))</f>
        <v/>
      </c>
      <c r="I275" s="61" t="n"/>
      <c r="J275" s="45">
        <f>IF($I275="","",IF(NOT(ISNUMBER($H275)),"No plan price",IF(ABS($I275-$H275)&lt;0.005,"Match",IF($I275&gt;$H275,"Over plan","Under plan"))))</f>
        <v/>
      </c>
      <c r="K275" s="60" t="n"/>
      <c r="L275" s="60" t="n"/>
      <c r="M275" s="60" t="n"/>
      <c r="N275" s="60" t="n"/>
      <c r="O275" s="60" t="n"/>
      <c r="P275" s="62" t="n"/>
      <c r="Q275" s="62" t="n"/>
      <c r="R275" s="60" t="n"/>
      <c r="S275" s="59" t="n"/>
      <c r="T275" s="60" t="n"/>
      <c r="U275" s="59" t="n"/>
      <c r="V275" s="45">
        <f>IF(OR($A275="",$T275="",$T275="No Issue"),"",IF($T275="Resolved",IF($U275="","",$U275-$A275),TODAY()-$A275))</f>
        <v/>
      </c>
      <c r="W275" s="47">
        <f>IF(AND($C275&lt;&gt;"",$C275='Store History'!$C$4,OR('Store History'!$C$5="",$F275='Store History'!$C$5)),1,0)</f>
        <v/>
      </c>
      <c r="X275" s="47">
        <f>IF($W275=1,SUM($W275:$W$1005),"")</f>
        <v/>
      </c>
    </row>
    <row r="276">
      <c r="A276" s="59" t="n"/>
      <c r="B276" s="60" t="n"/>
      <c r="C276" s="60" t="n"/>
      <c r="D276" s="45">
        <f>IF($C276="","",IFERROR(INDEX('Chain Program'!$B$6:$B$120,MATCH($C276,'Chain Program'!$A$6:$A$120,0)),"Unknown ID"))</f>
        <v/>
      </c>
      <c r="E276" s="45">
        <f>IF($C276="","",IFERROR(INDEX('Chain Program'!$D$6:$D$120,MATCH($C276,'Chain Program'!$A$6:$A$120,0)),"Unknown ID"))</f>
        <v/>
      </c>
      <c r="F276" s="60" t="n"/>
      <c r="G276" s="60" t="n"/>
      <c r="H276" s="56">
        <f>IF(OR($C276="",$A276=""),"",IF(COUNTIFS('Promo Calendar'!$A$6:$A$400,$C276,'Promo Calendar'!$D$6:$D$400,IF($G276="","All",$G276),'Promo Calendar'!$I$6:$I$400,"&lt;="&amp;$A276,'Promo Calendar'!$J$6:$J$400,"&gt;="&amp;$A276,'Promo Calendar'!$G$6:$G$400,"&gt;0")&gt;0,_xlfn.MINIFS('Promo Calendar'!$G$6:$G$400,'Promo Calendar'!$A$6:$A$400,$C276,'Promo Calendar'!$D$6:$D$400,IF($G276="","All",$G276),'Promo Calendar'!$I$6:$I$400,"&lt;="&amp;$A276,'Promo Calendar'!$J$6:$J$400,"&gt;="&amp;$A276,'Promo Calendar'!$G$6:$G$400,"&gt;0"),IF(COUNTIFS('Promo Calendar'!$A$6:$A$400,$C276,'Promo Calendar'!$D$6:$D$400,"All",'Promo Calendar'!$I$6:$I$400,"&lt;="&amp;$A276,'Promo Calendar'!$J$6:$J$400,"&gt;="&amp;$A276,'Promo Calendar'!$G$6:$G$400,"&gt;0")&gt;0,_xlfn.MINIFS('Promo Calendar'!$G$6:$G$400,'Promo Calendar'!$A$6:$A$400,$C276,'Promo Calendar'!$D$6:$D$400,"All",'Promo Calendar'!$I$6:$I$400,"&lt;="&amp;$A276,'Promo Calendar'!$J$6:$J$400,"&gt;="&amp;$A276,'Promo Calendar'!$G$6:$G$400,"&gt;0"),IFERROR(IF(INDEX('Chain Program'!$M$6:$M$120,MATCH($C276,'Chain Program'!$A$6:$A$120,0))="","Not set",INDEX('Chain Program'!$M$6:$M$120,MATCH($C276,'Chain Program'!$A$6:$A$120,0))),"Not set"))))</f>
        <v/>
      </c>
      <c r="I276" s="61" t="n"/>
      <c r="J276" s="45">
        <f>IF($I276="","",IF(NOT(ISNUMBER($H276)),"No plan price",IF(ABS($I276-$H276)&lt;0.005,"Match",IF($I276&gt;$H276,"Over plan","Under plan"))))</f>
        <v/>
      </c>
      <c r="K276" s="60" t="n"/>
      <c r="L276" s="60" t="n"/>
      <c r="M276" s="60" t="n"/>
      <c r="N276" s="60" t="n"/>
      <c r="O276" s="60" t="n"/>
      <c r="P276" s="62" t="n"/>
      <c r="Q276" s="62" t="n"/>
      <c r="R276" s="60" t="n"/>
      <c r="S276" s="59" t="n"/>
      <c r="T276" s="60" t="n"/>
      <c r="U276" s="59" t="n"/>
      <c r="V276" s="45">
        <f>IF(OR($A276="",$T276="",$T276="No Issue"),"",IF($T276="Resolved",IF($U276="","",$U276-$A276),TODAY()-$A276))</f>
        <v/>
      </c>
      <c r="W276" s="47">
        <f>IF(AND($C276&lt;&gt;"",$C276='Store History'!$C$4,OR('Store History'!$C$5="",$F276='Store History'!$C$5)),1,0)</f>
        <v/>
      </c>
      <c r="X276" s="47">
        <f>IF($W276=1,SUM($W276:$W$1005),"")</f>
        <v/>
      </c>
    </row>
    <row r="277">
      <c r="A277" s="59" t="n"/>
      <c r="B277" s="60" t="n"/>
      <c r="C277" s="60" t="n"/>
      <c r="D277" s="45">
        <f>IF($C277="","",IFERROR(INDEX('Chain Program'!$B$6:$B$120,MATCH($C277,'Chain Program'!$A$6:$A$120,0)),"Unknown ID"))</f>
        <v/>
      </c>
      <c r="E277" s="45">
        <f>IF($C277="","",IFERROR(INDEX('Chain Program'!$D$6:$D$120,MATCH($C277,'Chain Program'!$A$6:$A$120,0)),"Unknown ID"))</f>
        <v/>
      </c>
      <c r="F277" s="60" t="n"/>
      <c r="G277" s="60" t="n"/>
      <c r="H277" s="56">
        <f>IF(OR($C277="",$A277=""),"",IF(COUNTIFS('Promo Calendar'!$A$6:$A$400,$C277,'Promo Calendar'!$D$6:$D$400,IF($G277="","All",$G277),'Promo Calendar'!$I$6:$I$400,"&lt;="&amp;$A277,'Promo Calendar'!$J$6:$J$400,"&gt;="&amp;$A277,'Promo Calendar'!$G$6:$G$400,"&gt;0")&gt;0,_xlfn.MINIFS('Promo Calendar'!$G$6:$G$400,'Promo Calendar'!$A$6:$A$400,$C277,'Promo Calendar'!$D$6:$D$400,IF($G277="","All",$G277),'Promo Calendar'!$I$6:$I$400,"&lt;="&amp;$A277,'Promo Calendar'!$J$6:$J$400,"&gt;="&amp;$A277,'Promo Calendar'!$G$6:$G$400,"&gt;0"),IF(COUNTIFS('Promo Calendar'!$A$6:$A$400,$C277,'Promo Calendar'!$D$6:$D$400,"All",'Promo Calendar'!$I$6:$I$400,"&lt;="&amp;$A277,'Promo Calendar'!$J$6:$J$400,"&gt;="&amp;$A277,'Promo Calendar'!$G$6:$G$400,"&gt;0")&gt;0,_xlfn.MINIFS('Promo Calendar'!$G$6:$G$400,'Promo Calendar'!$A$6:$A$400,$C277,'Promo Calendar'!$D$6:$D$400,"All",'Promo Calendar'!$I$6:$I$400,"&lt;="&amp;$A277,'Promo Calendar'!$J$6:$J$400,"&gt;="&amp;$A277,'Promo Calendar'!$G$6:$G$400,"&gt;0"),IFERROR(IF(INDEX('Chain Program'!$M$6:$M$120,MATCH($C277,'Chain Program'!$A$6:$A$120,0))="","Not set",INDEX('Chain Program'!$M$6:$M$120,MATCH($C277,'Chain Program'!$A$6:$A$120,0))),"Not set"))))</f>
        <v/>
      </c>
      <c r="I277" s="61" t="n"/>
      <c r="J277" s="45">
        <f>IF($I277="","",IF(NOT(ISNUMBER($H277)),"No plan price",IF(ABS($I277-$H277)&lt;0.005,"Match",IF($I277&gt;$H277,"Over plan","Under plan"))))</f>
        <v/>
      </c>
      <c r="K277" s="60" t="n"/>
      <c r="L277" s="60" t="n"/>
      <c r="M277" s="60" t="n"/>
      <c r="N277" s="60" t="n"/>
      <c r="O277" s="60" t="n"/>
      <c r="P277" s="62" t="n"/>
      <c r="Q277" s="62" t="n"/>
      <c r="R277" s="60" t="n"/>
      <c r="S277" s="59" t="n"/>
      <c r="T277" s="60" t="n"/>
      <c r="U277" s="59" t="n"/>
      <c r="V277" s="45">
        <f>IF(OR($A277="",$T277="",$T277="No Issue"),"",IF($T277="Resolved",IF($U277="","",$U277-$A277),TODAY()-$A277))</f>
        <v/>
      </c>
      <c r="W277" s="47">
        <f>IF(AND($C277&lt;&gt;"",$C277='Store History'!$C$4,OR('Store History'!$C$5="",$F277='Store History'!$C$5)),1,0)</f>
        <v/>
      </c>
      <c r="X277" s="47">
        <f>IF($W277=1,SUM($W277:$W$1005),"")</f>
        <v/>
      </c>
    </row>
    <row r="278">
      <c r="A278" s="59" t="n"/>
      <c r="B278" s="60" t="n"/>
      <c r="C278" s="60" t="n"/>
      <c r="D278" s="45">
        <f>IF($C278="","",IFERROR(INDEX('Chain Program'!$B$6:$B$120,MATCH($C278,'Chain Program'!$A$6:$A$120,0)),"Unknown ID"))</f>
        <v/>
      </c>
      <c r="E278" s="45">
        <f>IF($C278="","",IFERROR(INDEX('Chain Program'!$D$6:$D$120,MATCH($C278,'Chain Program'!$A$6:$A$120,0)),"Unknown ID"))</f>
        <v/>
      </c>
      <c r="F278" s="60" t="n"/>
      <c r="G278" s="60" t="n"/>
      <c r="H278" s="56">
        <f>IF(OR($C278="",$A278=""),"",IF(COUNTIFS('Promo Calendar'!$A$6:$A$400,$C278,'Promo Calendar'!$D$6:$D$400,IF($G278="","All",$G278),'Promo Calendar'!$I$6:$I$400,"&lt;="&amp;$A278,'Promo Calendar'!$J$6:$J$400,"&gt;="&amp;$A278,'Promo Calendar'!$G$6:$G$400,"&gt;0")&gt;0,_xlfn.MINIFS('Promo Calendar'!$G$6:$G$400,'Promo Calendar'!$A$6:$A$400,$C278,'Promo Calendar'!$D$6:$D$400,IF($G278="","All",$G278),'Promo Calendar'!$I$6:$I$400,"&lt;="&amp;$A278,'Promo Calendar'!$J$6:$J$400,"&gt;="&amp;$A278,'Promo Calendar'!$G$6:$G$400,"&gt;0"),IF(COUNTIFS('Promo Calendar'!$A$6:$A$400,$C278,'Promo Calendar'!$D$6:$D$400,"All",'Promo Calendar'!$I$6:$I$400,"&lt;="&amp;$A278,'Promo Calendar'!$J$6:$J$400,"&gt;="&amp;$A278,'Promo Calendar'!$G$6:$G$400,"&gt;0")&gt;0,_xlfn.MINIFS('Promo Calendar'!$G$6:$G$400,'Promo Calendar'!$A$6:$A$400,$C278,'Promo Calendar'!$D$6:$D$400,"All",'Promo Calendar'!$I$6:$I$400,"&lt;="&amp;$A278,'Promo Calendar'!$J$6:$J$400,"&gt;="&amp;$A278,'Promo Calendar'!$G$6:$G$400,"&gt;0"),IFERROR(IF(INDEX('Chain Program'!$M$6:$M$120,MATCH($C278,'Chain Program'!$A$6:$A$120,0))="","Not set",INDEX('Chain Program'!$M$6:$M$120,MATCH($C278,'Chain Program'!$A$6:$A$120,0))),"Not set"))))</f>
        <v/>
      </c>
      <c r="I278" s="61" t="n"/>
      <c r="J278" s="45">
        <f>IF($I278="","",IF(NOT(ISNUMBER($H278)),"No plan price",IF(ABS($I278-$H278)&lt;0.005,"Match",IF($I278&gt;$H278,"Over plan","Under plan"))))</f>
        <v/>
      </c>
      <c r="K278" s="60" t="n"/>
      <c r="L278" s="60" t="n"/>
      <c r="M278" s="60" t="n"/>
      <c r="N278" s="60" t="n"/>
      <c r="O278" s="60" t="n"/>
      <c r="P278" s="62" t="n"/>
      <c r="Q278" s="62" t="n"/>
      <c r="R278" s="60" t="n"/>
      <c r="S278" s="59" t="n"/>
      <c r="T278" s="60" t="n"/>
      <c r="U278" s="59" t="n"/>
      <c r="V278" s="45">
        <f>IF(OR($A278="",$T278="",$T278="No Issue"),"",IF($T278="Resolved",IF($U278="","",$U278-$A278),TODAY()-$A278))</f>
        <v/>
      </c>
      <c r="W278" s="47">
        <f>IF(AND($C278&lt;&gt;"",$C278='Store History'!$C$4,OR('Store History'!$C$5="",$F278='Store History'!$C$5)),1,0)</f>
        <v/>
      </c>
      <c r="X278" s="47">
        <f>IF($W278=1,SUM($W278:$W$1005),"")</f>
        <v/>
      </c>
    </row>
    <row r="279">
      <c r="A279" s="59" t="n"/>
      <c r="B279" s="60" t="n"/>
      <c r="C279" s="60" t="n"/>
      <c r="D279" s="45">
        <f>IF($C279="","",IFERROR(INDEX('Chain Program'!$B$6:$B$120,MATCH($C279,'Chain Program'!$A$6:$A$120,0)),"Unknown ID"))</f>
        <v/>
      </c>
      <c r="E279" s="45">
        <f>IF($C279="","",IFERROR(INDEX('Chain Program'!$D$6:$D$120,MATCH($C279,'Chain Program'!$A$6:$A$120,0)),"Unknown ID"))</f>
        <v/>
      </c>
      <c r="F279" s="60" t="n"/>
      <c r="G279" s="60" t="n"/>
      <c r="H279" s="56">
        <f>IF(OR($C279="",$A279=""),"",IF(COUNTIFS('Promo Calendar'!$A$6:$A$400,$C279,'Promo Calendar'!$D$6:$D$400,IF($G279="","All",$G279),'Promo Calendar'!$I$6:$I$400,"&lt;="&amp;$A279,'Promo Calendar'!$J$6:$J$400,"&gt;="&amp;$A279,'Promo Calendar'!$G$6:$G$400,"&gt;0")&gt;0,_xlfn.MINIFS('Promo Calendar'!$G$6:$G$400,'Promo Calendar'!$A$6:$A$400,$C279,'Promo Calendar'!$D$6:$D$400,IF($G279="","All",$G279),'Promo Calendar'!$I$6:$I$400,"&lt;="&amp;$A279,'Promo Calendar'!$J$6:$J$400,"&gt;="&amp;$A279,'Promo Calendar'!$G$6:$G$400,"&gt;0"),IF(COUNTIFS('Promo Calendar'!$A$6:$A$400,$C279,'Promo Calendar'!$D$6:$D$400,"All",'Promo Calendar'!$I$6:$I$400,"&lt;="&amp;$A279,'Promo Calendar'!$J$6:$J$400,"&gt;="&amp;$A279,'Promo Calendar'!$G$6:$G$400,"&gt;0")&gt;0,_xlfn.MINIFS('Promo Calendar'!$G$6:$G$400,'Promo Calendar'!$A$6:$A$400,$C279,'Promo Calendar'!$D$6:$D$400,"All",'Promo Calendar'!$I$6:$I$400,"&lt;="&amp;$A279,'Promo Calendar'!$J$6:$J$400,"&gt;="&amp;$A279,'Promo Calendar'!$G$6:$G$400,"&gt;0"),IFERROR(IF(INDEX('Chain Program'!$M$6:$M$120,MATCH($C279,'Chain Program'!$A$6:$A$120,0))="","Not set",INDEX('Chain Program'!$M$6:$M$120,MATCH($C279,'Chain Program'!$A$6:$A$120,0))),"Not set"))))</f>
        <v/>
      </c>
      <c r="I279" s="61" t="n"/>
      <c r="J279" s="45">
        <f>IF($I279="","",IF(NOT(ISNUMBER($H279)),"No plan price",IF(ABS($I279-$H279)&lt;0.005,"Match",IF($I279&gt;$H279,"Over plan","Under plan"))))</f>
        <v/>
      </c>
      <c r="K279" s="60" t="n"/>
      <c r="L279" s="60" t="n"/>
      <c r="M279" s="60" t="n"/>
      <c r="N279" s="60" t="n"/>
      <c r="O279" s="60" t="n"/>
      <c r="P279" s="62" t="n"/>
      <c r="Q279" s="62" t="n"/>
      <c r="R279" s="60" t="n"/>
      <c r="S279" s="59" t="n"/>
      <c r="T279" s="60" t="n"/>
      <c r="U279" s="59" t="n"/>
      <c r="V279" s="45">
        <f>IF(OR($A279="",$T279="",$T279="No Issue"),"",IF($T279="Resolved",IF($U279="","",$U279-$A279),TODAY()-$A279))</f>
        <v/>
      </c>
      <c r="W279" s="47">
        <f>IF(AND($C279&lt;&gt;"",$C279='Store History'!$C$4,OR('Store History'!$C$5="",$F279='Store History'!$C$5)),1,0)</f>
        <v/>
      </c>
      <c r="X279" s="47">
        <f>IF($W279=1,SUM($W279:$W$1005),"")</f>
        <v/>
      </c>
    </row>
    <row r="280">
      <c r="A280" s="59" t="n"/>
      <c r="B280" s="60" t="n"/>
      <c r="C280" s="60" t="n"/>
      <c r="D280" s="45">
        <f>IF($C280="","",IFERROR(INDEX('Chain Program'!$B$6:$B$120,MATCH($C280,'Chain Program'!$A$6:$A$120,0)),"Unknown ID"))</f>
        <v/>
      </c>
      <c r="E280" s="45">
        <f>IF($C280="","",IFERROR(INDEX('Chain Program'!$D$6:$D$120,MATCH($C280,'Chain Program'!$A$6:$A$120,0)),"Unknown ID"))</f>
        <v/>
      </c>
      <c r="F280" s="60" t="n"/>
      <c r="G280" s="60" t="n"/>
      <c r="H280" s="56">
        <f>IF(OR($C280="",$A280=""),"",IF(COUNTIFS('Promo Calendar'!$A$6:$A$400,$C280,'Promo Calendar'!$D$6:$D$400,IF($G280="","All",$G280),'Promo Calendar'!$I$6:$I$400,"&lt;="&amp;$A280,'Promo Calendar'!$J$6:$J$400,"&gt;="&amp;$A280,'Promo Calendar'!$G$6:$G$400,"&gt;0")&gt;0,_xlfn.MINIFS('Promo Calendar'!$G$6:$G$400,'Promo Calendar'!$A$6:$A$400,$C280,'Promo Calendar'!$D$6:$D$400,IF($G280="","All",$G280),'Promo Calendar'!$I$6:$I$400,"&lt;="&amp;$A280,'Promo Calendar'!$J$6:$J$400,"&gt;="&amp;$A280,'Promo Calendar'!$G$6:$G$400,"&gt;0"),IF(COUNTIFS('Promo Calendar'!$A$6:$A$400,$C280,'Promo Calendar'!$D$6:$D$400,"All",'Promo Calendar'!$I$6:$I$400,"&lt;="&amp;$A280,'Promo Calendar'!$J$6:$J$400,"&gt;="&amp;$A280,'Promo Calendar'!$G$6:$G$400,"&gt;0")&gt;0,_xlfn.MINIFS('Promo Calendar'!$G$6:$G$400,'Promo Calendar'!$A$6:$A$400,$C280,'Promo Calendar'!$D$6:$D$400,"All",'Promo Calendar'!$I$6:$I$400,"&lt;="&amp;$A280,'Promo Calendar'!$J$6:$J$400,"&gt;="&amp;$A280,'Promo Calendar'!$G$6:$G$400,"&gt;0"),IFERROR(IF(INDEX('Chain Program'!$M$6:$M$120,MATCH($C280,'Chain Program'!$A$6:$A$120,0))="","Not set",INDEX('Chain Program'!$M$6:$M$120,MATCH($C280,'Chain Program'!$A$6:$A$120,0))),"Not set"))))</f>
        <v/>
      </c>
      <c r="I280" s="61" t="n"/>
      <c r="J280" s="45">
        <f>IF($I280="","",IF(NOT(ISNUMBER($H280)),"No plan price",IF(ABS($I280-$H280)&lt;0.005,"Match",IF($I280&gt;$H280,"Over plan","Under plan"))))</f>
        <v/>
      </c>
      <c r="K280" s="60" t="n"/>
      <c r="L280" s="60" t="n"/>
      <c r="M280" s="60" t="n"/>
      <c r="N280" s="60" t="n"/>
      <c r="O280" s="60" t="n"/>
      <c r="P280" s="62" t="n"/>
      <c r="Q280" s="62" t="n"/>
      <c r="R280" s="60" t="n"/>
      <c r="S280" s="59" t="n"/>
      <c r="T280" s="60" t="n"/>
      <c r="U280" s="59" t="n"/>
      <c r="V280" s="45">
        <f>IF(OR($A280="",$T280="",$T280="No Issue"),"",IF($T280="Resolved",IF($U280="","",$U280-$A280),TODAY()-$A280))</f>
        <v/>
      </c>
      <c r="W280" s="47">
        <f>IF(AND($C280&lt;&gt;"",$C280='Store History'!$C$4,OR('Store History'!$C$5="",$F280='Store History'!$C$5)),1,0)</f>
        <v/>
      </c>
      <c r="X280" s="47">
        <f>IF($W280=1,SUM($W280:$W$1005),"")</f>
        <v/>
      </c>
    </row>
    <row r="281">
      <c r="A281" s="59" t="n"/>
      <c r="B281" s="60" t="n"/>
      <c r="C281" s="60" t="n"/>
      <c r="D281" s="45">
        <f>IF($C281="","",IFERROR(INDEX('Chain Program'!$B$6:$B$120,MATCH($C281,'Chain Program'!$A$6:$A$120,0)),"Unknown ID"))</f>
        <v/>
      </c>
      <c r="E281" s="45">
        <f>IF($C281="","",IFERROR(INDEX('Chain Program'!$D$6:$D$120,MATCH($C281,'Chain Program'!$A$6:$A$120,0)),"Unknown ID"))</f>
        <v/>
      </c>
      <c r="F281" s="60" t="n"/>
      <c r="G281" s="60" t="n"/>
      <c r="H281" s="56">
        <f>IF(OR($C281="",$A281=""),"",IF(COUNTIFS('Promo Calendar'!$A$6:$A$400,$C281,'Promo Calendar'!$D$6:$D$400,IF($G281="","All",$G281),'Promo Calendar'!$I$6:$I$400,"&lt;="&amp;$A281,'Promo Calendar'!$J$6:$J$400,"&gt;="&amp;$A281,'Promo Calendar'!$G$6:$G$400,"&gt;0")&gt;0,_xlfn.MINIFS('Promo Calendar'!$G$6:$G$400,'Promo Calendar'!$A$6:$A$400,$C281,'Promo Calendar'!$D$6:$D$400,IF($G281="","All",$G281),'Promo Calendar'!$I$6:$I$400,"&lt;="&amp;$A281,'Promo Calendar'!$J$6:$J$400,"&gt;="&amp;$A281,'Promo Calendar'!$G$6:$G$400,"&gt;0"),IF(COUNTIFS('Promo Calendar'!$A$6:$A$400,$C281,'Promo Calendar'!$D$6:$D$400,"All",'Promo Calendar'!$I$6:$I$400,"&lt;="&amp;$A281,'Promo Calendar'!$J$6:$J$400,"&gt;="&amp;$A281,'Promo Calendar'!$G$6:$G$400,"&gt;0")&gt;0,_xlfn.MINIFS('Promo Calendar'!$G$6:$G$400,'Promo Calendar'!$A$6:$A$400,$C281,'Promo Calendar'!$D$6:$D$400,"All",'Promo Calendar'!$I$6:$I$400,"&lt;="&amp;$A281,'Promo Calendar'!$J$6:$J$400,"&gt;="&amp;$A281,'Promo Calendar'!$G$6:$G$400,"&gt;0"),IFERROR(IF(INDEX('Chain Program'!$M$6:$M$120,MATCH($C281,'Chain Program'!$A$6:$A$120,0))="","Not set",INDEX('Chain Program'!$M$6:$M$120,MATCH($C281,'Chain Program'!$A$6:$A$120,0))),"Not set"))))</f>
        <v/>
      </c>
      <c r="I281" s="61" t="n"/>
      <c r="J281" s="45">
        <f>IF($I281="","",IF(NOT(ISNUMBER($H281)),"No plan price",IF(ABS($I281-$H281)&lt;0.005,"Match",IF($I281&gt;$H281,"Over plan","Under plan"))))</f>
        <v/>
      </c>
      <c r="K281" s="60" t="n"/>
      <c r="L281" s="60" t="n"/>
      <c r="M281" s="60" t="n"/>
      <c r="N281" s="60" t="n"/>
      <c r="O281" s="60" t="n"/>
      <c r="P281" s="62" t="n"/>
      <c r="Q281" s="62" t="n"/>
      <c r="R281" s="60" t="n"/>
      <c r="S281" s="59" t="n"/>
      <c r="T281" s="60" t="n"/>
      <c r="U281" s="59" t="n"/>
      <c r="V281" s="45">
        <f>IF(OR($A281="",$T281="",$T281="No Issue"),"",IF($T281="Resolved",IF($U281="","",$U281-$A281),TODAY()-$A281))</f>
        <v/>
      </c>
      <c r="W281" s="47">
        <f>IF(AND($C281&lt;&gt;"",$C281='Store History'!$C$4,OR('Store History'!$C$5="",$F281='Store History'!$C$5)),1,0)</f>
        <v/>
      </c>
      <c r="X281" s="47">
        <f>IF($W281=1,SUM($W281:$W$1005),"")</f>
        <v/>
      </c>
    </row>
    <row r="282">
      <c r="A282" s="59" t="n"/>
      <c r="B282" s="60" t="n"/>
      <c r="C282" s="60" t="n"/>
      <c r="D282" s="45">
        <f>IF($C282="","",IFERROR(INDEX('Chain Program'!$B$6:$B$120,MATCH($C282,'Chain Program'!$A$6:$A$120,0)),"Unknown ID"))</f>
        <v/>
      </c>
      <c r="E282" s="45">
        <f>IF($C282="","",IFERROR(INDEX('Chain Program'!$D$6:$D$120,MATCH($C282,'Chain Program'!$A$6:$A$120,0)),"Unknown ID"))</f>
        <v/>
      </c>
      <c r="F282" s="60" t="n"/>
      <c r="G282" s="60" t="n"/>
      <c r="H282" s="56">
        <f>IF(OR($C282="",$A282=""),"",IF(COUNTIFS('Promo Calendar'!$A$6:$A$400,$C282,'Promo Calendar'!$D$6:$D$400,IF($G282="","All",$G282),'Promo Calendar'!$I$6:$I$400,"&lt;="&amp;$A282,'Promo Calendar'!$J$6:$J$400,"&gt;="&amp;$A282,'Promo Calendar'!$G$6:$G$400,"&gt;0")&gt;0,_xlfn.MINIFS('Promo Calendar'!$G$6:$G$400,'Promo Calendar'!$A$6:$A$400,$C282,'Promo Calendar'!$D$6:$D$400,IF($G282="","All",$G282),'Promo Calendar'!$I$6:$I$400,"&lt;="&amp;$A282,'Promo Calendar'!$J$6:$J$400,"&gt;="&amp;$A282,'Promo Calendar'!$G$6:$G$400,"&gt;0"),IF(COUNTIFS('Promo Calendar'!$A$6:$A$400,$C282,'Promo Calendar'!$D$6:$D$400,"All",'Promo Calendar'!$I$6:$I$400,"&lt;="&amp;$A282,'Promo Calendar'!$J$6:$J$400,"&gt;="&amp;$A282,'Promo Calendar'!$G$6:$G$400,"&gt;0")&gt;0,_xlfn.MINIFS('Promo Calendar'!$G$6:$G$400,'Promo Calendar'!$A$6:$A$400,$C282,'Promo Calendar'!$D$6:$D$400,"All",'Promo Calendar'!$I$6:$I$400,"&lt;="&amp;$A282,'Promo Calendar'!$J$6:$J$400,"&gt;="&amp;$A282,'Promo Calendar'!$G$6:$G$400,"&gt;0"),IFERROR(IF(INDEX('Chain Program'!$M$6:$M$120,MATCH($C282,'Chain Program'!$A$6:$A$120,0))="","Not set",INDEX('Chain Program'!$M$6:$M$120,MATCH($C282,'Chain Program'!$A$6:$A$120,0))),"Not set"))))</f>
        <v/>
      </c>
      <c r="I282" s="61" t="n"/>
      <c r="J282" s="45">
        <f>IF($I282="","",IF(NOT(ISNUMBER($H282)),"No plan price",IF(ABS($I282-$H282)&lt;0.005,"Match",IF($I282&gt;$H282,"Over plan","Under plan"))))</f>
        <v/>
      </c>
      <c r="K282" s="60" t="n"/>
      <c r="L282" s="60" t="n"/>
      <c r="M282" s="60" t="n"/>
      <c r="N282" s="60" t="n"/>
      <c r="O282" s="60" t="n"/>
      <c r="P282" s="62" t="n"/>
      <c r="Q282" s="62" t="n"/>
      <c r="R282" s="60" t="n"/>
      <c r="S282" s="59" t="n"/>
      <c r="T282" s="60" t="n"/>
      <c r="U282" s="59" t="n"/>
      <c r="V282" s="45">
        <f>IF(OR($A282="",$T282="",$T282="No Issue"),"",IF($T282="Resolved",IF($U282="","",$U282-$A282),TODAY()-$A282))</f>
        <v/>
      </c>
      <c r="W282" s="47">
        <f>IF(AND($C282&lt;&gt;"",$C282='Store History'!$C$4,OR('Store History'!$C$5="",$F282='Store History'!$C$5)),1,0)</f>
        <v/>
      </c>
      <c r="X282" s="47">
        <f>IF($W282=1,SUM($W282:$W$1005),"")</f>
        <v/>
      </c>
    </row>
    <row r="283">
      <c r="A283" s="59" t="n"/>
      <c r="B283" s="60" t="n"/>
      <c r="C283" s="60" t="n"/>
      <c r="D283" s="45">
        <f>IF($C283="","",IFERROR(INDEX('Chain Program'!$B$6:$B$120,MATCH($C283,'Chain Program'!$A$6:$A$120,0)),"Unknown ID"))</f>
        <v/>
      </c>
      <c r="E283" s="45">
        <f>IF($C283="","",IFERROR(INDEX('Chain Program'!$D$6:$D$120,MATCH($C283,'Chain Program'!$A$6:$A$120,0)),"Unknown ID"))</f>
        <v/>
      </c>
      <c r="F283" s="60" t="n"/>
      <c r="G283" s="60" t="n"/>
      <c r="H283" s="56">
        <f>IF(OR($C283="",$A283=""),"",IF(COUNTIFS('Promo Calendar'!$A$6:$A$400,$C283,'Promo Calendar'!$D$6:$D$400,IF($G283="","All",$G283),'Promo Calendar'!$I$6:$I$400,"&lt;="&amp;$A283,'Promo Calendar'!$J$6:$J$400,"&gt;="&amp;$A283,'Promo Calendar'!$G$6:$G$400,"&gt;0")&gt;0,_xlfn.MINIFS('Promo Calendar'!$G$6:$G$400,'Promo Calendar'!$A$6:$A$400,$C283,'Promo Calendar'!$D$6:$D$400,IF($G283="","All",$G283),'Promo Calendar'!$I$6:$I$400,"&lt;="&amp;$A283,'Promo Calendar'!$J$6:$J$400,"&gt;="&amp;$A283,'Promo Calendar'!$G$6:$G$400,"&gt;0"),IF(COUNTIFS('Promo Calendar'!$A$6:$A$400,$C283,'Promo Calendar'!$D$6:$D$400,"All",'Promo Calendar'!$I$6:$I$400,"&lt;="&amp;$A283,'Promo Calendar'!$J$6:$J$400,"&gt;="&amp;$A283,'Promo Calendar'!$G$6:$G$400,"&gt;0")&gt;0,_xlfn.MINIFS('Promo Calendar'!$G$6:$G$400,'Promo Calendar'!$A$6:$A$400,$C283,'Promo Calendar'!$D$6:$D$400,"All",'Promo Calendar'!$I$6:$I$400,"&lt;="&amp;$A283,'Promo Calendar'!$J$6:$J$400,"&gt;="&amp;$A283,'Promo Calendar'!$G$6:$G$400,"&gt;0"),IFERROR(IF(INDEX('Chain Program'!$M$6:$M$120,MATCH($C283,'Chain Program'!$A$6:$A$120,0))="","Not set",INDEX('Chain Program'!$M$6:$M$120,MATCH($C283,'Chain Program'!$A$6:$A$120,0))),"Not set"))))</f>
        <v/>
      </c>
      <c r="I283" s="61" t="n"/>
      <c r="J283" s="45">
        <f>IF($I283="","",IF(NOT(ISNUMBER($H283)),"No plan price",IF(ABS($I283-$H283)&lt;0.005,"Match",IF($I283&gt;$H283,"Over plan","Under plan"))))</f>
        <v/>
      </c>
      <c r="K283" s="60" t="n"/>
      <c r="L283" s="60" t="n"/>
      <c r="M283" s="60" t="n"/>
      <c r="N283" s="60" t="n"/>
      <c r="O283" s="60" t="n"/>
      <c r="P283" s="62" t="n"/>
      <c r="Q283" s="62" t="n"/>
      <c r="R283" s="60" t="n"/>
      <c r="S283" s="59" t="n"/>
      <c r="T283" s="60" t="n"/>
      <c r="U283" s="59" t="n"/>
      <c r="V283" s="45">
        <f>IF(OR($A283="",$T283="",$T283="No Issue"),"",IF($T283="Resolved",IF($U283="","",$U283-$A283),TODAY()-$A283))</f>
        <v/>
      </c>
      <c r="W283" s="47">
        <f>IF(AND($C283&lt;&gt;"",$C283='Store History'!$C$4,OR('Store History'!$C$5="",$F283='Store History'!$C$5)),1,0)</f>
        <v/>
      </c>
      <c r="X283" s="47">
        <f>IF($W283=1,SUM($W283:$W$1005),"")</f>
        <v/>
      </c>
    </row>
    <row r="284">
      <c r="A284" s="59" t="n"/>
      <c r="B284" s="60" t="n"/>
      <c r="C284" s="60" t="n"/>
      <c r="D284" s="45">
        <f>IF($C284="","",IFERROR(INDEX('Chain Program'!$B$6:$B$120,MATCH($C284,'Chain Program'!$A$6:$A$120,0)),"Unknown ID"))</f>
        <v/>
      </c>
      <c r="E284" s="45">
        <f>IF($C284="","",IFERROR(INDEX('Chain Program'!$D$6:$D$120,MATCH($C284,'Chain Program'!$A$6:$A$120,0)),"Unknown ID"))</f>
        <v/>
      </c>
      <c r="F284" s="60" t="n"/>
      <c r="G284" s="60" t="n"/>
      <c r="H284" s="56">
        <f>IF(OR($C284="",$A284=""),"",IF(COUNTIFS('Promo Calendar'!$A$6:$A$400,$C284,'Promo Calendar'!$D$6:$D$400,IF($G284="","All",$G284),'Promo Calendar'!$I$6:$I$400,"&lt;="&amp;$A284,'Promo Calendar'!$J$6:$J$400,"&gt;="&amp;$A284,'Promo Calendar'!$G$6:$G$400,"&gt;0")&gt;0,_xlfn.MINIFS('Promo Calendar'!$G$6:$G$400,'Promo Calendar'!$A$6:$A$400,$C284,'Promo Calendar'!$D$6:$D$400,IF($G284="","All",$G284),'Promo Calendar'!$I$6:$I$400,"&lt;="&amp;$A284,'Promo Calendar'!$J$6:$J$400,"&gt;="&amp;$A284,'Promo Calendar'!$G$6:$G$400,"&gt;0"),IF(COUNTIFS('Promo Calendar'!$A$6:$A$400,$C284,'Promo Calendar'!$D$6:$D$400,"All",'Promo Calendar'!$I$6:$I$400,"&lt;="&amp;$A284,'Promo Calendar'!$J$6:$J$400,"&gt;="&amp;$A284,'Promo Calendar'!$G$6:$G$400,"&gt;0")&gt;0,_xlfn.MINIFS('Promo Calendar'!$G$6:$G$400,'Promo Calendar'!$A$6:$A$400,$C284,'Promo Calendar'!$D$6:$D$400,"All",'Promo Calendar'!$I$6:$I$400,"&lt;="&amp;$A284,'Promo Calendar'!$J$6:$J$400,"&gt;="&amp;$A284,'Promo Calendar'!$G$6:$G$400,"&gt;0"),IFERROR(IF(INDEX('Chain Program'!$M$6:$M$120,MATCH($C284,'Chain Program'!$A$6:$A$120,0))="","Not set",INDEX('Chain Program'!$M$6:$M$120,MATCH($C284,'Chain Program'!$A$6:$A$120,0))),"Not set"))))</f>
        <v/>
      </c>
      <c r="I284" s="61" t="n"/>
      <c r="J284" s="45">
        <f>IF($I284="","",IF(NOT(ISNUMBER($H284)),"No plan price",IF(ABS($I284-$H284)&lt;0.005,"Match",IF($I284&gt;$H284,"Over plan","Under plan"))))</f>
        <v/>
      </c>
      <c r="K284" s="60" t="n"/>
      <c r="L284" s="60" t="n"/>
      <c r="M284" s="60" t="n"/>
      <c r="N284" s="60" t="n"/>
      <c r="O284" s="60" t="n"/>
      <c r="P284" s="62" t="n"/>
      <c r="Q284" s="62" t="n"/>
      <c r="R284" s="60" t="n"/>
      <c r="S284" s="59" t="n"/>
      <c r="T284" s="60" t="n"/>
      <c r="U284" s="59" t="n"/>
      <c r="V284" s="45">
        <f>IF(OR($A284="",$T284="",$T284="No Issue"),"",IF($T284="Resolved",IF($U284="","",$U284-$A284),TODAY()-$A284))</f>
        <v/>
      </c>
      <c r="W284" s="47">
        <f>IF(AND($C284&lt;&gt;"",$C284='Store History'!$C$4,OR('Store History'!$C$5="",$F284='Store History'!$C$5)),1,0)</f>
        <v/>
      </c>
      <c r="X284" s="47">
        <f>IF($W284=1,SUM($W284:$W$1005),"")</f>
        <v/>
      </c>
    </row>
    <row r="285">
      <c r="A285" s="59" t="n"/>
      <c r="B285" s="60" t="n"/>
      <c r="C285" s="60" t="n"/>
      <c r="D285" s="45">
        <f>IF($C285="","",IFERROR(INDEX('Chain Program'!$B$6:$B$120,MATCH($C285,'Chain Program'!$A$6:$A$120,0)),"Unknown ID"))</f>
        <v/>
      </c>
      <c r="E285" s="45">
        <f>IF($C285="","",IFERROR(INDEX('Chain Program'!$D$6:$D$120,MATCH($C285,'Chain Program'!$A$6:$A$120,0)),"Unknown ID"))</f>
        <v/>
      </c>
      <c r="F285" s="60" t="n"/>
      <c r="G285" s="60" t="n"/>
      <c r="H285" s="56">
        <f>IF(OR($C285="",$A285=""),"",IF(COUNTIFS('Promo Calendar'!$A$6:$A$400,$C285,'Promo Calendar'!$D$6:$D$400,IF($G285="","All",$G285),'Promo Calendar'!$I$6:$I$400,"&lt;="&amp;$A285,'Promo Calendar'!$J$6:$J$400,"&gt;="&amp;$A285,'Promo Calendar'!$G$6:$G$400,"&gt;0")&gt;0,_xlfn.MINIFS('Promo Calendar'!$G$6:$G$400,'Promo Calendar'!$A$6:$A$400,$C285,'Promo Calendar'!$D$6:$D$400,IF($G285="","All",$G285),'Promo Calendar'!$I$6:$I$400,"&lt;="&amp;$A285,'Promo Calendar'!$J$6:$J$400,"&gt;="&amp;$A285,'Promo Calendar'!$G$6:$G$400,"&gt;0"),IF(COUNTIFS('Promo Calendar'!$A$6:$A$400,$C285,'Promo Calendar'!$D$6:$D$400,"All",'Promo Calendar'!$I$6:$I$400,"&lt;="&amp;$A285,'Promo Calendar'!$J$6:$J$400,"&gt;="&amp;$A285,'Promo Calendar'!$G$6:$G$400,"&gt;0")&gt;0,_xlfn.MINIFS('Promo Calendar'!$G$6:$G$400,'Promo Calendar'!$A$6:$A$400,$C285,'Promo Calendar'!$D$6:$D$400,"All",'Promo Calendar'!$I$6:$I$400,"&lt;="&amp;$A285,'Promo Calendar'!$J$6:$J$400,"&gt;="&amp;$A285,'Promo Calendar'!$G$6:$G$400,"&gt;0"),IFERROR(IF(INDEX('Chain Program'!$M$6:$M$120,MATCH($C285,'Chain Program'!$A$6:$A$120,0))="","Not set",INDEX('Chain Program'!$M$6:$M$120,MATCH($C285,'Chain Program'!$A$6:$A$120,0))),"Not set"))))</f>
        <v/>
      </c>
      <c r="I285" s="61" t="n"/>
      <c r="J285" s="45">
        <f>IF($I285="","",IF(NOT(ISNUMBER($H285)),"No plan price",IF(ABS($I285-$H285)&lt;0.005,"Match",IF($I285&gt;$H285,"Over plan","Under plan"))))</f>
        <v/>
      </c>
      <c r="K285" s="60" t="n"/>
      <c r="L285" s="60" t="n"/>
      <c r="M285" s="60" t="n"/>
      <c r="N285" s="60" t="n"/>
      <c r="O285" s="60" t="n"/>
      <c r="P285" s="62" t="n"/>
      <c r="Q285" s="62" t="n"/>
      <c r="R285" s="60" t="n"/>
      <c r="S285" s="59" t="n"/>
      <c r="T285" s="60" t="n"/>
      <c r="U285" s="59" t="n"/>
      <c r="V285" s="45">
        <f>IF(OR($A285="",$T285="",$T285="No Issue"),"",IF($T285="Resolved",IF($U285="","",$U285-$A285),TODAY()-$A285))</f>
        <v/>
      </c>
      <c r="W285" s="47">
        <f>IF(AND($C285&lt;&gt;"",$C285='Store History'!$C$4,OR('Store History'!$C$5="",$F285='Store History'!$C$5)),1,0)</f>
        <v/>
      </c>
      <c r="X285" s="47">
        <f>IF($W285=1,SUM($W285:$W$1005),"")</f>
        <v/>
      </c>
    </row>
    <row r="286">
      <c r="A286" s="59" t="n"/>
      <c r="B286" s="60" t="n"/>
      <c r="C286" s="60" t="n"/>
      <c r="D286" s="45">
        <f>IF($C286="","",IFERROR(INDEX('Chain Program'!$B$6:$B$120,MATCH($C286,'Chain Program'!$A$6:$A$120,0)),"Unknown ID"))</f>
        <v/>
      </c>
      <c r="E286" s="45">
        <f>IF($C286="","",IFERROR(INDEX('Chain Program'!$D$6:$D$120,MATCH($C286,'Chain Program'!$A$6:$A$120,0)),"Unknown ID"))</f>
        <v/>
      </c>
      <c r="F286" s="60" t="n"/>
      <c r="G286" s="60" t="n"/>
      <c r="H286" s="56">
        <f>IF(OR($C286="",$A286=""),"",IF(COUNTIFS('Promo Calendar'!$A$6:$A$400,$C286,'Promo Calendar'!$D$6:$D$400,IF($G286="","All",$G286),'Promo Calendar'!$I$6:$I$400,"&lt;="&amp;$A286,'Promo Calendar'!$J$6:$J$400,"&gt;="&amp;$A286,'Promo Calendar'!$G$6:$G$400,"&gt;0")&gt;0,_xlfn.MINIFS('Promo Calendar'!$G$6:$G$400,'Promo Calendar'!$A$6:$A$400,$C286,'Promo Calendar'!$D$6:$D$400,IF($G286="","All",$G286),'Promo Calendar'!$I$6:$I$400,"&lt;="&amp;$A286,'Promo Calendar'!$J$6:$J$400,"&gt;="&amp;$A286,'Promo Calendar'!$G$6:$G$400,"&gt;0"),IF(COUNTIFS('Promo Calendar'!$A$6:$A$400,$C286,'Promo Calendar'!$D$6:$D$400,"All",'Promo Calendar'!$I$6:$I$400,"&lt;="&amp;$A286,'Promo Calendar'!$J$6:$J$400,"&gt;="&amp;$A286,'Promo Calendar'!$G$6:$G$400,"&gt;0")&gt;0,_xlfn.MINIFS('Promo Calendar'!$G$6:$G$400,'Promo Calendar'!$A$6:$A$400,$C286,'Promo Calendar'!$D$6:$D$400,"All",'Promo Calendar'!$I$6:$I$400,"&lt;="&amp;$A286,'Promo Calendar'!$J$6:$J$400,"&gt;="&amp;$A286,'Promo Calendar'!$G$6:$G$400,"&gt;0"),IFERROR(IF(INDEX('Chain Program'!$M$6:$M$120,MATCH($C286,'Chain Program'!$A$6:$A$120,0))="","Not set",INDEX('Chain Program'!$M$6:$M$120,MATCH($C286,'Chain Program'!$A$6:$A$120,0))),"Not set"))))</f>
        <v/>
      </c>
      <c r="I286" s="61" t="n"/>
      <c r="J286" s="45">
        <f>IF($I286="","",IF(NOT(ISNUMBER($H286)),"No plan price",IF(ABS($I286-$H286)&lt;0.005,"Match",IF($I286&gt;$H286,"Over plan","Under plan"))))</f>
        <v/>
      </c>
      <c r="K286" s="60" t="n"/>
      <c r="L286" s="60" t="n"/>
      <c r="M286" s="60" t="n"/>
      <c r="N286" s="60" t="n"/>
      <c r="O286" s="60" t="n"/>
      <c r="P286" s="62" t="n"/>
      <c r="Q286" s="62" t="n"/>
      <c r="R286" s="60" t="n"/>
      <c r="S286" s="59" t="n"/>
      <c r="T286" s="60" t="n"/>
      <c r="U286" s="59" t="n"/>
      <c r="V286" s="45">
        <f>IF(OR($A286="",$T286="",$T286="No Issue"),"",IF($T286="Resolved",IF($U286="","",$U286-$A286),TODAY()-$A286))</f>
        <v/>
      </c>
      <c r="W286" s="47">
        <f>IF(AND($C286&lt;&gt;"",$C286='Store History'!$C$4,OR('Store History'!$C$5="",$F286='Store History'!$C$5)),1,0)</f>
        <v/>
      </c>
      <c r="X286" s="47">
        <f>IF($W286=1,SUM($W286:$W$1005),"")</f>
        <v/>
      </c>
    </row>
    <row r="287">
      <c r="A287" s="59" t="n"/>
      <c r="B287" s="60" t="n"/>
      <c r="C287" s="60" t="n"/>
      <c r="D287" s="45">
        <f>IF($C287="","",IFERROR(INDEX('Chain Program'!$B$6:$B$120,MATCH($C287,'Chain Program'!$A$6:$A$120,0)),"Unknown ID"))</f>
        <v/>
      </c>
      <c r="E287" s="45">
        <f>IF($C287="","",IFERROR(INDEX('Chain Program'!$D$6:$D$120,MATCH($C287,'Chain Program'!$A$6:$A$120,0)),"Unknown ID"))</f>
        <v/>
      </c>
      <c r="F287" s="60" t="n"/>
      <c r="G287" s="60" t="n"/>
      <c r="H287" s="56">
        <f>IF(OR($C287="",$A287=""),"",IF(COUNTIFS('Promo Calendar'!$A$6:$A$400,$C287,'Promo Calendar'!$D$6:$D$400,IF($G287="","All",$G287),'Promo Calendar'!$I$6:$I$400,"&lt;="&amp;$A287,'Promo Calendar'!$J$6:$J$400,"&gt;="&amp;$A287,'Promo Calendar'!$G$6:$G$400,"&gt;0")&gt;0,_xlfn.MINIFS('Promo Calendar'!$G$6:$G$400,'Promo Calendar'!$A$6:$A$400,$C287,'Promo Calendar'!$D$6:$D$400,IF($G287="","All",$G287),'Promo Calendar'!$I$6:$I$400,"&lt;="&amp;$A287,'Promo Calendar'!$J$6:$J$400,"&gt;="&amp;$A287,'Promo Calendar'!$G$6:$G$400,"&gt;0"),IF(COUNTIFS('Promo Calendar'!$A$6:$A$400,$C287,'Promo Calendar'!$D$6:$D$400,"All",'Promo Calendar'!$I$6:$I$400,"&lt;="&amp;$A287,'Promo Calendar'!$J$6:$J$400,"&gt;="&amp;$A287,'Promo Calendar'!$G$6:$G$400,"&gt;0")&gt;0,_xlfn.MINIFS('Promo Calendar'!$G$6:$G$400,'Promo Calendar'!$A$6:$A$400,$C287,'Promo Calendar'!$D$6:$D$400,"All",'Promo Calendar'!$I$6:$I$400,"&lt;="&amp;$A287,'Promo Calendar'!$J$6:$J$400,"&gt;="&amp;$A287,'Promo Calendar'!$G$6:$G$400,"&gt;0"),IFERROR(IF(INDEX('Chain Program'!$M$6:$M$120,MATCH($C287,'Chain Program'!$A$6:$A$120,0))="","Not set",INDEX('Chain Program'!$M$6:$M$120,MATCH($C287,'Chain Program'!$A$6:$A$120,0))),"Not set"))))</f>
        <v/>
      </c>
      <c r="I287" s="61" t="n"/>
      <c r="J287" s="45">
        <f>IF($I287="","",IF(NOT(ISNUMBER($H287)),"No plan price",IF(ABS($I287-$H287)&lt;0.005,"Match",IF($I287&gt;$H287,"Over plan","Under plan"))))</f>
        <v/>
      </c>
      <c r="K287" s="60" t="n"/>
      <c r="L287" s="60" t="n"/>
      <c r="M287" s="60" t="n"/>
      <c r="N287" s="60" t="n"/>
      <c r="O287" s="60" t="n"/>
      <c r="P287" s="62" t="n"/>
      <c r="Q287" s="62" t="n"/>
      <c r="R287" s="60" t="n"/>
      <c r="S287" s="59" t="n"/>
      <c r="T287" s="60" t="n"/>
      <c r="U287" s="59" t="n"/>
      <c r="V287" s="45">
        <f>IF(OR($A287="",$T287="",$T287="No Issue"),"",IF($T287="Resolved",IF($U287="","",$U287-$A287),TODAY()-$A287))</f>
        <v/>
      </c>
      <c r="W287" s="47">
        <f>IF(AND($C287&lt;&gt;"",$C287='Store History'!$C$4,OR('Store History'!$C$5="",$F287='Store History'!$C$5)),1,0)</f>
        <v/>
      </c>
      <c r="X287" s="47">
        <f>IF($W287=1,SUM($W287:$W$1005),"")</f>
        <v/>
      </c>
    </row>
    <row r="288">
      <c r="A288" s="59" t="n"/>
      <c r="B288" s="60" t="n"/>
      <c r="C288" s="60" t="n"/>
      <c r="D288" s="45">
        <f>IF($C288="","",IFERROR(INDEX('Chain Program'!$B$6:$B$120,MATCH($C288,'Chain Program'!$A$6:$A$120,0)),"Unknown ID"))</f>
        <v/>
      </c>
      <c r="E288" s="45">
        <f>IF($C288="","",IFERROR(INDEX('Chain Program'!$D$6:$D$120,MATCH($C288,'Chain Program'!$A$6:$A$120,0)),"Unknown ID"))</f>
        <v/>
      </c>
      <c r="F288" s="60" t="n"/>
      <c r="G288" s="60" t="n"/>
      <c r="H288" s="56">
        <f>IF(OR($C288="",$A288=""),"",IF(COUNTIFS('Promo Calendar'!$A$6:$A$400,$C288,'Promo Calendar'!$D$6:$D$400,IF($G288="","All",$G288),'Promo Calendar'!$I$6:$I$400,"&lt;="&amp;$A288,'Promo Calendar'!$J$6:$J$400,"&gt;="&amp;$A288,'Promo Calendar'!$G$6:$G$400,"&gt;0")&gt;0,_xlfn.MINIFS('Promo Calendar'!$G$6:$G$400,'Promo Calendar'!$A$6:$A$400,$C288,'Promo Calendar'!$D$6:$D$400,IF($G288="","All",$G288),'Promo Calendar'!$I$6:$I$400,"&lt;="&amp;$A288,'Promo Calendar'!$J$6:$J$400,"&gt;="&amp;$A288,'Promo Calendar'!$G$6:$G$400,"&gt;0"),IF(COUNTIFS('Promo Calendar'!$A$6:$A$400,$C288,'Promo Calendar'!$D$6:$D$400,"All",'Promo Calendar'!$I$6:$I$400,"&lt;="&amp;$A288,'Promo Calendar'!$J$6:$J$400,"&gt;="&amp;$A288,'Promo Calendar'!$G$6:$G$400,"&gt;0")&gt;0,_xlfn.MINIFS('Promo Calendar'!$G$6:$G$400,'Promo Calendar'!$A$6:$A$400,$C288,'Promo Calendar'!$D$6:$D$400,"All",'Promo Calendar'!$I$6:$I$400,"&lt;="&amp;$A288,'Promo Calendar'!$J$6:$J$400,"&gt;="&amp;$A288,'Promo Calendar'!$G$6:$G$400,"&gt;0"),IFERROR(IF(INDEX('Chain Program'!$M$6:$M$120,MATCH($C288,'Chain Program'!$A$6:$A$120,0))="","Not set",INDEX('Chain Program'!$M$6:$M$120,MATCH($C288,'Chain Program'!$A$6:$A$120,0))),"Not set"))))</f>
        <v/>
      </c>
      <c r="I288" s="61" t="n"/>
      <c r="J288" s="45">
        <f>IF($I288="","",IF(NOT(ISNUMBER($H288)),"No plan price",IF(ABS($I288-$H288)&lt;0.005,"Match",IF($I288&gt;$H288,"Over plan","Under plan"))))</f>
        <v/>
      </c>
      <c r="K288" s="60" t="n"/>
      <c r="L288" s="60" t="n"/>
      <c r="M288" s="60" t="n"/>
      <c r="N288" s="60" t="n"/>
      <c r="O288" s="60" t="n"/>
      <c r="P288" s="62" t="n"/>
      <c r="Q288" s="62" t="n"/>
      <c r="R288" s="60" t="n"/>
      <c r="S288" s="59" t="n"/>
      <c r="T288" s="60" t="n"/>
      <c r="U288" s="59" t="n"/>
      <c r="V288" s="45">
        <f>IF(OR($A288="",$T288="",$T288="No Issue"),"",IF($T288="Resolved",IF($U288="","",$U288-$A288),TODAY()-$A288))</f>
        <v/>
      </c>
      <c r="W288" s="47">
        <f>IF(AND($C288&lt;&gt;"",$C288='Store History'!$C$4,OR('Store History'!$C$5="",$F288='Store History'!$C$5)),1,0)</f>
        <v/>
      </c>
      <c r="X288" s="47">
        <f>IF($W288=1,SUM($W288:$W$1005),"")</f>
        <v/>
      </c>
    </row>
    <row r="289">
      <c r="A289" s="59" t="n"/>
      <c r="B289" s="60" t="n"/>
      <c r="C289" s="60" t="n"/>
      <c r="D289" s="45">
        <f>IF($C289="","",IFERROR(INDEX('Chain Program'!$B$6:$B$120,MATCH($C289,'Chain Program'!$A$6:$A$120,0)),"Unknown ID"))</f>
        <v/>
      </c>
      <c r="E289" s="45">
        <f>IF($C289="","",IFERROR(INDEX('Chain Program'!$D$6:$D$120,MATCH($C289,'Chain Program'!$A$6:$A$120,0)),"Unknown ID"))</f>
        <v/>
      </c>
      <c r="F289" s="60" t="n"/>
      <c r="G289" s="60" t="n"/>
      <c r="H289" s="56">
        <f>IF(OR($C289="",$A289=""),"",IF(COUNTIFS('Promo Calendar'!$A$6:$A$400,$C289,'Promo Calendar'!$D$6:$D$400,IF($G289="","All",$G289),'Promo Calendar'!$I$6:$I$400,"&lt;="&amp;$A289,'Promo Calendar'!$J$6:$J$400,"&gt;="&amp;$A289,'Promo Calendar'!$G$6:$G$400,"&gt;0")&gt;0,_xlfn.MINIFS('Promo Calendar'!$G$6:$G$400,'Promo Calendar'!$A$6:$A$400,$C289,'Promo Calendar'!$D$6:$D$400,IF($G289="","All",$G289),'Promo Calendar'!$I$6:$I$400,"&lt;="&amp;$A289,'Promo Calendar'!$J$6:$J$400,"&gt;="&amp;$A289,'Promo Calendar'!$G$6:$G$400,"&gt;0"),IF(COUNTIFS('Promo Calendar'!$A$6:$A$400,$C289,'Promo Calendar'!$D$6:$D$400,"All",'Promo Calendar'!$I$6:$I$400,"&lt;="&amp;$A289,'Promo Calendar'!$J$6:$J$400,"&gt;="&amp;$A289,'Promo Calendar'!$G$6:$G$400,"&gt;0")&gt;0,_xlfn.MINIFS('Promo Calendar'!$G$6:$G$400,'Promo Calendar'!$A$6:$A$400,$C289,'Promo Calendar'!$D$6:$D$400,"All",'Promo Calendar'!$I$6:$I$400,"&lt;="&amp;$A289,'Promo Calendar'!$J$6:$J$400,"&gt;="&amp;$A289,'Promo Calendar'!$G$6:$G$400,"&gt;0"),IFERROR(IF(INDEX('Chain Program'!$M$6:$M$120,MATCH($C289,'Chain Program'!$A$6:$A$120,0))="","Not set",INDEX('Chain Program'!$M$6:$M$120,MATCH($C289,'Chain Program'!$A$6:$A$120,0))),"Not set"))))</f>
        <v/>
      </c>
      <c r="I289" s="61" t="n"/>
      <c r="J289" s="45">
        <f>IF($I289="","",IF(NOT(ISNUMBER($H289)),"No plan price",IF(ABS($I289-$H289)&lt;0.005,"Match",IF($I289&gt;$H289,"Over plan","Under plan"))))</f>
        <v/>
      </c>
      <c r="K289" s="60" t="n"/>
      <c r="L289" s="60" t="n"/>
      <c r="M289" s="60" t="n"/>
      <c r="N289" s="60" t="n"/>
      <c r="O289" s="60" t="n"/>
      <c r="P289" s="62" t="n"/>
      <c r="Q289" s="62" t="n"/>
      <c r="R289" s="60" t="n"/>
      <c r="S289" s="59" t="n"/>
      <c r="T289" s="60" t="n"/>
      <c r="U289" s="59" t="n"/>
      <c r="V289" s="45">
        <f>IF(OR($A289="",$T289="",$T289="No Issue"),"",IF($T289="Resolved",IF($U289="","",$U289-$A289),TODAY()-$A289))</f>
        <v/>
      </c>
      <c r="W289" s="47">
        <f>IF(AND($C289&lt;&gt;"",$C289='Store History'!$C$4,OR('Store History'!$C$5="",$F289='Store History'!$C$5)),1,0)</f>
        <v/>
      </c>
      <c r="X289" s="47">
        <f>IF($W289=1,SUM($W289:$W$1005),"")</f>
        <v/>
      </c>
    </row>
    <row r="290">
      <c r="A290" s="59" t="n"/>
      <c r="B290" s="60" t="n"/>
      <c r="C290" s="60" t="n"/>
      <c r="D290" s="45">
        <f>IF($C290="","",IFERROR(INDEX('Chain Program'!$B$6:$B$120,MATCH($C290,'Chain Program'!$A$6:$A$120,0)),"Unknown ID"))</f>
        <v/>
      </c>
      <c r="E290" s="45">
        <f>IF($C290="","",IFERROR(INDEX('Chain Program'!$D$6:$D$120,MATCH($C290,'Chain Program'!$A$6:$A$120,0)),"Unknown ID"))</f>
        <v/>
      </c>
      <c r="F290" s="60" t="n"/>
      <c r="G290" s="60" t="n"/>
      <c r="H290" s="56">
        <f>IF(OR($C290="",$A290=""),"",IF(COUNTIFS('Promo Calendar'!$A$6:$A$400,$C290,'Promo Calendar'!$D$6:$D$400,IF($G290="","All",$G290),'Promo Calendar'!$I$6:$I$400,"&lt;="&amp;$A290,'Promo Calendar'!$J$6:$J$400,"&gt;="&amp;$A290,'Promo Calendar'!$G$6:$G$400,"&gt;0")&gt;0,_xlfn.MINIFS('Promo Calendar'!$G$6:$G$400,'Promo Calendar'!$A$6:$A$400,$C290,'Promo Calendar'!$D$6:$D$400,IF($G290="","All",$G290),'Promo Calendar'!$I$6:$I$400,"&lt;="&amp;$A290,'Promo Calendar'!$J$6:$J$400,"&gt;="&amp;$A290,'Promo Calendar'!$G$6:$G$400,"&gt;0"),IF(COUNTIFS('Promo Calendar'!$A$6:$A$400,$C290,'Promo Calendar'!$D$6:$D$400,"All",'Promo Calendar'!$I$6:$I$400,"&lt;="&amp;$A290,'Promo Calendar'!$J$6:$J$400,"&gt;="&amp;$A290,'Promo Calendar'!$G$6:$G$400,"&gt;0")&gt;0,_xlfn.MINIFS('Promo Calendar'!$G$6:$G$400,'Promo Calendar'!$A$6:$A$400,$C290,'Promo Calendar'!$D$6:$D$400,"All",'Promo Calendar'!$I$6:$I$400,"&lt;="&amp;$A290,'Promo Calendar'!$J$6:$J$400,"&gt;="&amp;$A290,'Promo Calendar'!$G$6:$G$400,"&gt;0"),IFERROR(IF(INDEX('Chain Program'!$M$6:$M$120,MATCH($C290,'Chain Program'!$A$6:$A$120,0))="","Not set",INDEX('Chain Program'!$M$6:$M$120,MATCH($C290,'Chain Program'!$A$6:$A$120,0))),"Not set"))))</f>
        <v/>
      </c>
      <c r="I290" s="61" t="n"/>
      <c r="J290" s="45">
        <f>IF($I290="","",IF(NOT(ISNUMBER($H290)),"No plan price",IF(ABS($I290-$H290)&lt;0.005,"Match",IF($I290&gt;$H290,"Over plan","Under plan"))))</f>
        <v/>
      </c>
      <c r="K290" s="60" t="n"/>
      <c r="L290" s="60" t="n"/>
      <c r="M290" s="60" t="n"/>
      <c r="N290" s="60" t="n"/>
      <c r="O290" s="60" t="n"/>
      <c r="P290" s="62" t="n"/>
      <c r="Q290" s="62" t="n"/>
      <c r="R290" s="60" t="n"/>
      <c r="S290" s="59" t="n"/>
      <c r="T290" s="60" t="n"/>
      <c r="U290" s="59" t="n"/>
      <c r="V290" s="45">
        <f>IF(OR($A290="",$T290="",$T290="No Issue"),"",IF($T290="Resolved",IF($U290="","",$U290-$A290),TODAY()-$A290))</f>
        <v/>
      </c>
      <c r="W290" s="47">
        <f>IF(AND($C290&lt;&gt;"",$C290='Store History'!$C$4,OR('Store History'!$C$5="",$F290='Store History'!$C$5)),1,0)</f>
        <v/>
      </c>
      <c r="X290" s="47">
        <f>IF($W290=1,SUM($W290:$W$1005),"")</f>
        <v/>
      </c>
    </row>
    <row r="291">
      <c r="A291" s="59" t="n"/>
      <c r="B291" s="60" t="n"/>
      <c r="C291" s="60" t="n"/>
      <c r="D291" s="45">
        <f>IF($C291="","",IFERROR(INDEX('Chain Program'!$B$6:$B$120,MATCH($C291,'Chain Program'!$A$6:$A$120,0)),"Unknown ID"))</f>
        <v/>
      </c>
      <c r="E291" s="45">
        <f>IF($C291="","",IFERROR(INDEX('Chain Program'!$D$6:$D$120,MATCH($C291,'Chain Program'!$A$6:$A$120,0)),"Unknown ID"))</f>
        <v/>
      </c>
      <c r="F291" s="60" t="n"/>
      <c r="G291" s="60" t="n"/>
      <c r="H291" s="56">
        <f>IF(OR($C291="",$A291=""),"",IF(COUNTIFS('Promo Calendar'!$A$6:$A$400,$C291,'Promo Calendar'!$D$6:$D$400,IF($G291="","All",$G291),'Promo Calendar'!$I$6:$I$400,"&lt;="&amp;$A291,'Promo Calendar'!$J$6:$J$400,"&gt;="&amp;$A291,'Promo Calendar'!$G$6:$G$400,"&gt;0")&gt;0,_xlfn.MINIFS('Promo Calendar'!$G$6:$G$400,'Promo Calendar'!$A$6:$A$400,$C291,'Promo Calendar'!$D$6:$D$400,IF($G291="","All",$G291),'Promo Calendar'!$I$6:$I$400,"&lt;="&amp;$A291,'Promo Calendar'!$J$6:$J$400,"&gt;="&amp;$A291,'Promo Calendar'!$G$6:$G$400,"&gt;0"),IF(COUNTIFS('Promo Calendar'!$A$6:$A$400,$C291,'Promo Calendar'!$D$6:$D$400,"All",'Promo Calendar'!$I$6:$I$400,"&lt;="&amp;$A291,'Promo Calendar'!$J$6:$J$400,"&gt;="&amp;$A291,'Promo Calendar'!$G$6:$G$400,"&gt;0")&gt;0,_xlfn.MINIFS('Promo Calendar'!$G$6:$G$400,'Promo Calendar'!$A$6:$A$400,$C291,'Promo Calendar'!$D$6:$D$400,"All",'Promo Calendar'!$I$6:$I$400,"&lt;="&amp;$A291,'Promo Calendar'!$J$6:$J$400,"&gt;="&amp;$A291,'Promo Calendar'!$G$6:$G$400,"&gt;0"),IFERROR(IF(INDEX('Chain Program'!$M$6:$M$120,MATCH($C291,'Chain Program'!$A$6:$A$120,0))="","Not set",INDEX('Chain Program'!$M$6:$M$120,MATCH($C291,'Chain Program'!$A$6:$A$120,0))),"Not set"))))</f>
        <v/>
      </c>
      <c r="I291" s="61" t="n"/>
      <c r="J291" s="45">
        <f>IF($I291="","",IF(NOT(ISNUMBER($H291)),"No plan price",IF(ABS($I291-$H291)&lt;0.005,"Match",IF($I291&gt;$H291,"Over plan","Under plan"))))</f>
        <v/>
      </c>
      <c r="K291" s="60" t="n"/>
      <c r="L291" s="60" t="n"/>
      <c r="M291" s="60" t="n"/>
      <c r="N291" s="60" t="n"/>
      <c r="O291" s="60" t="n"/>
      <c r="P291" s="62" t="n"/>
      <c r="Q291" s="62" t="n"/>
      <c r="R291" s="60" t="n"/>
      <c r="S291" s="59" t="n"/>
      <c r="T291" s="60" t="n"/>
      <c r="U291" s="59" t="n"/>
      <c r="V291" s="45">
        <f>IF(OR($A291="",$T291="",$T291="No Issue"),"",IF($T291="Resolved",IF($U291="","",$U291-$A291),TODAY()-$A291))</f>
        <v/>
      </c>
      <c r="W291" s="47">
        <f>IF(AND($C291&lt;&gt;"",$C291='Store History'!$C$4,OR('Store History'!$C$5="",$F291='Store History'!$C$5)),1,0)</f>
        <v/>
      </c>
      <c r="X291" s="47">
        <f>IF($W291=1,SUM($W291:$W$1005),"")</f>
        <v/>
      </c>
    </row>
    <row r="292">
      <c r="A292" s="59" t="n"/>
      <c r="B292" s="60" t="n"/>
      <c r="C292" s="60" t="n"/>
      <c r="D292" s="45">
        <f>IF($C292="","",IFERROR(INDEX('Chain Program'!$B$6:$B$120,MATCH($C292,'Chain Program'!$A$6:$A$120,0)),"Unknown ID"))</f>
        <v/>
      </c>
      <c r="E292" s="45">
        <f>IF($C292="","",IFERROR(INDEX('Chain Program'!$D$6:$D$120,MATCH($C292,'Chain Program'!$A$6:$A$120,0)),"Unknown ID"))</f>
        <v/>
      </c>
      <c r="F292" s="60" t="n"/>
      <c r="G292" s="60" t="n"/>
      <c r="H292" s="56">
        <f>IF(OR($C292="",$A292=""),"",IF(COUNTIFS('Promo Calendar'!$A$6:$A$400,$C292,'Promo Calendar'!$D$6:$D$400,IF($G292="","All",$G292),'Promo Calendar'!$I$6:$I$400,"&lt;="&amp;$A292,'Promo Calendar'!$J$6:$J$400,"&gt;="&amp;$A292,'Promo Calendar'!$G$6:$G$400,"&gt;0")&gt;0,_xlfn.MINIFS('Promo Calendar'!$G$6:$G$400,'Promo Calendar'!$A$6:$A$400,$C292,'Promo Calendar'!$D$6:$D$400,IF($G292="","All",$G292),'Promo Calendar'!$I$6:$I$400,"&lt;="&amp;$A292,'Promo Calendar'!$J$6:$J$400,"&gt;="&amp;$A292,'Promo Calendar'!$G$6:$G$400,"&gt;0"),IF(COUNTIFS('Promo Calendar'!$A$6:$A$400,$C292,'Promo Calendar'!$D$6:$D$400,"All",'Promo Calendar'!$I$6:$I$400,"&lt;="&amp;$A292,'Promo Calendar'!$J$6:$J$400,"&gt;="&amp;$A292,'Promo Calendar'!$G$6:$G$400,"&gt;0")&gt;0,_xlfn.MINIFS('Promo Calendar'!$G$6:$G$400,'Promo Calendar'!$A$6:$A$400,$C292,'Promo Calendar'!$D$6:$D$400,"All",'Promo Calendar'!$I$6:$I$400,"&lt;="&amp;$A292,'Promo Calendar'!$J$6:$J$400,"&gt;="&amp;$A292,'Promo Calendar'!$G$6:$G$400,"&gt;0"),IFERROR(IF(INDEX('Chain Program'!$M$6:$M$120,MATCH($C292,'Chain Program'!$A$6:$A$120,0))="","Not set",INDEX('Chain Program'!$M$6:$M$120,MATCH($C292,'Chain Program'!$A$6:$A$120,0))),"Not set"))))</f>
        <v/>
      </c>
      <c r="I292" s="61" t="n"/>
      <c r="J292" s="45">
        <f>IF($I292="","",IF(NOT(ISNUMBER($H292)),"No plan price",IF(ABS($I292-$H292)&lt;0.005,"Match",IF($I292&gt;$H292,"Over plan","Under plan"))))</f>
        <v/>
      </c>
      <c r="K292" s="60" t="n"/>
      <c r="L292" s="60" t="n"/>
      <c r="M292" s="60" t="n"/>
      <c r="N292" s="60" t="n"/>
      <c r="O292" s="60" t="n"/>
      <c r="P292" s="62" t="n"/>
      <c r="Q292" s="62" t="n"/>
      <c r="R292" s="60" t="n"/>
      <c r="S292" s="59" t="n"/>
      <c r="T292" s="60" t="n"/>
      <c r="U292" s="59" t="n"/>
      <c r="V292" s="45">
        <f>IF(OR($A292="",$T292="",$T292="No Issue"),"",IF($T292="Resolved",IF($U292="","",$U292-$A292),TODAY()-$A292))</f>
        <v/>
      </c>
      <c r="W292" s="47">
        <f>IF(AND($C292&lt;&gt;"",$C292='Store History'!$C$4,OR('Store History'!$C$5="",$F292='Store History'!$C$5)),1,0)</f>
        <v/>
      </c>
      <c r="X292" s="47">
        <f>IF($W292=1,SUM($W292:$W$1005),"")</f>
        <v/>
      </c>
    </row>
    <row r="293">
      <c r="A293" s="59" t="n"/>
      <c r="B293" s="60" t="n"/>
      <c r="C293" s="60" t="n"/>
      <c r="D293" s="45">
        <f>IF($C293="","",IFERROR(INDEX('Chain Program'!$B$6:$B$120,MATCH($C293,'Chain Program'!$A$6:$A$120,0)),"Unknown ID"))</f>
        <v/>
      </c>
      <c r="E293" s="45">
        <f>IF($C293="","",IFERROR(INDEX('Chain Program'!$D$6:$D$120,MATCH($C293,'Chain Program'!$A$6:$A$120,0)),"Unknown ID"))</f>
        <v/>
      </c>
      <c r="F293" s="60" t="n"/>
      <c r="G293" s="60" t="n"/>
      <c r="H293" s="56">
        <f>IF(OR($C293="",$A293=""),"",IF(COUNTIFS('Promo Calendar'!$A$6:$A$400,$C293,'Promo Calendar'!$D$6:$D$400,IF($G293="","All",$G293),'Promo Calendar'!$I$6:$I$400,"&lt;="&amp;$A293,'Promo Calendar'!$J$6:$J$400,"&gt;="&amp;$A293,'Promo Calendar'!$G$6:$G$400,"&gt;0")&gt;0,_xlfn.MINIFS('Promo Calendar'!$G$6:$G$400,'Promo Calendar'!$A$6:$A$400,$C293,'Promo Calendar'!$D$6:$D$400,IF($G293="","All",$G293),'Promo Calendar'!$I$6:$I$400,"&lt;="&amp;$A293,'Promo Calendar'!$J$6:$J$400,"&gt;="&amp;$A293,'Promo Calendar'!$G$6:$G$400,"&gt;0"),IF(COUNTIFS('Promo Calendar'!$A$6:$A$400,$C293,'Promo Calendar'!$D$6:$D$400,"All",'Promo Calendar'!$I$6:$I$400,"&lt;="&amp;$A293,'Promo Calendar'!$J$6:$J$400,"&gt;="&amp;$A293,'Promo Calendar'!$G$6:$G$400,"&gt;0")&gt;0,_xlfn.MINIFS('Promo Calendar'!$G$6:$G$400,'Promo Calendar'!$A$6:$A$400,$C293,'Promo Calendar'!$D$6:$D$400,"All",'Promo Calendar'!$I$6:$I$400,"&lt;="&amp;$A293,'Promo Calendar'!$J$6:$J$400,"&gt;="&amp;$A293,'Promo Calendar'!$G$6:$G$400,"&gt;0"),IFERROR(IF(INDEX('Chain Program'!$M$6:$M$120,MATCH($C293,'Chain Program'!$A$6:$A$120,0))="","Not set",INDEX('Chain Program'!$M$6:$M$120,MATCH($C293,'Chain Program'!$A$6:$A$120,0))),"Not set"))))</f>
        <v/>
      </c>
      <c r="I293" s="61" t="n"/>
      <c r="J293" s="45">
        <f>IF($I293="","",IF(NOT(ISNUMBER($H293)),"No plan price",IF(ABS($I293-$H293)&lt;0.005,"Match",IF($I293&gt;$H293,"Over plan","Under plan"))))</f>
        <v/>
      </c>
      <c r="K293" s="60" t="n"/>
      <c r="L293" s="60" t="n"/>
      <c r="M293" s="60" t="n"/>
      <c r="N293" s="60" t="n"/>
      <c r="O293" s="60" t="n"/>
      <c r="P293" s="62" t="n"/>
      <c r="Q293" s="62" t="n"/>
      <c r="R293" s="60" t="n"/>
      <c r="S293" s="59" t="n"/>
      <c r="T293" s="60" t="n"/>
      <c r="U293" s="59" t="n"/>
      <c r="V293" s="45">
        <f>IF(OR($A293="",$T293="",$T293="No Issue"),"",IF($T293="Resolved",IF($U293="","",$U293-$A293),TODAY()-$A293))</f>
        <v/>
      </c>
      <c r="W293" s="47">
        <f>IF(AND($C293&lt;&gt;"",$C293='Store History'!$C$4,OR('Store History'!$C$5="",$F293='Store History'!$C$5)),1,0)</f>
        <v/>
      </c>
      <c r="X293" s="47">
        <f>IF($W293=1,SUM($W293:$W$1005),"")</f>
        <v/>
      </c>
    </row>
    <row r="294">
      <c r="A294" s="59" t="n"/>
      <c r="B294" s="60" t="n"/>
      <c r="C294" s="60" t="n"/>
      <c r="D294" s="45">
        <f>IF($C294="","",IFERROR(INDEX('Chain Program'!$B$6:$B$120,MATCH($C294,'Chain Program'!$A$6:$A$120,0)),"Unknown ID"))</f>
        <v/>
      </c>
      <c r="E294" s="45">
        <f>IF($C294="","",IFERROR(INDEX('Chain Program'!$D$6:$D$120,MATCH($C294,'Chain Program'!$A$6:$A$120,0)),"Unknown ID"))</f>
        <v/>
      </c>
      <c r="F294" s="60" t="n"/>
      <c r="G294" s="60" t="n"/>
      <c r="H294" s="56">
        <f>IF(OR($C294="",$A294=""),"",IF(COUNTIFS('Promo Calendar'!$A$6:$A$400,$C294,'Promo Calendar'!$D$6:$D$400,IF($G294="","All",$G294),'Promo Calendar'!$I$6:$I$400,"&lt;="&amp;$A294,'Promo Calendar'!$J$6:$J$400,"&gt;="&amp;$A294,'Promo Calendar'!$G$6:$G$400,"&gt;0")&gt;0,_xlfn.MINIFS('Promo Calendar'!$G$6:$G$400,'Promo Calendar'!$A$6:$A$400,$C294,'Promo Calendar'!$D$6:$D$400,IF($G294="","All",$G294),'Promo Calendar'!$I$6:$I$400,"&lt;="&amp;$A294,'Promo Calendar'!$J$6:$J$400,"&gt;="&amp;$A294,'Promo Calendar'!$G$6:$G$400,"&gt;0"),IF(COUNTIFS('Promo Calendar'!$A$6:$A$400,$C294,'Promo Calendar'!$D$6:$D$400,"All",'Promo Calendar'!$I$6:$I$400,"&lt;="&amp;$A294,'Promo Calendar'!$J$6:$J$400,"&gt;="&amp;$A294,'Promo Calendar'!$G$6:$G$400,"&gt;0")&gt;0,_xlfn.MINIFS('Promo Calendar'!$G$6:$G$400,'Promo Calendar'!$A$6:$A$400,$C294,'Promo Calendar'!$D$6:$D$400,"All",'Promo Calendar'!$I$6:$I$400,"&lt;="&amp;$A294,'Promo Calendar'!$J$6:$J$400,"&gt;="&amp;$A294,'Promo Calendar'!$G$6:$G$400,"&gt;0"),IFERROR(IF(INDEX('Chain Program'!$M$6:$M$120,MATCH($C294,'Chain Program'!$A$6:$A$120,0))="","Not set",INDEX('Chain Program'!$M$6:$M$120,MATCH($C294,'Chain Program'!$A$6:$A$120,0))),"Not set"))))</f>
        <v/>
      </c>
      <c r="I294" s="61" t="n"/>
      <c r="J294" s="45">
        <f>IF($I294="","",IF(NOT(ISNUMBER($H294)),"No plan price",IF(ABS($I294-$H294)&lt;0.005,"Match",IF($I294&gt;$H294,"Over plan","Under plan"))))</f>
        <v/>
      </c>
      <c r="K294" s="60" t="n"/>
      <c r="L294" s="60" t="n"/>
      <c r="M294" s="60" t="n"/>
      <c r="N294" s="60" t="n"/>
      <c r="O294" s="60" t="n"/>
      <c r="P294" s="62" t="n"/>
      <c r="Q294" s="62" t="n"/>
      <c r="R294" s="60" t="n"/>
      <c r="S294" s="59" t="n"/>
      <c r="T294" s="60" t="n"/>
      <c r="U294" s="59" t="n"/>
      <c r="V294" s="45">
        <f>IF(OR($A294="",$T294="",$T294="No Issue"),"",IF($T294="Resolved",IF($U294="","",$U294-$A294),TODAY()-$A294))</f>
        <v/>
      </c>
      <c r="W294" s="47">
        <f>IF(AND($C294&lt;&gt;"",$C294='Store History'!$C$4,OR('Store History'!$C$5="",$F294='Store History'!$C$5)),1,0)</f>
        <v/>
      </c>
      <c r="X294" s="47">
        <f>IF($W294=1,SUM($W294:$W$1005),"")</f>
        <v/>
      </c>
    </row>
    <row r="295">
      <c r="A295" s="59" t="n"/>
      <c r="B295" s="60" t="n"/>
      <c r="C295" s="60" t="n"/>
      <c r="D295" s="45">
        <f>IF($C295="","",IFERROR(INDEX('Chain Program'!$B$6:$B$120,MATCH($C295,'Chain Program'!$A$6:$A$120,0)),"Unknown ID"))</f>
        <v/>
      </c>
      <c r="E295" s="45">
        <f>IF($C295="","",IFERROR(INDEX('Chain Program'!$D$6:$D$120,MATCH($C295,'Chain Program'!$A$6:$A$120,0)),"Unknown ID"))</f>
        <v/>
      </c>
      <c r="F295" s="60" t="n"/>
      <c r="G295" s="60" t="n"/>
      <c r="H295" s="56">
        <f>IF(OR($C295="",$A295=""),"",IF(COUNTIFS('Promo Calendar'!$A$6:$A$400,$C295,'Promo Calendar'!$D$6:$D$400,IF($G295="","All",$G295),'Promo Calendar'!$I$6:$I$400,"&lt;="&amp;$A295,'Promo Calendar'!$J$6:$J$400,"&gt;="&amp;$A295,'Promo Calendar'!$G$6:$G$400,"&gt;0")&gt;0,_xlfn.MINIFS('Promo Calendar'!$G$6:$G$400,'Promo Calendar'!$A$6:$A$400,$C295,'Promo Calendar'!$D$6:$D$400,IF($G295="","All",$G295),'Promo Calendar'!$I$6:$I$400,"&lt;="&amp;$A295,'Promo Calendar'!$J$6:$J$400,"&gt;="&amp;$A295,'Promo Calendar'!$G$6:$G$400,"&gt;0"),IF(COUNTIFS('Promo Calendar'!$A$6:$A$400,$C295,'Promo Calendar'!$D$6:$D$400,"All",'Promo Calendar'!$I$6:$I$400,"&lt;="&amp;$A295,'Promo Calendar'!$J$6:$J$400,"&gt;="&amp;$A295,'Promo Calendar'!$G$6:$G$400,"&gt;0")&gt;0,_xlfn.MINIFS('Promo Calendar'!$G$6:$G$400,'Promo Calendar'!$A$6:$A$400,$C295,'Promo Calendar'!$D$6:$D$400,"All",'Promo Calendar'!$I$6:$I$400,"&lt;="&amp;$A295,'Promo Calendar'!$J$6:$J$400,"&gt;="&amp;$A295,'Promo Calendar'!$G$6:$G$400,"&gt;0"),IFERROR(IF(INDEX('Chain Program'!$M$6:$M$120,MATCH($C295,'Chain Program'!$A$6:$A$120,0))="","Not set",INDEX('Chain Program'!$M$6:$M$120,MATCH($C295,'Chain Program'!$A$6:$A$120,0))),"Not set"))))</f>
        <v/>
      </c>
      <c r="I295" s="61" t="n"/>
      <c r="J295" s="45">
        <f>IF($I295="","",IF(NOT(ISNUMBER($H295)),"No plan price",IF(ABS($I295-$H295)&lt;0.005,"Match",IF($I295&gt;$H295,"Over plan","Under plan"))))</f>
        <v/>
      </c>
      <c r="K295" s="60" t="n"/>
      <c r="L295" s="60" t="n"/>
      <c r="M295" s="60" t="n"/>
      <c r="N295" s="60" t="n"/>
      <c r="O295" s="60" t="n"/>
      <c r="P295" s="62" t="n"/>
      <c r="Q295" s="62" t="n"/>
      <c r="R295" s="60" t="n"/>
      <c r="S295" s="59" t="n"/>
      <c r="T295" s="60" t="n"/>
      <c r="U295" s="59" t="n"/>
      <c r="V295" s="45">
        <f>IF(OR($A295="",$T295="",$T295="No Issue"),"",IF($T295="Resolved",IF($U295="","",$U295-$A295),TODAY()-$A295))</f>
        <v/>
      </c>
      <c r="W295" s="47">
        <f>IF(AND($C295&lt;&gt;"",$C295='Store History'!$C$4,OR('Store History'!$C$5="",$F295='Store History'!$C$5)),1,0)</f>
        <v/>
      </c>
      <c r="X295" s="47">
        <f>IF($W295=1,SUM($W295:$W$1005),"")</f>
        <v/>
      </c>
    </row>
    <row r="296">
      <c r="A296" s="59" t="n"/>
      <c r="B296" s="60" t="n"/>
      <c r="C296" s="60" t="n"/>
      <c r="D296" s="45">
        <f>IF($C296="","",IFERROR(INDEX('Chain Program'!$B$6:$B$120,MATCH($C296,'Chain Program'!$A$6:$A$120,0)),"Unknown ID"))</f>
        <v/>
      </c>
      <c r="E296" s="45">
        <f>IF($C296="","",IFERROR(INDEX('Chain Program'!$D$6:$D$120,MATCH($C296,'Chain Program'!$A$6:$A$120,0)),"Unknown ID"))</f>
        <v/>
      </c>
      <c r="F296" s="60" t="n"/>
      <c r="G296" s="60" t="n"/>
      <c r="H296" s="56">
        <f>IF(OR($C296="",$A296=""),"",IF(COUNTIFS('Promo Calendar'!$A$6:$A$400,$C296,'Promo Calendar'!$D$6:$D$400,IF($G296="","All",$G296),'Promo Calendar'!$I$6:$I$400,"&lt;="&amp;$A296,'Promo Calendar'!$J$6:$J$400,"&gt;="&amp;$A296,'Promo Calendar'!$G$6:$G$400,"&gt;0")&gt;0,_xlfn.MINIFS('Promo Calendar'!$G$6:$G$400,'Promo Calendar'!$A$6:$A$400,$C296,'Promo Calendar'!$D$6:$D$400,IF($G296="","All",$G296),'Promo Calendar'!$I$6:$I$400,"&lt;="&amp;$A296,'Promo Calendar'!$J$6:$J$400,"&gt;="&amp;$A296,'Promo Calendar'!$G$6:$G$400,"&gt;0"),IF(COUNTIFS('Promo Calendar'!$A$6:$A$400,$C296,'Promo Calendar'!$D$6:$D$400,"All",'Promo Calendar'!$I$6:$I$400,"&lt;="&amp;$A296,'Promo Calendar'!$J$6:$J$400,"&gt;="&amp;$A296,'Promo Calendar'!$G$6:$G$400,"&gt;0")&gt;0,_xlfn.MINIFS('Promo Calendar'!$G$6:$G$400,'Promo Calendar'!$A$6:$A$400,$C296,'Promo Calendar'!$D$6:$D$400,"All",'Promo Calendar'!$I$6:$I$400,"&lt;="&amp;$A296,'Promo Calendar'!$J$6:$J$400,"&gt;="&amp;$A296,'Promo Calendar'!$G$6:$G$400,"&gt;0"),IFERROR(IF(INDEX('Chain Program'!$M$6:$M$120,MATCH($C296,'Chain Program'!$A$6:$A$120,0))="","Not set",INDEX('Chain Program'!$M$6:$M$120,MATCH($C296,'Chain Program'!$A$6:$A$120,0))),"Not set"))))</f>
        <v/>
      </c>
      <c r="I296" s="61" t="n"/>
      <c r="J296" s="45">
        <f>IF($I296="","",IF(NOT(ISNUMBER($H296)),"No plan price",IF(ABS($I296-$H296)&lt;0.005,"Match",IF($I296&gt;$H296,"Over plan","Under plan"))))</f>
        <v/>
      </c>
      <c r="K296" s="60" t="n"/>
      <c r="L296" s="60" t="n"/>
      <c r="M296" s="60" t="n"/>
      <c r="N296" s="60" t="n"/>
      <c r="O296" s="60" t="n"/>
      <c r="P296" s="62" t="n"/>
      <c r="Q296" s="62" t="n"/>
      <c r="R296" s="60" t="n"/>
      <c r="S296" s="59" t="n"/>
      <c r="T296" s="60" t="n"/>
      <c r="U296" s="59" t="n"/>
      <c r="V296" s="45">
        <f>IF(OR($A296="",$T296="",$T296="No Issue"),"",IF($T296="Resolved",IF($U296="","",$U296-$A296),TODAY()-$A296))</f>
        <v/>
      </c>
      <c r="W296" s="47">
        <f>IF(AND($C296&lt;&gt;"",$C296='Store History'!$C$4,OR('Store History'!$C$5="",$F296='Store History'!$C$5)),1,0)</f>
        <v/>
      </c>
      <c r="X296" s="47">
        <f>IF($W296=1,SUM($W296:$W$1005),"")</f>
        <v/>
      </c>
    </row>
    <row r="297">
      <c r="A297" s="59" t="n"/>
      <c r="B297" s="60" t="n"/>
      <c r="C297" s="60" t="n"/>
      <c r="D297" s="45">
        <f>IF($C297="","",IFERROR(INDEX('Chain Program'!$B$6:$B$120,MATCH($C297,'Chain Program'!$A$6:$A$120,0)),"Unknown ID"))</f>
        <v/>
      </c>
      <c r="E297" s="45">
        <f>IF($C297="","",IFERROR(INDEX('Chain Program'!$D$6:$D$120,MATCH($C297,'Chain Program'!$A$6:$A$120,0)),"Unknown ID"))</f>
        <v/>
      </c>
      <c r="F297" s="60" t="n"/>
      <c r="G297" s="60" t="n"/>
      <c r="H297" s="56">
        <f>IF(OR($C297="",$A297=""),"",IF(COUNTIFS('Promo Calendar'!$A$6:$A$400,$C297,'Promo Calendar'!$D$6:$D$400,IF($G297="","All",$G297),'Promo Calendar'!$I$6:$I$400,"&lt;="&amp;$A297,'Promo Calendar'!$J$6:$J$400,"&gt;="&amp;$A297,'Promo Calendar'!$G$6:$G$400,"&gt;0")&gt;0,_xlfn.MINIFS('Promo Calendar'!$G$6:$G$400,'Promo Calendar'!$A$6:$A$400,$C297,'Promo Calendar'!$D$6:$D$400,IF($G297="","All",$G297),'Promo Calendar'!$I$6:$I$400,"&lt;="&amp;$A297,'Promo Calendar'!$J$6:$J$400,"&gt;="&amp;$A297,'Promo Calendar'!$G$6:$G$400,"&gt;0"),IF(COUNTIFS('Promo Calendar'!$A$6:$A$400,$C297,'Promo Calendar'!$D$6:$D$400,"All",'Promo Calendar'!$I$6:$I$400,"&lt;="&amp;$A297,'Promo Calendar'!$J$6:$J$400,"&gt;="&amp;$A297,'Promo Calendar'!$G$6:$G$400,"&gt;0")&gt;0,_xlfn.MINIFS('Promo Calendar'!$G$6:$G$400,'Promo Calendar'!$A$6:$A$400,$C297,'Promo Calendar'!$D$6:$D$400,"All",'Promo Calendar'!$I$6:$I$400,"&lt;="&amp;$A297,'Promo Calendar'!$J$6:$J$400,"&gt;="&amp;$A297,'Promo Calendar'!$G$6:$G$400,"&gt;0"),IFERROR(IF(INDEX('Chain Program'!$M$6:$M$120,MATCH($C297,'Chain Program'!$A$6:$A$120,0))="","Not set",INDEX('Chain Program'!$M$6:$M$120,MATCH($C297,'Chain Program'!$A$6:$A$120,0))),"Not set"))))</f>
        <v/>
      </c>
      <c r="I297" s="61" t="n"/>
      <c r="J297" s="45">
        <f>IF($I297="","",IF(NOT(ISNUMBER($H297)),"No plan price",IF(ABS($I297-$H297)&lt;0.005,"Match",IF($I297&gt;$H297,"Over plan","Under plan"))))</f>
        <v/>
      </c>
      <c r="K297" s="60" t="n"/>
      <c r="L297" s="60" t="n"/>
      <c r="M297" s="60" t="n"/>
      <c r="N297" s="60" t="n"/>
      <c r="O297" s="60" t="n"/>
      <c r="P297" s="62" t="n"/>
      <c r="Q297" s="62" t="n"/>
      <c r="R297" s="60" t="n"/>
      <c r="S297" s="59" t="n"/>
      <c r="T297" s="60" t="n"/>
      <c r="U297" s="59" t="n"/>
      <c r="V297" s="45">
        <f>IF(OR($A297="",$T297="",$T297="No Issue"),"",IF($T297="Resolved",IF($U297="","",$U297-$A297),TODAY()-$A297))</f>
        <v/>
      </c>
      <c r="W297" s="47">
        <f>IF(AND($C297&lt;&gt;"",$C297='Store History'!$C$4,OR('Store History'!$C$5="",$F297='Store History'!$C$5)),1,0)</f>
        <v/>
      </c>
      <c r="X297" s="47">
        <f>IF($W297=1,SUM($W297:$W$1005),"")</f>
        <v/>
      </c>
    </row>
    <row r="298">
      <c r="A298" s="59" t="n"/>
      <c r="B298" s="60" t="n"/>
      <c r="C298" s="60" t="n"/>
      <c r="D298" s="45">
        <f>IF($C298="","",IFERROR(INDEX('Chain Program'!$B$6:$B$120,MATCH($C298,'Chain Program'!$A$6:$A$120,0)),"Unknown ID"))</f>
        <v/>
      </c>
      <c r="E298" s="45">
        <f>IF($C298="","",IFERROR(INDEX('Chain Program'!$D$6:$D$120,MATCH($C298,'Chain Program'!$A$6:$A$120,0)),"Unknown ID"))</f>
        <v/>
      </c>
      <c r="F298" s="60" t="n"/>
      <c r="G298" s="60" t="n"/>
      <c r="H298" s="56">
        <f>IF(OR($C298="",$A298=""),"",IF(COUNTIFS('Promo Calendar'!$A$6:$A$400,$C298,'Promo Calendar'!$D$6:$D$400,IF($G298="","All",$G298),'Promo Calendar'!$I$6:$I$400,"&lt;="&amp;$A298,'Promo Calendar'!$J$6:$J$400,"&gt;="&amp;$A298,'Promo Calendar'!$G$6:$G$400,"&gt;0")&gt;0,_xlfn.MINIFS('Promo Calendar'!$G$6:$G$400,'Promo Calendar'!$A$6:$A$400,$C298,'Promo Calendar'!$D$6:$D$400,IF($G298="","All",$G298),'Promo Calendar'!$I$6:$I$400,"&lt;="&amp;$A298,'Promo Calendar'!$J$6:$J$400,"&gt;="&amp;$A298,'Promo Calendar'!$G$6:$G$400,"&gt;0"),IF(COUNTIFS('Promo Calendar'!$A$6:$A$400,$C298,'Promo Calendar'!$D$6:$D$400,"All",'Promo Calendar'!$I$6:$I$400,"&lt;="&amp;$A298,'Promo Calendar'!$J$6:$J$400,"&gt;="&amp;$A298,'Promo Calendar'!$G$6:$G$400,"&gt;0")&gt;0,_xlfn.MINIFS('Promo Calendar'!$G$6:$G$400,'Promo Calendar'!$A$6:$A$400,$C298,'Promo Calendar'!$D$6:$D$400,"All",'Promo Calendar'!$I$6:$I$400,"&lt;="&amp;$A298,'Promo Calendar'!$J$6:$J$400,"&gt;="&amp;$A298,'Promo Calendar'!$G$6:$G$400,"&gt;0"),IFERROR(IF(INDEX('Chain Program'!$M$6:$M$120,MATCH($C298,'Chain Program'!$A$6:$A$120,0))="","Not set",INDEX('Chain Program'!$M$6:$M$120,MATCH($C298,'Chain Program'!$A$6:$A$120,0))),"Not set"))))</f>
        <v/>
      </c>
      <c r="I298" s="61" t="n"/>
      <c r="J298" s="45">
        <f>IF($I298="","",IF(NOT(ISNUMBER($H298)),"No plan price",IF(ABS($I298-$H298)&lt;0.005,"Match",IF($I298&gt;$H298,"Over plan","Under plan"))))</f>
        <v/>
      </c>
      <c r="K298" s="60" t="n"/>
      <c r="L298" s="60" t="n"/>
      <c r="M298" s="60" t="n"/>
      <c r="N298" s="60" t="n"/>
      <c r="O298" s="60" t="n"/>
      <c r="P298" s="62" t="n"/>
      <c r="Q298" s="62" t="n"/>
      <c r="R298" s="60" t="n"/>
      <c r="S298" s="59" t="n"/>
      <c r="T298" s="60" t="n"/>
      <c r="U298" s="59" t="n"/>
      <c r="V298" s="45">
        <f>IF(OR($A298="",$T298="",$T298="No Issue"),"",IF($T298="Resolved",IF($U298="","",$U298-$A298),TODAY()-$A298))</f>
        <v/>
      </c>
      <c r="W298" s="47">
        <f>IF(AND($C298&lt;&gt;"",$C298='Store History'!$C$4,OR('Store History'!$C$5="",$F298='Store History'!$C$5)),1,0)</f>
        <v/>
      </c>
      <c r="X298" s="47">
        <f>IF($W298=1,SUM($W298:$W$1005),"")</f>
        <v/>
      </c>
    </row>
    <row r="299">
      <c r="A299" s="59" t="n"/>
      <c r="B299" s="60" t="n"/>
      <c r="C299" s="60" t="n"/>
      <c r="D299" s="45">
        <f>IF($C299="","",IFERROR(INDEX('Chain Program'!$B$6:$B$120,MATCH($C299,'Chain Program'!$A$6:$A$120,0)),"Unknown ID"))</f>
        <v/>
      </c>
      <c r="E299" s="45">
        <f>IF($C299="","",IFERROR(INDEX('Chain Program'!$D$6:$D$120,MATCH($C299,'Chain Program'!$A$6:$A$120,0)),"Unknown ID"))</f>
        <v/>
      </c>
      <c r="F299" s="60" t="n"/>
      <c r="G299" s="60" t="n"/>
      <c r="H299" s="56">
        <f>IF(OR($C299="",$A299=""),"",IF(COUNTIFS('Promo Calendar'!$A$6:$A$400,$C299,'Promo Calendar'!$D$6:$D$400,IF($G299="","All",$G299),'Promo Calendar'!$I$6:$I$400,"&lt;="&amp;$A299,'Promo Calendar'!$J$6:$J$400,"&gt;="&amp;$A299,'Promo Calendar'!$G$6:$G$400,"&gt;0")&gt;0,_xlfn.MINIFS('Promo Calendar'!$G$6:$G$400,'Promo Calendar'!$A$6:$A$400,$C299,'Promo Calendar'!$D$6:$D$400,IF($G299="","All",$G299),'Promo Calendar'!$I$6:$I$400,"&lt;="&amp;$A299,'Promo Calendar'!$J$6:$J$400,"&gt;="&amp;$A299,'Promo Calendar'!$G$6:$G$400,"&gt;0"),IF(COUNTIFS('Promo Calendar'!$A$6:$A$400,$C299,'Promo Calendar'!$D$6:$D$400,"All",'Promo Calendar'!$I$6:$I$400,"&lt;="&amp;$A299,'Promo Calendar'!$J$6:$J$400,"&gt;="&amp;$A299,'Promo Calendar'!$G$6:$G$400,"&gt;0")&gt;0,_xlfn.MINIFS('Promo Calendar'!$G$6:$G$400,'Promo Calendar'!$A$6:$A$400,$C299,'Promo Calendar'!$D$6:$D$400,"All",'Promo Calendar'!$I$6:$I$400,"&lt;="&amp;$A299,'Promo Calendar'!$J$6:$J$400,"&gt;="&amp;$A299,'Promo Calendar'!$G$6:$G$400,"&gt;0"),IFERROR(IF(INDEX('Chain Program'!$M$6:$M$120,MATCH($C299,'Chain Program'!$A$6:$A$120,0))="","Not set",INDEX('Chain Program'!$M$6:$M$120,MATCH($C299,'Chain Program'!$A$6:$A$120,0))),"Not set"))))</f>
        <v/>
      </c>
      <c r="I299" s="61" t="n"/>
      <c r="J299" s="45">
        <f>IF($I299="","",IF(NOT(ISNUMBER($H299)),"No plan price",IF(ABS($I299-$H299)&lt;0.005,"Match",IF($I299&gt;$H299,"Over plan","Under plan"))))</f>
        <v/>
      </c>
      <c r="K299" s="60" t="n"/>
      <c r="L299" s="60" t="n"/>
      <c r="M299" s="60" t="n"/>
      <c r="N299" s="60" t="n"/>
      <c r="O299" s="60" t="n"/>
      <c r="P299" s="62" t="n"/>
      <c r="Q299" s="62" t="n"/>
      <c r="R299" s="60" t="n"/>
      <c r="S299" s="59" t="n"/>
      <c r="T299" s="60" t="n"/>
      <c r="U299" s="59" t="n"/>
      <c r="V299" s="45">
        <f>IF(OR($A299="",$T299="",$T299="No Issue"),"",IF($T299="Resolved",IF($U299="","",$U299-$A299),TODAY()-$A299))</f>
        <v/>
      </c>
      <c r="W299" s="47">
        <f>IF(AND($C299&lt;&gt;"",$C299='Store History'!$C$4,OR('Store History'!$C$5="",$F299='Store History'!$C$5)),1,0)</f>
        <v/>
      </c>
      <c r="X299" s="47">
        <f>IF($W299=1,SUM($W299:$W$1005),"")</f>
        <v/>
      </c>
    </row>
    <row r="300">
      <c r="A300" s="59" t="n"/>
      <c r="B300" s="60" t="n"/>
      <c r="C300" s="60" t="n"/>
      <c r="D300" s="45">
        <f>IF($C300="","",IFERROR(INDEX('Chain Program'!$B$6:$B$120,MATCH($C300,'Chain Program'!$A$6:$A$120,0)),"Unknown ID"))</f>
        <v/>
      </c>
      <c r="E300" s="45">
        <f>IF($C300="","",IFERROR(INDEX('Chain Program'!$D$6:$D$120,MATCH($C300,'Chain Program'!$A$6:$A$120,0)),"Unknown ID"))</f>
        <v/>
      </c>
      <c r="F300" s="60" t="n"/>
      <c r="G300" s="60" t="n"/>
      <c r="H300" s="56">
        <f>IF(OR($C300="",$A300=""),"",IF(COUNTIFS('Promo Calendar'!$A$6:$A$400,$C300,'Promo Calendar'!$D$6:$D$400,IF($G300="","All",$G300),'Promo Calendar'!$I$6:$I$400,"&lt;="&amp;$A300,'Promo Calendar'!$J$6:$J$400,"&gt;="&amp;$A300,'Promo Calendar'!$G$6:$G$400,"&gt;0")&gt;0,_xlfn.MINIFS('Promo Calendar'!$G$6:$G$400,'Promo Calendar'!$A$6:$A$400,$C300,'Promo Calendar'!$D$6:$D$400,IF($G300="","All",$G300),'Promo Calendar'!$I$6:$I$400,"&lt;="&amp;$A300,'Promo Calendar'!$J$6:$J$400,"&gt;="&amp;$A300,'Promo Calendar'!$G$6:$G$400,"&gt;0"),IF(COUNTIFS('Promo Calendar'!$A$6:$A$400,$C300,'Promo Calendar'!$D$6:$D$400,"All",'Promo Calendar'!$I$6:$I$400,"&lt;="&amp;$A300,'Promo Calendar'!$J$6:$J$400,"&gt;="&amp;$A300,'Promo Calendar'!$G$6:$G$400,"&gt;0")&gt;0,_xlfn.MINIFS('Promo Calendar'!$G$6:$G$400,'Promo Calendar'!$A$6:$A$400,$C300,'Promo Calendar'!$D$6:$D$400,"All",'Promo Calendar'!$I$6:$I$400,"&lt;="&amp;$A300,'Promo Calendar'!$J$6:$J$400,"&gt;="&amp;$A300,'Promo Calendar'!$G$6:$G$400,"&gt;0"),IFERROR(IF(INDEX('Chain Program'!$M$6:$M$120,MATCH($C300,'Chain Program'!$A$6:$A$120,0))="","Not set",INDEX('Chain Program'!$M$6:$M$120,MATCH($C300,'Chain Program'!$A$6:$A$120,0))),"Not set"))))</f>
        <v/>
      </c>
      <c r="I300" s="61" t="n"/>
      <c r="J300" s="45">
        <f>IF($I300="","",IF(NOT(ISNUMBER($H300)),"No plan price",IF(ABS($I300-$H300)&lt;0.005,"Match",IF($I300&gt;$H300,"Over plan","Under plan"))))</f>
        <v/>
      </c>
      <c r="K300" s="60" t="n"/>
      <c r="L300" s="60" t="n"/>
      <c r="M300" s="60" t="n"/>
      <c r="N300" s="60" t="n"/>
      <c r="O300" s="60" t="n"/>
      <c r="P300" s="62" t="n"/>
      <c r="Q300" s="62" t="n"/>
      <c r="R300" s="60" t="n"/>
      <c r="S300" s="59" t="n"/>
      <c r="T300" s="60" t="n"/>
      <c r="U300" s="59" t="n"/>
      <c r="V300" s="45">
        <f>IF(OR($A300="",$T300="",$T300="No Issue"),"",IF($T300="Resolved",IF($U300="","",$U300-$A300),TODAY()-$A300))</f>
        <v/>
      </c>
      <c r="W300" s="47">
        <f>IF(AND($C300&lt;&gt;"",$C300='Store History'!$C$4,OR('Store History'!$C$5="",$F300='Store History'!$C$5)),1,0)</f>
        <v/>
      </c>
      <c r="X300" s="47">
        <f>IF($W300=1,SUM($W300:$W$1005),"")</f>
        <v/>
      </c>
    </row>
    <row r="301">
      <c r="A301" s="59" t="n"/>
      <c r="B301" s="60" t="n"/>
      <c r="C301" s="60" t="n"/>
      <c r="D301" s="45">
        <f>IF($C301="","",IFERROR(INDEX('Chain Program'!$B$6:$B$120,MATCH($C301,'Chain Program'!$A$6:$A$120,0)),"Unknown ID"))</f>
        <v/>
      </c>
      <c r="E301" s="45">
        <f>IF($C301="","",IFERROR(INDEX('Chain Program'!$D$6:$D$120,MATCH($C301,'Chain Program'!$A$6:$A$120,0)),"Unknown ID"))</f>
        <v/>
      </c>
      <c r="F301" s="60" t="n"/>
      <c r="G301" s="60" t="n"/>
      <c r="H301" s="56">
        <f>IF(OR($C301="",$A301=""),"",IF(COUNTIFS('Promo Calendar'!$A$6:$A$400,$C301,'Promo Calendar'!$D$6:$D$400,IF($G301="","All",$G301),'Promo Calendar'!$I$6:$I$400,"&lt;="&amp;$A301,'Promo Calendar'!$J$6:$J$400,"&gt;="&amp;$A301,'Promo Calendar'!$G$6:$G$400,"&gt;0")&gt;0,_xlfn.MINIFS('Promo Calendar'!$G$6:$G$400,'Promo Calendar'!$A$6:$A$400,$C301,'Promo Calendar'!$D$6:$D$400,IF($G301="","All",$G301),'Promo Calendar'!$I$6:$I$400,"&lt;="&amp;$A301,'Promo Calendar'!$J$6:$J$400,"&gt;="&amp;$A301,'Promo Calendar'!$G$6:$G$400,"&gt;0"),IF(COUNTIFS('Promo Calendar'!$A$6:$A$400,$C301,'Promo Calendar'!$D$6:$D$400,"All",'Promo Calendar'!$I$6:$I$400,"&lt;="&amp;$A301,'Promo Calendar'!$J$6:$J$400,"&gt;="&amp;$A301,'Promo Calendar'!$G$6:$G$400,"&gt;0")&gt;0,_xlfn.MINIFS('Promo Calendar'!$G$6:$G$400,'Promo Calendar'!$A$6:$A$400,$C301,'Promo Calendar'!$D$6:$D$400,"All",'Promo Calendar'!$I$6:$I$400,"&lt;="&amp;$A301,'Promo Calendar'!$J$6:$J$400,"&gt;="&amp;$A301,'Promo Calendar'!$G$6:$G$400,"&gt;0"),IFERROR(IF(INDEX('Chain Program'!$M$6:$M$120,MATCH($C301,'Chain Program'!$A$6:$A$120,0))="","Not set",INDEX('Chain Program'!$M$6:$M$120,MATCH($C301,'Chain Program'!$A$6:$A$120,0))),"Not set"))))</f>
        <v/>
      </c>
      <c r="I301" s="61" t="n"/>
      <c r="J301" s="45">
        <f>IF($I301="","",IF(NOT(ISNUMBER($H301)),"No plan price",IF(ABS($I301-$H301)&lt;0.005,"Match",IF($I301&gt;$H301,"Over plan","Under plan"))))</f>
        <v/>
      </c>
      <c r="K301" s="60" t="n"/>
      <c r="L301" s="60" t="n"/>
      <c r="M301" s="60" t="n"/>
      <c r="N301" s="60" t="n"/>
      <c r="O301" s="60" t="n"/>
      <c r="P301" s="62" t="n"/>
      <c r="Q301" s="62" t="n"/>
      <c r="R301" s="60" t="n"/>
      <c r="S301" s="59" t="n"/>
      <c r="T301" s="60" t="n"/>
      <c r="U301" s="59" t="n"/>
      <c r="V301" s="45">
        <f>IF(OR($A301="",$T301="",$T301="No Issue"),"",IF($T301="Resolved",IF($U301="","",$U301-$A301),TODAY()-$A301))</f>
        <v/>
      </c>
      <c r="W301" s="47">
        <f>IF(AND($C301&lt;&gt;"",$C301='Store History'!$C$4,OR('Store History'!$C$5="",$F301='Store History'!$C$5)),1,0)</f>
        <v/>
      </c>
      <c r="X301" s="47">
        <f>IF($W301=1,SUM($W301:$W$1005),"")</f>
        <v/>
      </c>
    </row>
    <row r="302">
      <c r="A302" s="59" t="n"/>
      <c r="B302" s="60" t="n"/>
      <c r="C302" s="60" t="n"/>
      <c r="D302" s="45">
        <f>IF($C302="","",IFERROR(INDEX('Chain Program'!$B$6:$B$120,MATCH($C302,'Chain Program'!$A$6:$A$120,0)),"Unknown ID"))</f>
        <v/>
      </c>
      <c r="E302" s="45">
        <f>IF($C302="","",IFERROR(INDEX('Chain Program'!$D$6:$D$120,MATCH($C302,'Chain Program'!$A$6:$A$120,0)),"Unknown ID"))</f>
        <v/>
      </c>
      <c r="F302" s="60" t="n"/>
      <c r="G302" s="60" t="n"/>
      <c r="H302" s="56">
        <f>IF(OR($C302="",$A302=""),"",IF(COUNTIFS('Promo Calendar'!$A$6:$A$400,$C302,'Promo Calendar'!$D$6:$D$400,IF($G302="","All",$G302),'Promo Calendar'!$I$6:$I$400,"&lt;="&amp;$A302,'Promo Calendar'!$J$6:$J$400,"&gt;="&amp;$A302,'Promo Calendar'!$G$6:$G$400,"&gt;0")&gt;0,_xlfn.MINIFS('Promo Calendar'!$G$6:$G$400,'Promo Calendar'!$A$6:$A$400,$C302,'Promo Calendar'!$D$6:$D$400,IF($G302="","All",$G302),'Promo Calendar'!$I$6:$I$400,"&lt;="&amp;$A302,'Promo Calendar'!$J$6:$J$400,"&gt;="&amp;$A302,'Promo Calendar'!$G$6:$G$400,"&gt;0"),IF(COUNTIFS('Promo Calendar'!$A$6:$A$400,$C302,'Promo Calendar'!$D$6:$D$400,"All",'Promo Calendar'!$I$6:$I$400,"&lt;="&amp;$A302,'Promo Calendar'!$J$6:$J$400,"&gt;="&amp;$A302,'Promo Calendar'!$G$6:$G$400,"&gt;0")&gt;0,_xlfn.MINIFS('Promo Calendar'!$G$6:$G$400,'Promo Calendar'!$A$6:$A$400,$C302,'Promo Calendar'!$D$6:$D$400,"All",'Promo Calendar'!$I$6:$I$400,"&lt;="&amp;$A302,'Promo Calendar'!$J$6:$J$400,"&gt;="&amp;$A302,'Promo Calendar'!$G$6:$G$400,"&gt;0"),IFERROR(IF(INDEX('Chain Program'!$M$6:$M$120,MATCH($C302,'Chain Program'!$A$6:$A$120,0))="","Not set",INDEX('Chain Program'!$M$6:$M$120,MATCH($C302,'Chain Program'!$A$6:$A$120,0))),"Not set"))))</f>
        <v/>
      </c>
      <c r="I302" s="61" t="n"/>
      <c r="J302" s="45">
        <f>IF($I302="","",IF(NOT(ISNUMBER($H302)),"No plan price",IF(ABS($I302-$H302)&lt;0.005,"Match",IF($I302&gt;$H302,"Over plan","Under plan"))))</f>
        <v/>
      </c>
      <c r="K302" s="60" t="n"/>
      <c r="L302" s="60" t="n"/>
      <c r="M302" s="60" t="n"/>
      <c r="N302" s="60" t="n"/>
      <c r="O302" s="60" t="n"/>
      <c r="P302" s="62" t="n"/>
      <c r="Q302" s="62" t="n"/>
      <c r="R302" s="60" t="n"/>
      <c r="S302" s="59" t="n"/>
      <c r="T302" s="60" t="n"/>
      <c r="U302" s="59" t="n"/>
      <c r="V302" s="45">
        <f>IF(OR($A302="",$T302="",$T302="No Issue"),"",IF($T302="Resolved",IF($U302="","",$U302-$A302),TODAY()-$A302))</f>
        <v/>
      </c>
      <c r="W302" s="47">
        <f>IF(AND($C302&lt;&gt;"",$C302='Store History'!$C$4,OR('Store History'!$C$5="",$F302='Store History'!$C$5)),1,0)</f>
        <v/>
      </c>
      <c r="X302" s="47">
        <f>IF($W302=1,SUM($W302:$W$1005),"")</f>
        <v/>
      </c>
    </row>
    <row r="303">
      <c r="A303" s="59" t="n"/>
      <c r="B303" s="60" t="n"/>
      <c r="C303" s="60" t="n"/>
      <c r="D303" s="45">
        <f>IF($C303="","",IFERROR(INDEX('Chain Program'!$B$6:$B$120,MATCH($C303,'Chain Program'!$A$6:$A$120,0)),"Unknown ID"))</f>
        <v/>
      </c>
      <c r="E303" s="45">
        <f>IF($C303="","",IFERROR(INDEX('Chain Program'!$D$6:$D$120,MATCH($C303,'Chain Program'!$A$6:$A$120,0)),"Unknown ID"))</f>
        <v/>
      </c>
      <c r="F303" s="60" t="n"/>
      <c r="G303" s="60" t="n"/>
      <c r="H303" s="56">
        <f>IF(OR($C303="",$A303=""),"",IF(COUNTIFS('Promo Calendar'!$A$6:$A$400,$C303,'Promo Calendar'!$D$6:$D$400,IF($G303="","All",$G303),'Promo Calendar'!$I$6:$I$400,"&lt;="&amp;$A303,'Promo Calendar'!$J$6:$J$400,"&gt;="&amp;$A303,'Promo Calendar'!$G$6:$G$400,"&gt;0")&gt;0,_xlfn.MINIFS('Promo Calendar'!$G$6:$G$400,'Promo Calendar'!$A$6:$A$400,$C303,'Promo Calendar'!$D$6:$D$400,IF($G303="","All",$G303),'Promo Calendar'!$I$6:$I$400,"&lt;="&amp;$A303,'Promo Calendar'!$J$6:$J$400,"&gt;="&amp;$A303,'Promo Calendar'!$G$6:$G$400,"&gt;0"),IF(COUNTIFS('Promo Calendar'!$A$6:$A$400,$C303,'Promo Calendar'!$D$6:$D$400,"All",'Promo Calendar'!$I$6:$I$400,"&lt;="&amp;$A303,'Promo Calendar'!$J$6:$J$400,"&gt;="&amp;$A303,'Promo Calendar'!$G$6:$G$400,"&gt;0")&gt;0,_xlfn.MINIFS('Promo Calendar'!$G$6:$G$400,'Promo Calendar'!$A$6:$A$400,$C303,'Promo Calendar'!$D$6:$D$400,"All",'Promo Calendar'!$I$6:$I$400,"&lt;="&amp;$A303,'Promo Calendar'!$J$6:$J$400,"&gt;="&amp;$A303,'Promo Calendar'!$G$6:$G$400,"&gt;0"),IFERROR(IF(INDEX('Chain Program'!$M$6:$M$120,MATCH($C303,'Chain Program'!$A$6:$A$120,0))="","Not set",INDEX('Chain Program'!$M$6:$M$120,MATCH($C303,'Chain Program'!$A$6:$A$120,0))),"Not set"))))</f>
        <v/>
      </c>
      <c r="I303" s="61" t="n"/>
      <c r="J303" s="45">
        <f>IF($I303="","",IF(NOT(ISNUMBER($H303)),"No plan price",IF(ABS($I303-$H303)&lt;0.005,"Match",IF($I303&gt;$H303,"Over plan","Under plan"))))</f>
        <v/>
      </c>
      <c r="K303" s="60" t="n"/>
      <c r="L303" s="60" t="n"/>
      <c r="M303" s="60" t="n"/>
      <c r="N303" s="60" t="n"/>
      <c r="O303" s="60" t="n"/>
      <c r="P303" s="62" t="n"/>
      <c r="Q303" s="62" t="n"/>
      <c r="R303" s="60" t="n"/>
      <c r="S303" s="59" t="n"/>
      <c r="T303" s="60" t="n"/>
      <c r="U303" s="59" t="n"/>
      <c r="V303" s="45">
        <f>IF(OR($A303="",$T303="",$T303="No Issue"),"",IF($T303="Resolved",IF($U303="","",$U303-$A303),TODAY()-$A303))</f>
        <v/>
      </c>
      <c r="W303" s="47">
        <f>IF(AND($C303&lt;&gt;"",$C303='Store History'!$C$4,OR('Store History'!$C$5="",$F303='Store History'!$C$5)),1,0)</f>
        <v/>
      </c>
      <c r="X303" s="47">
        <f>IF($W303=1,SUM($W303:$W$1005),"")</f>
        <v/>
      </c>
    </row>
    <row r="304">
      <c r="A304" s="59" t="n"/>
      <c r="B304" s="60" t="n"/>
      <c r="C304" s="60" t="n"/>
      <c r="D304" s="45">
        <f>IF($C304="","",IFERROR(INDEX('Chain Program'!$B$6:$B$120,MATCH($C304,'Chain Program'!$A$6:$A$120,0)),"Unknown ID"))</f>
        <v/>
      </c>
      <c r="E304" s="45">
        <f>IF($C304="","",IFERROR(INDEX('Chain Program'!$D$6:$D$120,MATCH($C304,'Chain Program'!$A$6:$A$120,0)),"Unknown ID"))</f>
        <v/>
      </c>
      <c r="F304" s="60" t="n"/>
      <c r="G304" s="60" t="n"/>
      <c r="H304" s="56">
        <f>IF(OR($C304="",$A304=""),"",IF(COUNTIFS('Promo Calendar'!$A$6:$A$400,$C304,'Promo Calendar'!$D$6:$D$400,IF($G304="","All",$G304),'Promo Calendar'!$I$6:$I$400,"&lt;="&amp;$A304,'Promo Calendar'!$J$6:$J$400,"&gt;="&amp;$A304,'Promo Calendar'!$G$6:$G$400,"&gt;0")&gt;0,_xlfn.MINIFS('Promo Calendar'!$G$6:$G$400,'Promo Calendar'!$A$6:$A$400,$C304,'Promo Calendar'!$D$6:$D$400,IF($G304="","All",$G304),'Promo Calendar'!$I$6:$I$400,"&lt;="&amp;$A304,'Promo Calendar'!$J$6:$J$400,"&gt;="&amp;$A304,'Promo Calendar'!$G$6:$G$400,"&gt;0"),IF(COUNTIFS('Promo Calendar'!$A$6:$A$400,$C304,'Promo Calendar'!$D$6:$D$400,"All",'Promo Calendar'!$I$6:$I$400,"&lt;="&amp;$A304,'Promo Calendar'!$J$6:$J$400,"&gt;="&amp;$A304,'Promo Calendar'!$G$6:$G$400,"&gt;0")&gt;0,_xlfn.MINIFS('Promo Calendar'!$G$6:$G$400,'Promo Calendar'!$A$6:$A$400,$C304,'Promo Calendar'!$D$6:$D$400,"All",'Promo Calendar'!$I$6:$I$400,"&lt;="&amp;$A304,'Promo Calendar'!$J$6:$J$400,"&gt;="&amp;$A304,'Promo Calendar'!$G$6:$G$400,"&gt;0"),IFERROR(IF(INDEX('Chain Program'!$M$6:$M$120,MATCH($C304,'Chain Program'!$A$6:$A$120,0))="","Not set",INDEX('Chain Program'!$M$6:$M$120,MATCH($C304,'Chain Program'!$A$6:$A$120,0))),"Not set"))))</f>
        <v/>
      </c>
      <c r="I304" s="61" t="n"/>
      <c r="J304" s="45">
        <f>IF($I304="","",IF(NOT(ISNUMBER($H304)),"No plan price",IF(ABS($I304-$H304)&lt;0.005,"Match",IF($I304&gt;$H304,"Over plan","Under plan"))))</f>
        <v/>
      </c>
      <c r="K304" s="60" t="n"/>
      <c r="L304" s="60" t="n"/>
      <c r="M304" s="60" t="n"/>
      <c r="N304" s="60" t="n"/>
      <c r="O304" s="60" t="n"/>
      <c r="P304" s="62" t="n"/>
      <c r="Q304" s="62" t="n"/>
      <c r="R304" s="60" t="n"/>
      <c r="S304" s="59" t="n"/>
      <c r="T304" s="60" t="n"/>
      <c r="U304" s="59" t="n"/>
      <c r="V304" s="45">
        <f>IF(OR($A304="",$T304="",$T304="No Issue"),"",IF($T304="Resolved",IF($U304="","",$U304-$A304),TODAY()-$A304))</f>
        <v/>
      </c>
      <c r="W304" s="47">
        <f>IF(AND($C304&lt;&gt;"",$C304='Store History'!$C$4,OR('Store History'!$C$5="",$F304='Store History'!$C$5)),1,0)</f>
        <v/>
      </c>
      <c r="X304" s="47">
        <f>IF($W304=1,SUM($W304:$W$1005),"")</f>
        <v/>
      </c>
    </row>
    <row r="305">
      <c r="A305" s="59" t="n"/>
      <c r="B305" s="60" t="n"/>
      <c r="C305" s="60" t="n"/>
      <c r="D305" s="45">
        <f>IF($C305="","",IFERROR(INDEX('Chain Program'!$B$6:$B$120,MATCH($C305,'Chain Program'!$A$6:$A$120,0)),"Unknown ID"))</f>
        <v/>
      </c>
      <c r="E305" s="45">
        <f>IF($C305="","",IFERROR(INDEX('Chain Program'!$D$6:$D$120,MATCH($C305,'Chain Program'!$A$6:$A$120,0)),"Unknown ID"))</f>
        <v/>
      </c>
      <c r="F305" s="60" t="n"/>
      <c r="G305" s="60" t="n"/>
      <c r="H305" s="56">
        <f>IF(OR($C305="",$A305=""),"",IF(COUNTIFS('Promo Calendar'!$A$6:$A$400,$C305,'Promo Calendar'!$D$6:$D$400,IF($G305="","All",$G305),'Promo Calendar'!$I$6:$I$400,"&lt;="&amp;$A305,'Promo Calendar'!$J$6:$J$400,"&gt;="&amp;$A305,'Promo Calendar'!$G$6:$G$400,"&gt;0")&gt;0,_xlfn.MINIFS('Promo Calendar'!$G$6:$G$400,'Promo Calendar'!$A$6:$A$400,$C305,'Promo Calendar'!$D$6:$D$400,IF($G305="","All",$G305),'Promo Calendar'!$I$6:$I$400,"&lt;="&amp;$A305,'Promo Calendar'!$J$6:$J$400,"&gt;="&amp;$A305,'Promo Calendar'!$G$6:$G$400,"&gt;0"),IF(COUNTIFS('Promo Calendar'!$A$6:$A$400,$C305,'Promo Calendar'!$D$6:$D$400,"All",'Promo Calendar'!$I$6:$I$400,"&lt;="&amp;$A305,'Promo Calendar'!$J$6:$J$400,"&gt;="&amp;$A305,'Promo Calendar'!$G$6:$G$400,"&gt;0")&gt;0,_xlfn.MINIFS('Promo Calendar'!$G$6:$G$400,'Promo Calendar'!$A$6:$A$400,$C305,'Promo Calendar'!$D$6:$D$400,"All",'Promo Calendar'!$I$6:$I$400,"&lt;="&amp;$A305,'Promo Calendar'!$J$6:$J$400,"&gt;="&amp;$A305,'Promo Calendar'!$G$6:$G$400,"&gt;0"),IFERROR(IF(INDEX('Chain Program'!$M$6:$M$120,MATCH($C305,'Chain Program'!$A$6:$A$120,0))="","Not set",INDEX('Chain Program'!$M$6:$M$120,MATCH($C305,'Chain Program'!$A$6:$A$120,0))),"Not set"))))</f>
        <v/>
      </c>
      <c r="I305" s="61" t="n"/>
      <c r="J305" s="45">
        <f>IF($I305="","",IF(NOT(ISNUMBER($H305)),"No plan price",IF(ABS($I305-$H305)&lt;0.005,"Match",IF($I305&gt;$H305,"Over plan","Under plan"))))</f>
        <v/>
      </c>
      <c r="K305" s="60" t="n"/>
      <c r="L305" s="60" t="n"/>
      <c r="M305" s="60" t="n"/>
      <c r="N305" s="60" t="n"/>
      <c r="O305" s="60" t="n"/>
      <c r="P305" s="62" t="n"/>
      <c r="Q305" s="62" t="n"/>
      <c r="R305" s="60" t="n"/>
      <c r="S305" s="59" t="n"/>
      <c r="T305" s="60" t="n"/>
      <c r="U305" s="59" t="n"/>
      <c r="V305" s="45">
        <f>IF(OR($A305="",$T305="",$T305="No Issue"),"",IF($T305="Resolved",IF($U305="","",$U305-$A305),TODAY()-$A305))</f>
        <v/>
      </c>
      <c r="W305" s="47">
        <f>IF(AND($C305&lt;&gt;"",$C305='Store History'!$C$4,OR('Store History'!$C$5="",$F305='Store History'!$C$5)),1,0)</f>
        <v/>
      </c>
      <c r="X305" s="47">
        <f>IF($W305=1,SUM($W305:$W$1005),"")</f>
        <v/>
      </c>
    </row>
    <row r="306">
      <c r="A306" s="59" t="n"/>
      <c r="B306" s="60" t="n"/>
      <c r="C306" s="60" t="n"/>
      <c r="D306" s="45">
        <f>IF($C306="","",IFERROR(INDEX('Chain Program'!$B$6:$B$120,MATCH($C306,'Chain Program'!$A$6:$A$120,0)),"Unknown ID"))</f>
        <v/>
      </c>
      <c r="E306" s="45">
        <f>IF($C306="","",IFERROR(INDEX('Chain Program'!$D$6:$D$120,MATCH($C306,'Chain Program'!$A$6:$A$120,0)),"Unknown ID"))</f>
        <v/>
      </c>
      <c r="F306" s="60" t="n"/>
      <c r="G306" s="60" t="n"/>
      <c r="H306" s="56">
        <f>IF(OR($C306="",$A306=""),"",IF(COUNTIFS('Promo Calendar'!$A$6:$A$400,$C306,'Promo Calendar'!$D$6:$D$400,IF($G306="","All",$G306),'Promo Calendar'!$I$6:$I$400,"&lt;="&amp;$A306,'Promo Calendar'!$J$6:$J$400,"&gt;="&amp;$A306,'Promo Calendar'!$G$6:$G$400,"&gt;0")&gt;0,_xlfn.MINIFS('Promo Calendar'!$G$6:$G$400,'Promo Calendar'!$A$6:$A$400,$C306,'Promo Calendar'!$D$6:$D$400,IF($G306="","All",$G306),'Promo Calendar'!$I$6:$I$400,"&lt;="&amp;$A306,'Promo Calendar'!$J$6:$J$400,"&gt;="&amp;$A306,'Promo Calendar'!$G$6:$G$400,"&gt;0"),IF(COUNTIFS('Promo Calendar'!$A$6:$A$400,$C306,'Promo Calendar'!$D$6:$D$400,"All",'Promo Calendar'!$I$6:$I$400,"&lt;="&amp;$A306,'Promo Calendar'!$J$6:$J$400,"&gt;="&amp;$A306,'Promo Calendar'!$G$6:$G$400,"&gt;0")&gt;0,_xlfn.MINIFS('Promo Calendar'!$G$6:$G$400,'Promo Calendar'!$A$6:$A$400,$C306,'Promo Calendar'!$D$6:$D$400,"All",'Promo Calendar'!$I$6:$I$400,"&lt;="&amp;$A306,'Promo Calendar'!$J$6:$J$400,"&gt;="&amp;$A306,'Promo Calendar'!$G$6:$G$400,"&gt;0"),IFERROR(IF(INDEX('Chain Program'!$M$6:$M$120,MATCH($C306,'Chain Program'!$A$6:$A$120,0))="","Not set",INDEX('Chain Program'!$M$6:$M$120,MATCH($C306,'Chain Program'!$A$6:$A$120,0))),"Not set"))))</f>
        <v/>
      </c>
      <c r="I306" s="61" t="n"/>
      <c r="J306" s="45">
        <f>IF($I306="","",IF(NOT(ISNUMBER($H306)),"No plan price",IF(ABS($I306-$H306)&lt;0.005,"Match",IF($I306&gt;$H306,"Over plan","Under plan"))))</f>
        <v/>
      </c>
      <c r="K306" s="60" t="n"/>
      <c r="L306" s="60" t="n"/>
      <c r="M306" s="60" t="n"/>
      <c r="N306" s="60" t="n"/>
      <c r="O306" s="60" t="n"/>
      <c r="P306" s="62" t="n"/>
      <c r="Q306" s="62" t="n"/>
      <c r="R306" s="60" t="n"/>
      <c r="S306" s="59" t="n"/>
      <c r="T306" s="60" t="n"/>
      <c r="U306" s="59" t="n"/>
      <c r="V306" s="45">
        <f>IF(OR($A306="",$T306="",$T306="No Issue"),"",IF($T306="Resolved",IF($U306="","",$U306-$A306),TODAY()-$A306))</f>
        <v/>
      </c>
      <c r="W306" s="47">
        <f>IF(AND($C306&lt;&gt;"",$C306='Store History'!$C$4,OR('Store History'!$C$5="",$F306='Store History'!$C$5)),1,0)</f>
        <v/>
      </c>
      <c r="X306" s="47">
        <f>IF($W306=1,SUM($W306:$W$1005),"")</f>
        <v/>
      </c>
    </row>
    <row r="307">
      <c r="A307" s="59" t="n"/>
      <c r="B307" s="60" t="n"/>
      <c r="C307" s="60" t="n"/>
      <c r="D307" s="45">
        <f>IF($C307="","",IFERROR(INDEX('Chain Program'!$B$6:$B$120,MATCH($C307,'Chain Program'!$A$6:$A$120,0)),"Unknown ID"))</f>
        <v/>
      </c>
      <c r="E307" s="45">
        <f>IF($C307="","",IFERROR(INDEX('Chain Program'!$D$6:$D$120,MATCH($C307,'Chain Program'!$A$6:$A$120,0)),"Unknown ID"))</f>
        <v/>
      </c>
      <c r="F307" s="60" t="n"/>
      <c r="G307" s="60" t="n"/>
      <c r="H307" s="56">
        <f>IF(OR($C307="",$A307=""),"",IF(COUNTIFS('Promo Calendar'!$A$6:$A$400,$C307,'Promo Calendar'!$D$6:$D$400,IF($G307="","All",$G307),'Promo Calendar'!$I$6:$I$400,"&lt;="&amp;$A307,'Promo Calendar'!$J$6:$J$400,"&gt;="&amp;$A307,'Promo Calendar'!$G$6:$G$400,"&gt;0")&gt;0,_xlfn.MINIFS('Promo Calendar'!$G$6:$G$400,'Promo Calendar'!$A$6:$A$400,$C307,'Promo Calendar'!$D$6:$D$400,IF($G307="","All",$G307),'Promo Calendar'!$I$6:$I$400,"&lt;="&amp;$A307,'Promo Calendar'!$J$6:$J$400,"&gt;="&amp;$A307,'Promo Calendar'!$G$6:$G$400,"&gt;0"),IF(COUNTIFS('Promo Calendar'!$A$6:$A$400,$C307,'Promo Calendar'!$D$6:$D$400,"All",'Promo Calendar'!$I$6:$I$400,"&lt;="&amp;$A307,'Promo Calendar'!$J$6:$J$400,"&gt;="&amp;$A307,'Promo Calendar'!$G$6:$G$400,"&gt;0")&gt;0,_xlfn.MINIFS('Promo Calendar'!$G$6:$G$400,'Promo Calendar'!$A$6:$A$400,$C307,'Promo Calendar'!$D$6:$D$400,"All",'Promo Calendar'!$I$6:$I$400,"&lt;="&amp;$A307,'Promo Calendar'!$J$6:$J$400,"&gt;="&amp;$A307,'Promo Calendar'!$G$6:$G$400,"&gt;0"),IFERROR(IF(INDEX('Chain Program'!$M$6:$M$120,MATCH($C307,'Chain Program'!$A$6:$A$120,0))="","Not set",INDEX('Chain Program'!$M$6:$M$120,MATCH($C307,'Chain Program'!$A$6:$A$120,0))),"Not set"))))</f>
        <v/>
      </c>
      <c r="I307" s="61" t="n"/>
      <c r="J307" s="45">
        <f>IF($I307="","",IF(NOT(ISNUMBER($H307)),"No plan price",IF(ABS($I307-$H307)&lt;0.005,"Match",IF($I307&gt;$H307,"Over plan","Under plan"))))</f>
        <v/>
      </c>
      <c r="K307" s="60" t="n"/>
      <c r="L307" s="60" t="n"/>
      <c r="M307" s="60" t="n"/>
      <c r="N307" s="60" t="n"/>
      <c r="O307" s="60" t="n"/>
      <c r="P307" s="62" t="n"/>
      <c r="Q307" s="62" t="n"/>
      <c r="R307" s="60" t="n"/>
      <c r="S307" s="59" t="n"/>
      <c r="T307" s="60" t="n"/>
      <c r="U307" s="59" t="n"/>
      <c r="V307" s="45">
        <f>IF(OR($A307="",$T307="",$T307="No Issue"),"",IF($T307="Resolved",IF($U307="","",$U307-$A307),TODAY()-$A307))</f>
        <v/>
      </c>
      <c r="W307" s="47">
        <f>IF(AND($C307&lt;&gt;"",$C307='Store History'!$C$4,OR('Store History'!$C$5="",$F307='Store History'!$C$5)),1,0)</f>
        <v/>
      </c>
      <c r="X307" s="47">
        <f>IF($W307=1,SUM($W307:$W$1005),"")</f>
        <v/>
      </c>
    </row>
    <row r="308">
      <c r="A308" s="59" t="n"/>
      <c r="B308" s="60" t="n"/>
      <c r="C308" s="60" t="n"/>
      <c r="D308" s="45">
        <f>IF($C308="","",IFERROR(INDEX('Chain Program'!$B$6:$B$120,MATCH($C308,'Chain Program'!$A$6:$A$120,0)),"Unknown ID"))</f>
        <v/>
      </c>
      <c r="E308" s="45">
        <f>IF($C308="","",IFERROR(INDEX('Chain Program'!$D$6:$D$120,MATCH($C308,'Chain Program'!$A$6:$A$120,0)),"Unknown ID"))</f>
        <v/>
      </c>
      <c r="F308" s="60" t="n"/>
      <c r="G308" s="60" t="n"/>
      <c r="H308" s="56">
        <f>IF(OR($C308="",$A308=""),"",IF(COUNTIFS('Promo Calendar'!$A$6:$A$400,$C308,'Promo Calendar'!$D$6:$D$400,IF($G308="","All",$G308),'Promo Calendar'!$I$6:$I$400,"&lt;="&amp;$A308,'Promo Calendar'!$J$6:$J$400,"&gt;="&amp;$A308,'Promo Calendar'!$G$6:$G$400,"&gt;0")&gt;0,_xlfn.MINIFS('Promo Calendar'!$G$6:$G$400,'Promo Calendar'!$A$6:$A$400,$C308,'Promo Calendar'!$D$6:$D$400,IF($G308="","All",$G308),'Promo Calendar'!$I$6:$I$400,"&lt;="&amp;$A308,'Promo Calendar'!$J$6:$J$400,"&gt;="&amp;$A308,'Promo Calendar'!$G$6:$G$400,"&gt;0"),IF(COUNTIFS('Promo Calendar'!$A$6:$A$400,$C308,'Promo Calendar'!$D$6:$D$400,"All",'Promo Calendar'!$I$6:$I$400,"&lt;="&amp;$A308,'Promo Calendar'!$J$6:$J$400,"&gt;="&amp;$A308,'Promo Calendar'!$G$6:$G$400,"&gt;0")&gt;0,_xlfn.MINIFS('Promo Calendar'!$G$6:$G$400,'Promo Calendar'!$A$6:$A$400,$C308,'Promo Calendar'!$D$6:$D$400,"All",'Promo Calendar'!$I$6:$I$400,"&lt;="&amp;$A308,'Promo Calendar'!$J$6:$J$400,"&gt;="&amp;$A308,'Promo Calendar'!$G$6:$G$400,"&gt;0"),IFERROR(IF(INDEX('Chain Program'!$M$6:$M$120,MATCH($C308,'Chain Program'!$A$6:$A$120,0))="","Not set",INDEX('Chain Program'!$M$6:$M$120,MATCH($C308,'Chain Program'!$A$6:$A$120,0))),"Not set"))))</f>
        <v/>
      </c>
      <c r="I308" s="61" t="n"/>
      <c r="J308" s="45">
        <f>IF($I308="","",IF(NOT(ISNUMBER($H308)),"No plan price",IF(ABS($I308-$H308)&lt;0.005,"Match",IF($I308&gt;$H308,"Over plan","Under plan"))))</f>
        <v/>
      </c>
      <c r="K308" s="60" t="n"/>
      <c r="L308" s="60" t="n"/>
      <c r="M308" s="60" t="n"/>
      <c r="N308" s="60" t="n"/>
      <c r="O308" s="60" t="n"/>
      <c r="P308" s="62" t="n"/>
      <c r="Q308" s="62" t="n"/>
      <c r="R308" s="60" t="n"/>
      <c r="S308" s="59" t="n"/>
      <c r="T308" s="60" t="n"/>
      <c r="U308" s="59" t="n"/>
      <c r="V308" s="45">
        <f>IF(OR($A308="",$T308="",$T308="No Issue"),"",IF($T308="Resolved",IF($U308="","",$U308-$A308),TODAY()-$A308))</f>
        <v/>
      </c>
      <c r="W308" s="47">
        <f>IF(AND($C308&lt;&gt;"",$C308='Store History'!$C$4,OR('Store History'!$C$5="",$F308='Store History'!$C$5)),1,0)</f>
        <v/>
      </c>
      <c r="X308" s="47">
        <f>IF($W308=1,SUM($W308:$W$1005),"")</f>
        <v/>
      </c>
    </row>
    <row r="309">
      <c r="A309" s="59" t="n"/>
      <c r="B309" s="60" t="n"/>
      <c r="C309" s="60" t="n"/>
      <c r="D309" s="45">
        <f>IF($C309="","",IFERROR(INDEX('Chain Program'!$B$6:$B$120,MATCH($C309,'Chain Program'!$A$6:$A$120,0)),"Unknown ID"))</f>
        <v/>
      </c>
      <c r="E309" s="45">
        <f>IF($C309="","",IFERROR(INDEX('Chain Program'!$D$6:$D$120,MATCH($C309,'Chain Program'!$A$6:$A$120,0)),"Unknown ID"))</f>
        <v/>
      </c>
      <c r="F309" s="60" t="n"/>
      <c r="G309" s="60" t="n"/>
      <c r="H309" s="56">
        <f>IF(OR($C309="",$A309=""),"",IF(COUNTIFS('Promo Calendar'!$A$6:$A$400,$C309,'Promo Calendar'!$D$6:$D$400,IF($G309="","All",$G309),'Promo Calendar'!$I$6:$I$400,"&lt;="&amp;$A309,'Promo Calendar'!$J$6:$J$400,"&gt;="&amp;$A309,'Promo Calendar'!$G$6:$G$400,"&gt;0")&gt;0,_xlfn.MINIFS('Promo Calendar'!$G$6:$G$400,'Promo Calendar'!$A$6:$A$400,$C309,'Promo Calendar'!$D$6:$D$400,IF($G309="","All",$G309),'Promo Calendar'!$I$6:$I$400,"&lt;="&amp;$A309,'Promo Calendar'!$J$6:$J$400,"&gt;="&amp;$A309,'Promo Calendar'!$G$6:$G$400,"&gt;0"),IF(COUNTIFS('Promo Calendar'!$A$6:$A$400,$C309,'Promo Calendar'!$D$6:$D$400,"All",'Promo Calendar'!$I$6:$I$400,"&lt;="&amp;$A309,'Promo Calendar'!$J$6:$J$400,"&gt;="&amp;$A309,'Promo Calendar'!$G$6:$G$400,"&gt;0")&gt;0,_xlfn.MINIFS('Promo Calendar'!$G$6:$G$400,'Promo Calendar'!$A$6:$A$400,$C309,'Promo Calendar'!$D$6:$D$400,"All",'Promo Calendar'!$I$6:$I$400,"&lt;="&amp;$A309,'Promo Calendar'!$J$6:$J$400,"&gt;="&amp;$A309,'Promo Calendar'!$G$6:$G$400,"&gt;0"),IFERROR(IF(INDEX('Chain Program'!$M$6:$M$120,MATCH($C309,'Chain Program'!$A$6:$A$120,0))="","Not set",INDEX('Chain Program'!$M$6:$M$120,MATCH($C309,'Chain Program'!$A$6:$A$120,0))),"Not set"))))</f>
        <v/>
      </c>
      <c r="I309" s="61" t="n"/>
      <c r="J309" s="45">
        <f>IF($I309="","",IF(NOT(ISNUMBER($H309)),"No plan price",IF(ABS($I309-$H309)&lt;0.005,"Match",IF($I309&gt;$H309,"Over plan","Under plan"))))</f>
        <v/>
      </c>
      <c r="K309" s="60" t="n"/>
      <c r="L309" s="60" t="n"/>
      <c r="M309" s="60" t="n"/>
      <c r="N309" s="60" t="n"/>
      <c r="O309" s="60" t="n"/>
      <c r="P309" s="62" t="n"/>
      <c r="Q309" s="62" t="n"/>
      <c r="R309" s="60" t="n"/>
      <c r="S309" s="59" t="n"/>
      <c r="T309" s="60" t="n"/>
      <c r="U309" s="59" t="n"/>
      <c r="V309" s="45">
        <f>IF(OR($A309="",$T309="",$T309="No Issue"),"",IF($T309="Resolved",IF($U309="","",$U309-$A309),TODAY()-$A309))</f>
        <v/>
      </c>
      <c r="W309" s="47">
        <f>IF(AND($C309&lt;&gt;"",$C309='Store History'!$C$4,OR('Store History'!$C$5="",$F309='Store History'!$C$5)),1,0)</f>
        <v/>
      </c>
      <c r="X309" s="47">
        <f>IF($W309=1,SUM($W309:$W$1005),"")</f>
        <v/>
      </c>
    </row>
    <row r="310">
      <c r="A310" s="59" t="n"/>
      <c r="B310" s="60" t="n"/>
      <c r="C310" s="60" t="n"/>
      <c r="D310" s="45">
        <f>IF($C310="","",IFERROR(INDEX('Chain Program'!$B$6:$B$120,MATCH($C310,'Chain Program'!$A$6:$A$120,0)),"Unknown ID"))</f>
        <v/>
      </c>
      <c r="E310" s="45">
        <f>IF($C310="","",IFERROR(INDEX('Chain Program'!$D$6:$D$120,MATCH($C310,'Chain Program'!$A$6:$A$120,0)),"Unknown ID"))</f>
        <v/>
      </c>
      <c r="F310" s="60" t="n"/>
      <c r="G310" s="60" t="n"/>
      <c r="H310" s="56">
        <f>IF(OR($C310="",$A310=""),"",IF(COUNTIFS('Promo Calendar'!$A$6:$A$400,$C310,'Promo Calendar'!$D$6:$D$400,IF($G310="","All",$G310),'Promo Calendar'!$I$6:$I$400,"&lt;="&amp;$A310,'Promo Calendar'!$J$6:$J$400,"&gt;="&amp;$A310,'Promo Calendar'!$G$6:$G$400,"&gt;0")&gt;0,_xlfn.MINIFS('Promo Calendar'!$G$6:$G$400,'Promo Calendar'!$A$6:$A$400,$C310,'Promo Calendar'!$D$6:$D$400,IF($G310="","All",$G310),'Promo Calendar'!$I$6:$I$400,"&lt;="&amp;$A310,'Promo Calendar'!$J$6:$J$400,"&gt;="&amp;$A310,'Promo Calendar'!$G$6:$G$400,"&gt;0"),IF(COUNTIFS('Promo Calendar'!$A$6:$A$400,$C310,'Promo Calendar'!$D$6:$D$400,"All",'Promo Calendar'!$I$6:$I$400,"&lt;="&amp;$A310,'Promo Calendar'!$J$6:$J$400,"&gt;="&amp;$A310,'Promo Calendar'!$G$6:$G$400,"&gt;0")&gt;0,_xlfn.MINIFS('Promo Calendar'!$G$6:$G$400,'Promo Calendar'!$A$6:$A$400,$C310,'Promo Calendar'!$D$6:$D$400,"All",'Promo Calendar'!$I$6:$I$400,"&lt;="&amp;$A310,'Promo Calendar'!$J$6:$J$400,"&gt;="&amp;$A310,'Promo Calendar'!$G$6:$G$400,"&gt;0"),IFERROR(IF(INDEX('Chain Program'!$M$6:$M$120,MATCH($C310,'Chain Program'!$A$6:$A$120,0))="","Not set",INDEX('Chain Program'!$M$6:$M$120,MATCH($C310,'Chain Program'!$A$6:$A$120,0))),"Not set"))))</f>
        <v/>
      </c>
      <c r="I310" s="61" t="n"/>
      <c r="J310" s="45">
        <f>IF($I310="","",IF(NOT(ISNUMBER($H310)),"No plan price",IF(ABS($I310-$H310)&lt;0.005,"Match",IF($I310&gt;$H310,"Over plan","Under plan"))))</f>
        <v/>
      </c>
      <c r="K310" s="60" t="n"/>
      <c r="L310" s="60" t="n"/>
      <c r="M310" s="60" t="n"/>
      <c r="N310" s="60" t="n"/>
      <c r="O310" s="60" t="n"/>
      <c r="P310" s="62" t="n"/>
      <c r="Q310" s="62" t="n"/>
      <c r="R310" s="60" t="n"/>
      <c r="S310" s="59" t="n"/>
      <c r="T310" s="60" t="n"/>
      <c r="U310" s="59" t="n"/>
      <c r="V310" s="45">
        <f>IF(OR($A310="",$T310="",$T310="No Issue"),"",IF($T310="Resolved",IF($U310="","",$U310-$A310),TODAY()-$A310))</f>
        <v/>
      </c>
      <c r="W310" s="47">
        <f>IF(AND($C310&lt;&gt;"",$C310='Store History'!$C$4,OR('Store History'!$C$5="",$F310='Store History'!$C$5)),1,0)</f>
        <v/>
      </c>
      <c r="X310" s="47">
        <f>IF($W310=1,SUM($W310:$W$1005),"")</f>
        <v/>
      </c>
    </row>
    <row r="311">
      <c r="A311" s="59" t="n"/>
      <c r="B311" s="60" t="n"/>
      <c r="C311" s="60" t="n"/>
      <c r="D311" s="45">
        <f>IF($C311="","",IFERROR(INDEX('Chain Program'!$B$6:$B$120,MATCH($C311,'Chain Program'!$A$6:$A$120,0)),"Unknown ID"))</f>
        <v/>
      </c>
      <c r="E311" s="45">
        <f>IF($C311="","",IFERROR(INDEX('Chain Program'!$D$6:$D$120,MATCH($C311,'Chain Program'!$A$6:$A$120,0)),"Unknown ID"))</f>
        <v/>
      </c>
      <c r="F311" s="60" t="n"/>
      <c r="G311" s="60" t="n"/>
      <c r="H311" s="56">
        <f>IF(OR($C311="",$A311=""),"",IF(COUNTIFS('Promo Calendar'!$A$6:$A$400,$C311,'Promo Calendar'!$D$6:$D$400,IF($G311="","All",$G311),'Promo Calendar'!$I$6:$I$400,"&lt;="&amp;$A311,'Promo Calendar'!$J$6:$J$400,"&gt;="&amp;$A311,'Promo Calendar'!$G$6:$G$400,"&gt;0")&gt;0,_xlfn.MINIFS('Promo Calendar'!$G$6:$G$400,'Promo Calendar'!$A$6:$A$400,$C311,'Promo Calendar'!$D$6:$D$400,IF($G311="","All",$G311),'Promo Calendar'!$I$6:$I$400,"&lt;="&amp;$A311,'Promo Calendar'!$J$6:$J$400,"&gt;="&amp;$A311,'Promo Calendar'!$G$6:$G$400,"&gt;0"),IF(COUNTIFS('Promo Calendar'!$A$6:$A$400,$C311,'Promo Calendar'!$D$6:$D$400,"All",'Promo Calendar'!$I$6:$I$400,"&lt;="&amp;$A311,'Promo Calendar'!$J$6:$J$400,"&gt;="&amp;$A311,'Promo Calendar'!$G$6:$G$400,"&gt;0")&gt;0,_xlfn.MINIFS('Promo Calendar'!$G$6:$G$400,'Promo Calendar'!$A$6:$A$400,$C311,'Promo Calendar'!$D$6:$D$400,"All",'Promo Calendar'!$I$6:$I$400,"&lt;="&amp;$A311,'Promo Calendar'!$J$6:$J$400,"&gt;="&amp;$A311,'Promo Calendar'!$G$6:$G$400,"&gt;0"),IFERROR(IF(INDEX('Chain Program'!$M$6:$M$120,MATCH($C311,'Chain Program'!$A$6:$A$120,0))="","Not set",INDEX('Chain Program'!$M$6:$M$120,MATCH($C311,'Chain Program'!$A$6:$A$120,0))),"Not set"))))</f>
        <v/>
      </c>
      <c r="I311" s="61" t="n"/>
      <c r="J311" s="45">
        <f>IF($I311="","",IF(NOT(ISNUMBER($H311)),"No plan price",IF(ABS($I311-$H311)&lt;0.005,"Match",IF($I311&gt;$H311,"Over plan","Under plan"))))</f>
        <v/>
      </c>
      <c r="K311" s="60" t="n"/>
      <c r="L311" s="60" t="n"/>
      <c r="M311" s="60" t="n"/>
      <c r="N311" s="60" t="n"/>
      <c r="O311" s="60" t="n"/>
      <c r="P311" s="62" t="n"/>
      <c r="Q311" s="62" t="n"/>
      <c r="R311" s="60" t="n"/>
      <c r="S311" s="59" t="n"/>
      <c r="T311" s="60" t="n"/>
      <c r="U311" s="59" t="n"/>
      <c r="V311" s="45">
        <f>IF(OR($A311="",$T311="",$T311="No Issue"),"",IF($T311="Resolved",IF($U311="","",$U311-$A311),TODAY()-$A311))</f>
        <v/>
      </c>
      <c r="W311" s="47">
        <f>IF(AND($C311&lt;&gt;"",$C311='Store History'!$C$4,OR('Store History'!$C$5="",$F311='Store History'!$C$5)),1,0)</f>
        <v/>
      </c>
      <c r="X311" s="47">
        <f>IF($W311=1,SUM($W311:$W$1005),"")</f>
        <v/>
      </c>
    </row>
    <row r="312">
      <c r="A312" s="59" t="n"/>
      <c r="B312" s="60" t="n"/>
      <c r="C312" s="60" t="n"/>
      <c r="D312" s="45">
        <f>IF($C312="","",IFERROR(INDEX('Chain Program'!$B$6:$B$120,MATCH($C312,'Chain Program'!$A$6:$A$120,0)),"Unknown ID"))</f>
        <v/>
      </c>
      <c r="E312" s="45">
        <f>IF($C312="","",IFERROR(INDEX('Chain Program'!$D$6:$D$120,MATCH($C312,'Chain Program'!$A$6:$A$120,0)),"Unknown ID"))</f>
        <v/>
      </c>
      <c r="F312" s="60" t="n"/>
      <c r="G312" s="60" t="n"/>
      <c r="H312" s="56">
        <f>IF(OR($C312="",$A312=""),"",IF(COUNTIFS('Promo Calendar'!$A$6:$A$400,$C312,'Promo Calendar'!$D$6:$D$400,IF($G312="","All",$G312),'Promo Calendar'!$I$6:$I$400,"&lt;="&amp;$A312,'Promo Calendar'!$J$6:$J$400,"&gt;="&amp;$A312,'Promo Calendar'!$G$6:$G$400,"&gt;0")&gt;0,_xlfn.MINIFS('Promo Calendar'!$G$6:$G$400,'Promo Calendar'!$A$6:$A$400,$C312,'Promo Calendar'!$D$6:$D$400,IF($G312="","All",$G312),'Promo Calendar'!$I$6:$I$400,"&lt;="&amp;$A312,'Promo Calendar'!$J$6:$J$400,"&gt;="&amp;$A312,'Promo Calendar'!$G$6:$G$400,"&gt;0"),IF(COUNTIFS('Promo Calendar'!$A$6:$A$400,$C312,'Promo Calendar'!$D$6:$D$400,"All",'Promo Calendar'!$I$6:$I$400,"&lt;="&amp;$A312,'Promo Calendar'!$J$6:$J$400,"&gt;="&amp;$A312,'Promo Calendar'!$G$6:$G$400,"&gt;0")&gt;0,_xlfn.MINIFS('Promo Calendar'!$G$6:$G$400,'Promo Calendar'!$A$6:$A$400,$C312,'Promo Calendar'!$D$6:$D$400,"All",'Promo Calendar'!$I$6:$I$400,"&lt;="&amp;$A312,'Promo Calendar'!$J$6:$J$400,"&gt;="&amp;$A312,'Promo Calendar'!$G$6:$G$400,"&gt;0"),IFERROR(IF(INDEX('Chain Program'!$M$6:$M$120,MATCH($C312,'Chain Program'!$A$6:$A$120,0))="","Not set",INDEX('Chain Program'!$M$6:$M$120,MATCH($C312,'Chain Program'!$A$6:$A$120,0))),"Not set"))))</f>
        <v/>
      </c>
      <c r="I312" s="61" t="n"/>
      <c r="J312" s="45">
        <f>IF($I312="","",IF(NOT(ISNUMBER($H312)),"No plan price",IF(ABS($I312-$H312)&lt;0.005,"Match",IF($I312&gt;$H312,"Over plan","Under plan"))))</f>
        <v/>
      </c>
      <c r="K312" s="60" t="n"/>
      <c r="L312" s="60" t="n"/>
      <c r="M312" s="60" t="n"/>
      <c r="N312" s="60" t="n"/>
      <c r="O312" s="60" t="n"/>
      <c r="P312" s="62" t="n"/>
      <c r="Q312" s="62" t="n"/>
      <c r="R312" s="60" t="n"/>
      <c r="S312" s="59" t="n"/>
      <c r="T312" s="60" t="n"/>
      <c r="U312" s="59" t="n"/>
      <c r="V312" s="45">
        <f>IF(OR($A312="",$T312="",$T312="No Issue"),"",IF($T312="Resolved",IF($U312="","",$U312-$A312),TODAY()-$A312))</f>
        <v/>
      </c>
      <c r="W312" s="47">
        <f>IF(AND($C312&lt;&gt;"",$C312='Store History'!$C$4,OR('Store History'!$C$5="",$F312='Store History'!$C$5)),1,0)</f>
        <v/>
      </c>
      <c r="X312" s="47">
        <f>IF($W312=1,SUM($W312:$W$1005),"")</f>
        <v/>
      </c>
    </row>
    <row r="313">
      <c r="A313" s="59" t="n"/>
      <c r="B313" s="60" t="n"/>
      <c r="C313" s="60" t="n"/>
      <c r="D313" s="45">
        <f>IF($C313="","",IFERROR(INDEX('Chain Program'!$B$6:$B$120,MATCH($C313,'Chain Program'!$A$6:$A$120,0)),"Unknown ID"))</f>
        <v/>
      </c>
      <c r="E313" s="45">
        <f>IF($C313="","",IFERROR(INDEX('Chain Program'!$D$6:$D$120,MATCH($C313,'Chain Program'!$A$6:$A$120,0)),"Unknown ID"))</f>
        <v/>
      </c>
      <c r="F313" s="60" t="n"/>
      <c r="G313" s="60" t="n"/>
      <c r="H313" s="56">
        <f>IF(OR($C313="",$A313=""),"",IF(COUNTIFS('Promo Calendar'!$A$6:$A$400,$C313,'Promo Calendar'!$D$6:$D$400,IF($G313="","All",$G313),'Promo Calendar'!$I$6:$I$400,"&lt;="&amp;$A313,'Promo Calendar'!$J$6:$J$400,"&gt;="&amp;$A313,'Promo Calendar'!$G$6:$G$400,"&gt;0")&gt;0,_xlfn.MINIFS('Promo Calendar'!$G$6:$G$400,'Promo Calendar'!$A$6:$A$400,$C313,'Promo Calendar'!$D$6:$D$400,IF($G313="","All",$G313),'Promo Calendar'!$I$6:$I$400,"&lt;="&amp;$A313,'Promo Calendar'!$J$6:$J$400,"&gt;="&amp;$A313,'Promo Calendar'!$G$6:$G$400,"&gt;0"),IF(COUNTIFS('Promo Calendar'!$A$6:$A$400,$C313,'Promo Calendar'!$D$6:$D$400,"All",'Promo Calendar'!$I$6:$I$400,"&lt;="&amp;$A313,'Promo Calendar'!$J$6:$J$400,"&gt;="&amp;$A313,'Promo Calendar'!$G$6:$G$400,"&gt;0")&gt;0,_xlfn.MINIFS('Promo Calendar'!$G$6:$G$400,'Promo Calendar'!$A$6:$A$400,$C313,'Promo Calendar'!$D$6:$D$400,"All",'Promo Calendar'!$I$6:$I$400,"&lt;="&amp;$A313,'Promo Calendar'!$J$6:$J$400,"&gt;="&amp;$A313,'Promo Calendar'!$G$6:$G$400,"&gt;0"),IFERROR(IF(INDEX('Chain Program'!$M$6:$M$120,MATCH($C313,'Chain Program'!$A$6:$A$120,0))="","Not set",INDEX('Chain Program'!$M$6:$M$120,MATCH($C313,'Chain Program'!$A$6:$A$120,0))),"Not set"))))</f>
        <v/>
      </c>
      <c r="I313" s="61" t="n"/>
      <c r="J313" s="45">
        <f>IF($I313="","",IF(NOT(ISNUMBER($H313)),"No plan price",IF(ABS($I313-$H313)&lt;0.005,"Match",IF($I313&gt;$H313,"Over plan","Under plan"))))</f>
        <v/>
      </c>
      <c r="K313" s="60" t="n"/>
      <c r="L313" s="60" t="n"/>
      <c r="M313" s="60" t="n"/>
      <c r="N313" s="60" t="n"/>
      <c r="O313" s="60" t="n"/>
      <c r="P313" s="62" t="n"/>
      <c r="Q313" s="62" t="n"/>
      <c r="R313" s="60" t="n"/>
      <c r="S313" s="59" t="n"/>
      <c r="T313" s="60" t="n"/>
      <c r="U313" s="59" t="n"/>
      <c r="V313" s="45">
        <f>IF(OR($A313="",$T313="",$T313="No Issue"),"",IF($T313="Resolved",IF($U313="","",$U313-$A313),TODAY()-$A313))</f>
        <v/>
      </c>
      <c r="W313" s="47">
        <f>IF(AND($C313&lt;&gt;"",$C313='Store History'!$C$4,OR('Store History'!$C$5="",$F313='Store History'!$C$5)),1,0)</f>
        <v/>
      </c>
      <c r="X313" s="47">
        <f>IF($W313=1,SUM($W313:$W$1005),"")</f>
        <v/>
      </c>
    </row>
    <row r="314">
      <c r="A314" s="59" t="n"/>
      <c r="B314" s="60" t="n"/>
      <c r="C314" s="60" t="n"/>
      <c r="D314" s="45">
        <f>IF($C314="","",IFERROR(INDEX('Chain Program'!$B$6:$B$120,MATCH($C314,'Chain Program'!$A$6:$A$120,0)),"Unknown ID"))</f>
        <v/>
      </c>
      <c r="E314" s="45">
        <f>IF($C314="","",IFERROR(INDEX('Chain Program'!$D$6:$D$120,MATCH($C314,'Chain Program'!$A$6:$A$120,0)),"Unknown ID"))</f>
        <v/>
      </c>
      <c r="F314" s="60" t="n"/>
      <c r="G314" s="60" t="n"/>
      <c r="H314" s="56">
        <f>IF(OR($C314="",$A314=""),"",IF(COUNTIFS('Promo Calendar'!$A$6:$A$400,$C314,'Promo Calendar'!$D$6:$D$400,IF($G314="","All",$G314),'Promo Calendar'!$I$6:$I$400,"&lt;="&amp;$A314,'Promo Calendar'!$J$6:$J$400,"&gt;="&amp;$A314,'Promo Calendar'!$G$6:$G$400,"&gt;0")&gt;0,_xlfn.MINIFS('Promo Calendar'!$G$6:$G$400,'Promo Calendar'!$A$6:$A$400,$C314,'Promo Calendar'!$D$6:$D$400,IF($G314="","All",$G314),'Promo Calendar'!$I$6:$I$400,"&lt;="&amp;$A314,'Promo Calendar'!$J$6:$J$400,"&gt;="&amp;$A314,'Promo Calendar'!$G$6:$G$400,"&gt;0"),IF(COUNTIFS('Promo Calendar'!$A$6:$A$400,$C314,'Promo Calendar'!$D$6:$D$400,"All",'Promo Calendar'!$I$6:$I$400,"&lt;="&amp;$A314,'Promo Calendar'!$J$6:$J$400,"&gt;="&amp;$A314,'Promo Calendar'!$G$6:$G$400,"&gt;0")&gt;0,_xlfn.MINIFS('Promo Calendar'!$G$6:$G$400,'Promo Calendar'!$A$6:$A$400,$C314,'Promo Calendar'!$D$6:$D$400,"All",'Promo Calendar'!$I$6:$I$400,"&lt;="&amp;$A314,'Promo Calendar'!$J$6:$J$400,"&gt;="&amp;$A314,'Promo Calendar'!$G$6:$G$400,"&gt;0"),IFERROR(IF(INDEX('Chain Program'!$M$6:$M$120,MATCH($C314,'Chain Program'!$A$6:$A$120,0))="","Not set",INDEX('Chain Program'!$M$6:$M$120,MATCH($C314,'Chain Program'!$A$6:$A$120,0))),"Not set"))))</f>
        <v/>
      </c>
      <c r="I314" s="61" t="n"/>
      <c r="J314" s="45">
        <f>IF($I314="","",IF(NOT(ISNUMBER($H314)),"No plan price",IF(ABS($I314-$H314)&lt;0.005,"Match",IF($I314&gt;$H314,"Over plan","Under plan"))))</f>
        <v/>
      </c>
      <c r="K314" s="60" t="n"/>
      <c r="L314" s="60" t="n"/>
      <c r="M314" s="60" t="n"/>
      <c r="N314" s="60" t="n"/>
      <c r="O314" s="60" t="n"/>
      <c r="P314" s="62" t="n"/>
      <c r="Q314" s="62" t="n"/>
      <c r="R314" s="60" t="n"/>
      <c r="S314" s="59" t="n"/>
      <c r="T314" s="60" t="n"/>
      <c r="U314" s="59" t="n"/>
      <c r="V314" s="45">
        <f>IF(OR($A314="",$T314="",$T314="No Issue"),"",IF($T314="Resolved",IF($U314="","",$U314-$A314),TODAY()-$A314))</f>
        <v/>
      </c>
      <c r="W314" s="47">
        <f>IF(AND($C314&lt;&gt;"",$C314='Store History'!$C$4,OR('Store History'!$C$5="",$F314='Store History'!$C$5)),1,0)</f>
        <v/>
      </c>
      <c r="X314" s="47">
        <f>IF($W314=1,SUM($W314:$W$1005),"")</f>
        <v/>
      </c>
    </row>
    <row r="315">
      <c r="A315" s="59" t="n"/>
      <c r="B315" s="60" t="n"/>
      <c r="C315" s="60" t="n"/>
      <c r="D315" s="45">
        <f>IF($C315="","",IFERROR(INDEX('Chain Program'!$B$6:$B$120,MATCH($C315,'Chain Program'!$A$6:$A$120,0)),"Unknown ID"))</f>
        <v/>
      </c>
      <c r="E315" s="45">
        <f>IF($C315="","",IFERROR(INDEX('Chain Program'!$D$6:$D$120,MATCH($C315,'Chain Program'!$A$6:$A$120,0)),"Unknown ID"))</f>
        <v/>
      </c>
      <c r="F315" s="60" t="n"/>
      <c r="G315" s="60" t="n"/>
      <c r="H315" s="56">
        <f>IF(OR($C315="",$A315=""),"",IF(COUNTIFS('Promo Calendar'!$A$6:$A$400,$C315,'Promo Calendar'!$D$6:$D$400,IF($G315="","All",$G315),'Promo Calendar'!$I$6:$I$400,"&lt;="&amp;$A315,'Promo Calendar'!$J$6:$J$400,"&gt;="&amp;$A315,'Promo Calendar'!$G$6:$G$400,"&gt;0")&gt;0,_xlfn.MINIFS('Promo Calendar'!$G$6:$G$400,'Promo Calendar'!$A$6:$A$400,$C315,'Promo Calendar'!$D$6:$D$400,IF($G315="","All",$G315),'Promo Calendar'!$I$6:$I$400,"&lt;="&amp;$A315,'Promo Calendar'!$J$6:$J$400,"&gt;="&amp;$A315,'Promo Calendar'!$G$6:$G$400,"&gt;0"),IF(COUNTIFS('Promo Calendar'!$A$6:$A$400,$C315,'Promo Calendar'!$D$6:$D$400,"All",'Promo Calendar'!$I$6:$I$400,"&lt;="&amp;$A315,'Promo Calendar'!$J$6:$J$400,"&gt;="&amp;$A315,'Promo Calendar'!$G$6:$G$400,"&gt;0")&gt;0,_xlfn.MINIFS('Promo Calendar'!$G$6:$G$400,'Promo Calendar'!$A$6:$A$400,$C315,'Promo Calendar'!$D$6:$D$400,"All",'Promo Calendar'!$I$6:$I$400,"&lt;="&amp;$A315,'Promo Calendar'!$J$6:$J$400,"&gt;="&amp;$A315,'Promo Calendar'!$G$6:$G$400,"&gt;0"),IFERROR(IF(INDEX('Chain Program'!$M$6:$M$120,MATCH($C315,'Chain Program'!$A$6:$A$120,0))="","Not set",INDEX('Chain Program'!$M$6:$M$120,MATCH($C315,'Chain Program'!$A$6:$A$120,0))),"Not set"))))</f>
        <v/>
      </c>
      <c r="I315" s="61" t="n"/>
      <c r="J315" s="45">
        <f>IF($I315="","",IF(NOT(ISNUMBER($H315)),"No plan price",IF(ABS($I315-$H315)&lt;0.005,"Match",IF($I315&gt;$H315,"Over plan","Under plan"))))</f>
        <v/>
      </c>
      <c r="K315" s="60" t="n"/>
      <c r="L315" s="60" t="n"/>
      <c r="M315" s="60" t="n"/>
      <c r="N315" s="60" t="n"/>
      <c r="O315" s="60" t="n"/>
      <c r="P315" s="62" t="n"/>
      <c r="Q315" s="62" t="n"/>
      <c r="R315" s="60" t="n"/>
      <c r="S315" s="59" t="n"/>
      <c r="T315" s="60" t="n"/>
      <c r="U315" s="59" t="n"/>
      <c r="V315" s="45">
        <f>IF(OR($A315="",$T315="",$T315="No Issue"),"",IF($T315="Resolved",IF($U315="","",$U315-$A315),TODAY()-$A315))</f>
        <v/>
      </c>
      <c r="W315" s="47">
        <f>IF(AND($C315&lt;&gt;"",$C315='Store History'!$C$4,OR('Store History'!$C$5="",$F315='Store History'!$C$5)),1,0)</f>
        <v/>
      </c>
      <c r="X315" s="47">
        <f>IF($W315=1,SUM($W315:$W$1005),"")</f>
        <v/>
      </c>
    </row>
    <row r="316">
      <c r="A316" s="59" t="n"/>
      <c r="B316" s="60" t="n"/>
      <c r="C316" s="60" t="n"/>
      <c r="D316" s="45">
        <f>IF($C316="","",IFERROR(INDEX('Chain Program'!$B$6:$B$120,MATCH($C316,'Chain Program'!$A$6:$A$120,0)),"Unknown ID"))</f>
        <v/>
      </c>
      <c r="E316" s="45">
        <f>IF($C316="","",IFERROR(INDEX('Chain Program'!$D$6:$D$120,MATCH($C316,'Chain Program'!$A$6:$A$120,0)),"Unknown ID"))</f>
        <v/>
      </c>
      <c r="F316" s="60" t="n"/>
      <c r="G316" s="60" t="n"/>
      <c r="H316" s="56">
        <f>IF(OR($C316="",$A316=""),"",IF(COUNTIFS('Promo Calendar'!$A$6:$A$400,$C316,'Promo Calendar'!$D$6:$D$400,IF($G316="","All",$G316),'Promo Calendar'!$I$6:$I$400,"&lt;="&amp;$A316,'Promo Calendar'!$J$6:$J$400,"&gt;="&amp;$A316,'Promo Calendar'!$G$6:$G$400,"&gt;0")&gt;0,_xlfn.MINIFS('Promo Calendar'!$G$6:$G$400,'Promo Calendar'!$A$6:$A$400,$C316,'Promo Calendar'!$D$6:$D$400,IF($G316="","All",$G316),'Promo Calendar'!$I$6:$I$400,"&lt;="&amp;$A316,'Promo Calendar'!$J$6:$J$400,"&gt;="&amp;$A316,'Promo Calendar'!$G$6:$G$400,"&gt;0"),IF(COUNTIFS('Promo Calendar'!$A$6:$A$400,$C316,'Promo Calendar'!$D$6:$D$400,"All",'Promo Calendar'!$I$6:$I$400,"&lt;="&amp;$A316,'Promo Calendar'!$J$6:$J$400,"&gt;="&amp;$A316,'Promo Calendar'!$G$6:$G$400,"&gt;0")&gt;0,_xlfn.MINIFS('Promo Calendar'!$G$6:$G$400,'Promo Calendar'!$A$6:$A$400,$C316,'Promo Calendar'!$D$6:$D$400,"All",'Promo Calendar'!$I$6:$I$400,"&lt;="&amp;$A316,'Promo Calendar'!$J$6:$J$400,"&gt;="&amp;$A316,'Promo Calendar'!$G$6:$G$400,"&gt;0"),IFERROR(IF(INDEX('Chain Program'!$M$6:$M$120,MATCH($C316,'Chain Program'!$A$6:$A$120,0))="","Not set",INDEX('Chain Program'!$M$6:$M$120,MATCH($C316,'Chain Program'!$A$6:$A$120,0))),"Not set"))))</f>
        <v/>
      </c>
      <c r="I316" s="61" t="n"/>
      <c r="J316" s="45">
        <f>IF($I316="","",IF(NOT(ISNUMBER($H316)),"No plan price",IF(ABS($I316-$H316)&lt;0.005,"Match",IF($I316&gt;$H316,"Over plan","Under plan"))))</f>
        <v/>
      </c>
      <c r="K316" s="60" t="n"/>
      <c r="L316" s="60" t="n"/>
      <c r="M316" s="60" t="n"/>
      <c r="N316" s="60" t="n"/>
      <c r="O316" s="60" t="n"/>
      <c r="P316" s="62" t="n"/>
      <c r="Q316" s="62" t="n"/>
      <c r="R316" s="60" t="n"/>
      <c r="S316" s="59" t="n"/>
      <c r="T316" s="60" t="n"/>
      <c r="U316" s="59" t="n"/>
      <c r="V316" s="45">
        <f>IF(OR($A316="",$T316="",$T316="No Issue"),"",IF($T316="Resolved",IF($U316="","",$U316-$A316),TODAY()-$A316))</f>
        <v/>
      </c>
      <c r="W316" s="47">
        <f>IF(AND($C316&lt;&gt;"",$C316='Store History'!$C$4,OR('Store History'!$C$5="",$F316='Store History'!$C$5)),1,0)</f>
        <v/>
      </c>
      <c r="X316" s="47">
        <f>IF($W316=1,SUM($W316:$W$1005),"")</f>
        <v/>
      </c>
    </row>
    <row r="317">
      <c r="A317" s="59" t="n"/>
      <c r="B317" s="60" t="n"/>
      <c r="C317" s="60" t="n"/>
      <c r="D317" s="45">
        <f>IF($C317="","",IFERROR(INDEX('Chain Program'!$B$6:$B$120,MATCH($C317,'Chain Program'!$A$6:$A$120,0)),"Unknown ID"))</f>
        <v/>
      </c>
      <c r="E317" s="45">
        <f>IF($C317="","",IFERROR(INDEX('Chain Program'!$D$6:$D$120,MATCH($C317,'Chain Program'!$A$6:$A$120,0)),"Unknown ID"))</f>
        <v/>
      </c>
      <c r="F317" s="60" t="n"/>
      <c r="G317" s="60" t="n"/>
      <c r="H317" s="56">
        <f>IF(OR($C317="",$A317=""),"",IF(COUNTIFS('Promo Calendar'!$A$6:$A$400,$C317,'Promo Calendar'!$D$6:$D$400,IF($G317="","All",$G317),'Promo Calendar'!$I$6:$I$400,"&lt;="&amp;$A317,'Promo Calendar'!$J$6:$J$400,"&gt;="&amp;$A317,'Promo Calendar'!$G$6:$G$400,"&gt;0")&gt;0,_xlfn.MINIFS('Promo Calendar'!$G$6:$G$400,'Promo Calendar'!$A$6:$A$400,$C317,'Promo Calendar'!$D$6:$D$400,IF($G317="","All",$G317),'Promo Calendar'!$I$6:$I$400,"&lt;="&amp;$A317,'Promo Calendar'!$J$6:$J$400,"&gt;="&amp;$A317,'Promo Calendar'!$G$6:$G$400,"&gt;0"),IF(COUNTIFS('Promo Calendar'!$A$6:$A$400,$C317,'Promo Calendar'!$D$6:$D$400,"All",'Promo Calendar'!$I$6:$I$400,"&lt;="&amp;$A317,'Promo Calendar'!$J$6:$J$400,"&gt;="&amp;$A317,'Promo Calendar'!$G$6:$G$400,"&gt;0")&gt;0,_xlfn.MINIFS('Promo Calendar'!$G$6:$G$400,'Promo Calendar'!$A$6:$A$400,$C317,'Promo Calendar'!$D$6:$D$400,"All",'Promo Calendar'!$I$6:$I$400,"&lt;="&amp;$A317,'Promo Calendar'!$J$6:$J$400,"&gt;="&amp;$A317,'Promo Calendar'!$G$6:$G$400,"&gt;0"),IFERROR(IF(INDEX('Chain Program'!$M$6:$M$120,MATCH($C317,'Chain Program'!$A$6:$A$120,0))="","Not set",INDEX('Chain Program'!$M$6:$M$120,MATCH($C317,'Chain Program'!$A$6:$A$120,0))),"Not set"))))</f>
        <v/>
      </c>
      <c r="I317" s="61" t="n"/>
      <c r="J317" s="45">
        <f>IF($I317="","",IF(NOT(ISNUMBER($H317)),"No plan price",IF(ABS($I317-$H317)&lt;0.005,"Match",IF($I317&gt;$H317,"Over plan","Under plan"))))</f>
        <v/>
      </c>
      <c r="K317" s="60" t="n"/>
      <c r="L317" s="60" t="n"/>
      <c r="M317" s="60" t="n"/>
      <c r="N317" s="60" t="n"/>
      <c r="O317" s="60" t="n"/>
      <c r="P317" s="62" t="n"/>
      <c r="Q317" s="62" t="n"/>
      <c r="R317" s="60" t="n"/>
      <c r="S317" s="59" t="n"/>
      <c r="T317" s="60" t="n"/>
      <c r="U317" s="59" t="n"/>
      <c r="V317" s="45">
        <f>IF(OR($A317="",$T317="",$T317="No Issue"),"",IF($T317="Resolved",IF($U317="","",$U317-$A317),TODAY()-$A317))</f>
        <v/>
      </c>
      <c r="W317" s="47">
        <f>IF(AND($C317&lt;&gt;"",$C317='Store History'!$C$4,OR('Store History'!$C$5="",$F317='Store History'!$C$5)),1,0)</f>
        <v/>
      </c>
      <c r="X317" s="47">
        <f>IF($W317=1,SUM($W317:$W$1005),"")</f>
        <v/>
      </c>
    </row>
    <row r="318">
      <c r="A318" s="59" t="n"/>
      <c r="B318" s="60" t="n"/>
      <c r="C318" s="60" t="n"/>
      <c r="D318" s="45">
        <f>IF($C318="","",IFERROR(INDEX('Chain Program'!$B$6:$B$120,MATCH($C318,'Chain Program'!$A$6:$A$120,0)),"Unknown ID"))</f>
        <v/>
      </c>
      <c r="E318" s="45">
        <f>IF($C318="","",IFERROR(INDEX('Chain Program'!$D$6:$D$120,MATCH($C318,'Chain Program'!$A$6:$A$120,0)),"Unknown ID"))</f>
        <v/>
      </c>
      <c r="F318" s="60" t="n"/>
      <c r="G318" s="60" t="n"/>
      <c r="H318" s="56">
        <f>IF(OR($C318="",$A318=""),"",IF(COUNTIFS('Promo Calendar'!$A$6:$A$400,$C318,'Promo Calendar'!$D$6:$D$400,IF($G318="","All",$G318),'Promo Calendar'!$I$6:$I$400,"&lt;="&amp;$A318,'Promo Calendar'!$J$6:$J$400,"&gt;="&amp;$A318,'Promo Calendar'!$G$6:$G$400,"&gt;0")&gt;0,_xlfn.MINIFS('Promo Calendar'!$G$6:$G$400,'Promo Calendar'!$A$6:$A$400,$C318,'Promo Calendar'!$D$6:$D$400,IF($G318="","All",$G318),'Promo Calendar'!$I$6:$I$400,"&lt;="&amp;$A318,'Promo Calendar'!$J$6:$J$400,"&gt;="&amp;$A318,'Promo Calendar'!$G$6:$G$400,"&gt;0"),IF(COUNTIFS('Promo Calendar'!$A$6:$A$400,$C318,'Promo Calendar'!$D$6:$D$400,"All",'Promo Calendar'!$I$6:$I$400,"&lt;="&amp;$A318,'Promo Calendar'!$J$6:$J$400,"&gt;="&amp;$A318,'Promo Calendar'!$G$6:$G$400,"&gt;0")&gt;0,_xlfn.MINIFS('Promo Calendar'!$G$6:$G$400,'Promo Calendar'!$A$6:$A$400,$C318,'Promo Calendar'!$D$6:$D$400,"All",'Promo Calendar'!$I$6:$I$400,"&lt;="&amp;$A318,'Promo Calendar'!$J$6:$J$400,"&gt;="&amp;$A318,'Promo Calendar'!$G$6:$G$400,"&gt;0"),IFERROR(IF(INDEX('Chain Program'!$M$6:$M$120,MATCH($C318,'Chain Program'!$A$6:$A$120,0))="","Not set",INDEX('Chain Program'!$M$6:$M$120,MATCH($C318,'Chain Program'!$A$6:$A$120,0))),"Not set"))))</f>
        <v/>
      </c>
      <c r="I318" s="61" t="n"/>
      <c r="J318" s="45">
        <f>IF($I318="","",IF(NOT(ISNUMBER($H318)),"No plan price",IF(ABS($I318-$H318)&lt;0.005,"Match",IF($I318&gt;$H318,"Over plan","Under plan"))))</f>
        <v/>
      </c>
      <c r="K318" s="60" t="n"/>
      <c r="L318" s="60" t="n"/>
      <c r="M318" s="60" t="n"/>
      <c r="N318" s="60" t="n"/>
      <c r="O318" s="60" t="n"/>
      <c r="P318" s="62" t="n"/>
      <c r="Q318" s="62" t="n"/>
      <c r="R318" s="60" t="n"/>
      <c r="S318" s="59" t="n"/>
      <c r="T318" s="60" t="n"/>
      <c r="U318" s="59" t="n"/>
      <c r="V318" s="45">
        <f>IF(OR($A318="",$T318="",$T318="No Issue"),"",IF($T318="Resolved",IF($U318="","",$U318-$A318),TODAY()-$A318))</f>
        <v/>
      </c>
      <c r="W318" s="47">
        <f>IF(AND($C318&lt;&gt;"",$C318='Store History'!$C$4,OR('Store History'!$C$5="",$F318='Store History'!$C$5)),1,0)</f>
        <v/>
      </c>
      <c r="X318" s="47">
        <f>IF($W318=1,SUM($W318:$W$1005),"")</f>
        <v/>
      </c>
    </row>
    <row r="319">
      <c r="A319" s="59" t="n"/>
      <c r="B319" s="60" t="n"/>
      <c r="C319" s="60" t="n"/>
      <c r="D319" s="45">
        <f>IF($C319="","",IFERROR(INDEX('Chain Program'!$B$6:$B$120,MATCH($C319,'Chain Program'!$A$6:$A$120,0)),"Unknown ID"))</f>
        <v/>
      </c>
      <c r="E319" s="45">
        <f>IF($C319="","",IFERROR(INDEX('Chain Program'!$D$6:$D$120,MATCH($C319,'Chain Program'!$A$6:$A$120,0)),"Unknown ID"))</f>
        <v/>
      </c>
      <c r="F319" s="60" t="n"/>
      <c r="G319" s="60" t="n"/>
      <c r="H319" s="56">
        <f>IF(OR($C319="",$A319=""),"",IF(COUNTIFS('Promo Calendar'!$A$6:$A$400,$C319,'Promo Calendar'!$D$6:$D$400,IF($G319="","All",$G319),'Promo Calendar'!$I$6:$I$400,"&lt;="&amp;$A319,'Promo Calendar'!$J$6:$J$400,"&gt;="&amp;$A319,'Promo Calendar'!$G$6:$G$400,"&gt;0")&gt;0,_xlfn.MINIFS('Promo Calendar'!$G$6:$G$400,'Promo Calendar'!$A$6:$A$400,$C319,'Promo Calendar'!$D$6:$D$400,IF($G319="","All",$G319),'Promo Calendar'!$I$6:$I$400,"&lt;="&amp;$A319,'Promo Calendar'!$J$6:$J$400,"&gt;="&amp;$A319,'Promo Calendar'!$G$6:$G$400,"&gt;0"),IF(COUNTIFS('Promo Calendar'!$A$6:$A$400,$C319,'Promo Calendar'!$D$6:$D$400,"All",'Promo Calendar'!$I$6:$I$400,"&lt;="&amp;$A319,'Promo Calendar'!$J$6:$J$400,"&gt;="&amp;$A319,'Promo Calendar'!$G$6:$G$400,"&gt;0")&gt;0,_xlfn.MINIFS('Promo Calendar'!$G$6:$G$400,'Promo Calendar'!$A$6:$A$400,$C319,'Promo Calendar'!$D$6:$D$400,"All",'Promo Calendar'!$I$6:$I$400,"&lt;="&amp;$A319,'Promo Calendar'!$J$6:$J$400,"&gt;="&amp;$A319,'Promo Calendar'!$G$6:$G$400,"&gt;0"),IFERROR(IF(INDEX('Chain Program'!$M$6:$M$120,MATCH($C319,'Chain Program'!$A$6:$A$120,0))="","Not set",INDEX('Chain Program'!$M$6:$M$120,MATCH($C319,'Chain Program'!$A$6:$A$120,0))),"Not set"))))</f>
        <v/>
      </c>
      <c r="I319" s="61" t="n"/>
      <c r="J319" s="45">
        <f>IF($I319="","",IF(NOT(ISNUMBER($H319)),"No plan price",IF(ABS($I319-$H319)&lt;0.005,"Match",IF($I319&gt;$H319,"Over plan","Under plan"))))</f>
        <v/>
      </c>
      <c r="K319" s="60" t="n"/>
      <c r="L319" s="60" t="n"/>
      <c r="M319" s="60" t="n"/>
      <c r="N319" s="60" t="n"/>
      <c r="O319" s="60" t="n"/>
      <c r="P319" s="62" t="n"/>
      <c r="Q319" s="62" t="n"/>
      <c r="R319" s="60" t="n"/>
      <c r="S319" s="59" t="n"/>
      <c r="T319" s="60" t="n"/>
      <c r="U319" s="59" t="n"/>
      <c r="V319" s="45">
        <f>IF(OR($A319="",$T319="",$T319="No Issue"),"",IF($T319="Resolved",IF($U319="","",$U319-$A319),TODAY()-$A319))</f>
        <v/>
      </c>
      <c r="W319" s="47">
        <f>IF(AND($C319&lt;&gt;"",$C319='Store History'!$C$4,OR('Store History'!$C$5="",$F319='Store History'!$C$5)),1,0)</f>
        <v/>
      </c>
      <c r="X319" s="47">
        <f>IF($W319=1,SUM($W319:$W$1005),"")</f>
        <v/>
      </c>
    </row>
    <row r="320">
      <c r="A320" s="59" t="n"/>
      <c r="B320" s="60" t="n"/>
      <c r="C320" s="60" t="n"/>
      <c r="D320" s="45">
        <f>IF($C320="","",IFERROR(INDEX('Chain Program'!$B$6:$B$120,MATCH($C320,'Chain Program'!$A$6:$A$120,0)),"Unknown ID"))</f>
        <v/>
      </c>
      <c r="E320" s="45">
        <f>IF($C320="","",IFERROR(INDEX('Chain Program'!$D$6:$D$120,MATCH($C320,'Chain Program'!$A$6:$A$120,0)),"Unknown ID"))</f>
        <v/>
      </c>
      <c r="F320" s="60" t="n"/>
      <c r="G320" s="60" t="n"/>
      <c r="H320" s="56">
        <f>IF(OR($C320="",$A320=""),"",IF(COUNTIFS('Promo Calendar'!$A$6:$A$400,$C320,'Promo Calendar'!$D$6:$D$400,IF($G320="","All",$G320),'Promo Calendar'!$I$6:$I$400,"&lt;="&amp;$A320,'Promo Calendar'!$J$6:$J$400,"&gt;="&amp;$A320,'Promo Calendar'!$G$6:$G$400,"&gt;0")&gt;0,_xlfn.MINIFS('Promo Calendar'!$G$6:$G$400,'Promo Calendar'!$A$6:$A$400,$C320,'Promo Calendar'!$D$6:$D$400,IF($G320="","All",$G320),'Promo Calendar'!$I$6:$I$400,"&lt;="&amp;$A320,'Promo Calendar'!$J$6:$J$400,"&gt;="&amp;$A320,'Promo Calendar'!$G$6:$G$400,"&gt;0"),IF(COUNTIFS('Promo Calendar'!$A$6:$A$400,$C320,'Promo Calendar'!$D$6:$D$400,"All",'Promo Calendar'!$I$6:$I$400,"&lt;="&amp;$A320,'Promo Calendar'!$J$6:$J$400,"&gt;="&amp;$A320,'Promo Calendar'!$G$6:$G$400,"&gt;0")&gt;0,_xlfn.MINIFS('Promo Calendar'!$G$6:$G$400,'Promo Calendar'!$A$6:$A$400,$C320,'Promo Calendar'!$D$6:$D$400,"All",'Promo Calendar'!$I$6:$I$400,"&lt;="&amp;$A320,'Promo Calendar'!$J$6:$J$400,"&gt;="&amp;$A320,'Promo Calendar'!$G$6:$G$400,"&gt;0"),IFERROR(IF(INDEX('Chain Program'!$M$6:$M$120,MATCH($C320,'Chain Program'!$A$6:$A$120,0))="","Not set",INDEX('Chain Program'!$M$6:$M$120,MATCH($C320,'Chain Program'!$A$6:$A$120,0))),"Not set"))))</f>
        <v/>
      </c>
      <c r="I320" s="61" t="n"/>
      <c r="J320" s="45">
        <f>IF($I320="","",IF(NOT(ISNUMBER($H320)),"No plan price",IF(ABS($I320-$H320)&lt;0.005,"Match",IF($I320&gt;$H320,"Over plan","Under plan"))))</f>
        <v/>
      </c>
      <c r="K320" s="60" t="n"/>
      <c r="L320" s="60" t="n"/>
      <c r="M320" s="60" t="n"/>
      <c r="N320" s="60" t="n"/>
      <c r="O320" s="60" t="n"/>
      <c r="P320" s="62" t="n"/>
      <c r="Q320" s="62" t="n"/>
      <c r="R320" s="60" t="n"/>
      <c r="S320" s="59" t="n"/>
      <c r="T320" s="60" t="n"/>
      <c r="U320" s="59" t="n"/>
      <c r="V320" s="45">
        <f>IF(OR($A320="",$T320="",$T320="No Issue"),"",IF($T320="Resolved",IF($U320="","",$U320-$A320),TODAY()-$A320))</f>
        <v/>
      </c>
      <c r="W320" s="47">
        <f>IF(AND($C320&lt;&gt;"",$C320='Store History'!$C$4,OR('Store History'!$C$5="",$F320='Store History'!$C$5)),1,0)</f>
        <v/>
      </c>
      <c r="X320" s="47">
        <f>IF($W320=1,SUM($W320:$W$1005),"")</f>
        <v/>
      </c>
    </row>
    <row r="321">
      <c r="A321" s="59" t="n"/>
      <c r="B321" s="60" t="n"/>
      <c r="C321" s="60" t="n"/>
      <c r="D321" s="45">
        <f>IF($C321="","",IFERROR(INDEX('Chain Program'!$B$6:$B$120,MATCH($C321,'Chain Program'!$A$6:$A$120,0)),"Unknown ID"))</f>
        <v/>
      </c>
      <c r="E321" s="45">
        <f>IF($C321="","",IFERROR(INDEX('Chain Program'!$D$6:$D$120,MATCH($C321,'Chain Program'!$A$6:$A$120,0)),"Unknown ID"))</f>
        <v/>
      </c>
      <c r="F321" s="60" t="n"/>
      <c r="G321" s="60" t="n"/>
      <c r="H321" s="56">
        <f>IF(OR($C321="",$A321=""),"",IF(COUNTIFS('Promo Calendar'!$A$6:$A$400,$C321,'Promo Calendar'!$D$6:$D$400,IF($G321="","All",$G321),'Promo Calendar'!$I$6:$I$400,"&lt;="&amp;$A321,'Promo Calendar'!$J$6:$J$400,"&gt;="&amp;$A321,'Promo Calendar'!$G$6:$G$400,"&gt;0")&gt;0,_xlfn.MINIFS('Promo Calendar'!$G$6:$G$400,'Promo Calendar'!$A$6:$A$400,$C321,'Promo Calendar'!$D$6:$D$400,IF($G321="","All",$G321),'Promo Calendar'!$I$6:$I$400,"&lt;="&amp;$A321,'Promo Calendar'!$J$6:$J$400,"&gt;="&amp;$A321,'Promo Calendar'!$G$6:$G$400,"&gt;0"),IF(COUNTIFS('Promo Calendar'!$A$6:$A$400,$C321,'Promo Calendar'!$D$6:$D$400,"All",'Promo Calendar'!$I$6:$I$400,"&lt;="&amp;$A321,'Promo Calendar'!$J$6:$J$400,"&gt;="&amp;$A321,'Promo Calendar'!$G$6:$G$400,"&gt;0")&gt;0,_xlfn.MINIFS('Promo Calendar'!$G$6:$G$400,'Promo Calendar'!$A$6:$A$400,$C321,'Promo Calendar'!$D$6:$D$400,"All",'Promo Calendar'!$I$6:$I$400,"&lt;="&amp;$A321,'Promo Calendar'!$J$6:$J$400,"&gt;="&amp;$A321,'Promo Calendar'!$G$6:$G$400,"&gt;0"),IFERROR(IF(INDEX('Chain Program'!$M$6:$M$120,MATCH($C321,'Chain Program'!$A$6:$A$120,0))="","Not set",INDEX('Chain Program'!$M$6:$M$120,MATCH($C321,'Chain Program'!$A$6:$A$120,0))),"Not set"))))</f>
        <v/>
      </c>
      <c r="I321" s="61" t="n"/>
      <c r="J321" s="45">
        <f>IF($I321="","",IF(NOT(ISNUMBER($H321)),"No plan price",IF(ABS($I321-$H321)&lt;0.005,"Match",IF($I321&gt;$H321,"Over plan","Under plan"))))</f>
        <v/>
      </c>
      <c r="K321" s="60" t="n"/>
      <c r="L321" s="60" t="n"/>
      <c r="M321" s="60" t="n"/>
      <c r="N321" s="60" t="n"/>
      <c r="O321" s="60" t="n"/>
      <c r="P321" s="62" t="n"/>
      <c r="Q321" s="62" t="n"/>
      <c r="R321" s="60" t="n"/>
      <c r="S321" s="59" t="n"/>
      <c r="T321" s="60" t="n"/>
      <c r="U321" s="59" t="n"/>
      <c r="V321" s="45">
        <f>IF(OR($A321="",$T321="",$T321="No Issue"),"",IF($T321="Resolved",IF($U321="","",$U321-$A321),TODAY()-$A321))</f>
        <v/>
      </c>
      <c r="W321" s="47">
        <f>IF(AND($C321&lt;&gt;"",$C321='Store History'!$C$4,OR('Store History'!$C$5="",$F321='Store History'!$C$5)),1,0)</f>
        <v/>
      </c>
      <c r="X321" s="47">
        <f>IF($W321=1,SUM($W321:$W$1005),"")</f>
        <v/>
      </c>
    </row>
    <row r="322">
      <c r="A322" s="59" t="n"/>
      <c r="B322" s="60" t="n"/>
      <c r="C322" s="60" t="n"/>
      <c r="D322" s="45">
        <f>IF($C322="","",IFERROR(INDEX('Chain Program'!$B$6:$B$120,MATCH($C322,'Chain Program'!$A$6:$A$120,0)),"Unknown ID"))</f>
        <v/>
      </c>
      <c r="E322" s="45">
        <f>IF($C322="","",IFERROR(INDEX('Chain Program'!$D$6:$D$120,MATCH($C322,'Chain Program'!$A$6:$A$120,0)),"Unknown ID"))</f>
        <v/>
      </c>
      <c r="F322" s="60" t="n"/>
      <c r="G322" s="60" t="n"/>
      <c r="H322" s="56">
        <f>IF(OR($C322="",$A322=""),"",IF(COUNTIFS('Promo Calendar'!$A$6:$A$400,$C322,'Promo Calendar'!$D$6:$D$400,IF($G322="","All",$G322),'Promo Calendar'!$I$6:$I$400,"&lt;="&amp;$A322,'Promo Calendar'!$J$6:$J$400,"&gt;="&amp;$A322,'Promo Calendar'!$G$6:$G$400,"&gt;0")&gt;0,_xlfn.MINIFS('Promo Calendar'!$G$6:$G$400,'Promo Calendar'!$A$6:$A$400,$C322,'Promo Calendar'!$D$6:$D$400,IF($G322="","All",$G322),'Promo Calendar'!$I$6:$I$400,"&lt;="&amp;$A322,'Promo Calendar'!$J$6:$J$400,"&gt;="&amp;$A322,'Promo Calendar'!$G$6:$G$400,"&gt;0"),IF(COUNTIFS('Promo Calendar'!$A$6:$A$400,$C322,'Promo Calendar'!$D$6:$D$400,"All",'Promo Calendar'!$I$6:$I$400,"&lt;="&amp;$A322,'Promo Calendar'!$J$6:$J$400,"&gt;="&amp;$A322,'Promo Calendar'!$G$6:$G$400,"&gt;0")&gt;0,_xlfn.MINIFS('Promo Calendar'!$G$6:$G$400,'Promo Calendar'!$A$6:$A$400,$C322,'Promo Calendar'!$D$6:$D$400,"All",'Promo Calendar'!$I$6:$I$400,"&lt;="&amp;$A322,'Promo Calendar'!$J$6:$J$400,"&gt;="&amp;$A322,'Promo Calendar'!$G$6:$G$400,"&gt;0"),IFERROR(IF(INDEX('Chain Program'!$M$6:$M$120,MATCH($C322,'Chain Program'!$A$6:$A$120,0))="","Not set",INDEX('Chain Program'!$M$6:$M$120,MATCH($C322,'Chain Program'!$A$6:$A$120,0))),"Not set"))))</f>
        <v/>
      </c>
      <c r="I322" s="61" t="n"/>
      <c r="J322" s="45">
        <f>IF($I322="","",IF(NOT(ISNUMBER($H322)),"No plan price",IF(ABS($I322-$H322)&lt;0.005,"Match",IF($I322&gt;$H322,"Over plan","Under plan"))))</f>
        <v/>
      </c>
      <c r="K322" s="60" t="n"/>
      <c r="L322" s="60" t="n"/>
      <c r="M322" s="60" t="n"/>
      <c r="N322" s="60" t="n"/>
      <c r="O322" s="60" t="n"/>
      <c r="P322" s="62" t="n"/>
      <c r="Q322" s="62" t="n"/>
      <c r="R322" s="60" t="n"/>
      <c r="S322" s="59" t="n"/>
      <c r="T322" s="60" t="n"/>
      <c r="U322" s="59" t="n"/>
      <c r="V322" s="45">
        <f>IF(OR($A322="",$T322="",$T322="No Issue"),"",IF($T322="Resolved",IF($U322="","",$U322-$A322),TODAY()-$A322))</f>
        <v/>
      </c>
      <c r="W322" s="47">
        <f>IF(AND($C322&lt;&gt;"",$C322='Store History'!$C$4,OR('Store History'!$C$5="",$F322='Store History'!$C$5)),1,0)</f>
        <v/>
      </c>
      <c r="X322" s="47">
        <f>IF($W322=1,SUM($W322:$W$1005),"")</f>
        <v/>
      </c>
    </row>
    <row r="323">
      <c r="A323" s="59" t="n"/>
      <c r="B323" s="60" t="n"/>
      <c r="C323" s="60" t="n"/>
      <c r="D323" s="45">
        <f>IF($C323="","",IFERROR(INDEX('Chain Program'!$B$6:$B$120,MATCH($C323,'Chain Program'!$A$6:$A$120,0)),"Unknown ID"))</f>
        <v/>
      </c>
      <c r="E323" s="45">
        <f>IF($C323="","",IFERROR(INDEX('Chain Program'!$D$6:$D$120,MATCH($C323,'Chain Program'!$A$6:$A$120,0)),"Unknown ID"))</f>
        <v/>
      </c>
      <c r="F323" s="60" t="n"/>
      <c r="G323" s="60" t="n"/>
      <c r="H323" s="56">
        <f>IF(OR($C323="",$A323=""),"",IF(COUNTIFS('Promo Calendar'!$A$6:$A$400,$C323,'Promo Calendar'!$D$6:$D$400,IF($G323="","All",$G323),'Promo Calendar'!$I$6:$I$400,"&lt;="&amp;$A323,'Promo Calendar'!$J$6:$J$400,"&gt;="&amp;$A323,'Promo Calendar'!$G$6:$G$400,"&gt;0")&gt;0,_xlfn.MINIFS('Promo Calendar'!$G$6:$G$400,'Promo Calendar'!$A$6:$A$400,$C323,'Promo Calendar'!$D$6:$D$400,IF($G323="","All",$G323),'Promo Calendar'!$I$6:$I$400,"&lt;="&amp;$A323,'Promo Calendar'!$J$6:$J$400,"&gt;="&amp;$A323,'Promo Calendar'!$G$6:$G$400,"&gt;0"),IF(COUNTIFS('Promo Calendar'!$A$6:$A$400,$C323,'Promo Calendar'!$D$6:$D$400,"All",'Promo Calendar'!$I$6:$I$400,"&lt;="&amp;$A323,'Promo Calendar'!$J$6:$J$400,"&gt;="&amp;$A323,'Promo Calendar'!$G$6:$G$400,"&gt;0")&gt;0,_xlfn.MINIFS('Promo Calendar'!$G$6:$G$400,'Promo Calendar'!$A$6:$A$400,$C323,'Promo Calendar'!$D$6:$D$400,"All",'Promo Calendar'!$I$6:$I$400,"&lt;="&amp;$A323,'Promo Calendar'!$J$6:$J$400,"&gt;="&amp;$A323,'Promo Calendar'!$G$6:$G$400,"&gt;0"),IFERROR(IF(INDEX('Chain Program'!$M$6:$M$120,MATCH($C323,'Chain Program'!$A$6:$A$120,0))="","Not set",INDEX('Chain Program'!$M$6:$M$120,MATCH($C323,'Chain Program'!$A$6:$A$120,0))),"Not set"))))</f>
        <v/>
      </c>
      <c r="I323" s="61" t="n"/>
      <c r="J323" s="45">
        <f>IF($I323="","",IF(NOT(ISNUMBER($H323)),"No plan price",IF(ABS($I323-$H323)&lt;0.005,"Match",IF($I323&gt;$H323,"Over plan","Under plan"))))</f>
        <v/>
      </c>
      <c r="K323" s="60" t="n"/>
      <c r="L323" s="60" t="n"/>
      <c r="M323" s="60" t="n"/>
      <c r="N323" s="60" t="n"/>
      <c r="O323" s="60" t="n"/>
      <c r="P323" s="62" t="n"/>
      <c r="Q323" s="62" t="n"/>
      <c r="R323" s="60" t="n"/>
      <c r="S323" s="59" t="n"/>
      <c r="T323" s="60" t="n"/>
      <c r="U323" s="59" t="n"/>
      <c r="V323" s="45">
        <f>IF(OR($A323="",$T323="",$T323="No Issue"),"",IF($T323="Resolved",IF($U323="","",$U323-$A323),TODAY()-$A323))</f>
        <v/>
      </c>
      <c r="W323" s="47">
        <f>IF(AND($C323&lt;&gt;"",$C323='Store History'!$C$4,OR('Store History'!$C$5="",$F323='Store History'!$C$5)),1,0)</f>
        <v/>
      </c>
      <c r="X323" s="47">
        <f>IF($W323=1,SUM($W323:$W$1005),"")</f>
        <v/>
      </c>
    </row>
    <row r="324">
      <c r="A324" s="59" t="n"/>
      <c r="B324" s="60" t="n"/>
      <c r="C324" s="60" t="n"/>
      <c r="D324" s="45">
        <f>IF($C324="","",IFERROR(INDEX('Chain Program'!$B$6:$B$120,MATCH($C324,'Chain Program'!$A$6:$A$120,0)),"Unknown ID"))</f>
        <v/>
      </c>
      <c r="E324" s="45">
        <f>IF($C324="","",IFERROR(INDEX('Chain Program'!$D$6:$D$120,MATCH($C324,'Chain Program'!$A$6:$A$120,0)),"Unknown ID"))</f>
        <v/>
      </c>
      <c r="F324" s="60" t="n"/>
      <c r="G324" s="60" t="n"/>
      <c r="H324" s="56">
        <f>IF(OR($C324="",$A324=""),"",IF(COUNTIFS('Promo Calendar'!$A$6:$A$400,$C324,'Promo Calendar'!$D$6:$D$400,IF($G324="","All",$G324),'Promo Calendar'!$I$6:$I$400,"&lt;="&amp;$A324,'Promo Calendar'!$J$6:$J$400,"&gt;="&amp;$A324,'Promo Calendar'!$G$6:$G$400,"&gt;0")&gt;0,_xlfn.MINIFS('Promo Calendar'!$G$6:$G$400,'Promo Calendar'!$A$6:$A$400,$C324,'Promo Calendar'!$D$6:$D$400,IF($G324="","All",$G324),'Promo Calendar'!$I$6:$I$400,"&lt;="&amp;$A324,'Promo Calendar'!$J$6:$J$400,"&gt;="&amp;$A324,'Promo Calendar'!$G$6:$G$400,"&gt;0"),IF(COUNTIFS('Promo Calendar'!$A$6:$A$400,$C324,'Promo Calendar'!$D$6:$D$400,"All",'Promo Calendar'!$I$6:$I$400,"&lt;="&amp;$A324,'Promo Calendar'!$J$6:$J$400,"&gt;="&amp;$A324,'Promo Calendar'!$G$6:$G$400,"&gt;0")&gt;0,_xlfn.MINIFS('Promo Calendar'!$G$6:$G$400,'Promo Calendar'!$A$6:$A$400,$C324,'Promo Calendar'!$D$6:$D$400,"All",'Promo Calendar'!$I$6:$I$400,"&lt;="&amp;$A324,'Promo Calendar'!$J$6:$J$400,"&gt;="&amp;$A324,'Promo Calendar'!$G$6:$G$400,"&gt;0"),IFERROR(IF(INDEX('Chain Program'!$M$6:$M$120,MATCH($C324,'Chain Program'!$A$6:$A$120,0))="","Not set",INDEX('Chain Program'!$M$6:$M$120,MATCH($C324,'Chain Program'!$A$6:$A$120,0))),"Not set"))))</f>
        <v/>
      </c>
      <c r="I324" s="61" t="n"/>
      <c r="J324" s="45">
        <f>IF($I324="","",IF(NOT(ISNUMBER($H324)),"No plan price",IF(ABS($I324-$H324)&lt;0.005,"Match",IF($I324&gt;$H324,"Over plan","Under plan"))))</f>
        <v/>
      </c>
      <c r="K324" s="60" t="n"/>
      <c r="L324" s="60" t="n"/>
      <c r="M324" s="60" t="n"/>
      <c r="N324" s="60" t="n"/>
      <c r="O324" s="60" t="n"/>
      <c r="P324" s="62" t="n"/>
      <c r="Q324" s="62" t="n"/>
      <c r="R324" s="60" t="n"/>
      <c r="S324" s="59" t="n"/>
      <c r="T324" s="60" t="n"/>
      <c r="U324" s="59" t="n"/>
      <c r="V324" s="45">
        <f>IF(OR($A324="",$T324="",$T324="No Issue"),"",IF($T324="Resolved",IF($U324="","",$U324-$A324),TODAY()-$A324))</f>
        <v/>
      </c>
      <c r="W324" s="47">
        <f>IF(AND($C324&lt;&gt;"",$C324='Store History'!$C$4,OR('Store History'!$C$5="",$F324='Store History'!$C$5)),1,0)</f>
        <v/>
      </c>
      <c r="X324" s="47">
        <f>IF($W324=1,SUM($W324:$W$1005),"")</f>
        <v/>
      </c>
    </row>
    <row r="325">
      <c r="A325" s="59" t="n"/>
      <c r="B325" s="60" t="n"/>
      <c r="C325" s="60" t="n"/>
      <c r="D325" s="45">
        <f>IF($C325="","",IFERROR(INDEX('Chain Program'!$B$6:$B$120,MATCH($C325,'Chain Program'!$A$6:$A$120,0)),"Unknown ID"))</f>
        <v/>
      </c>
      <c r="E325" s="45">
        <f>IF($C325="","",IFERROR(INDEX('Chain Program'!$D$6:$D$120,MATCH($C325,'Chain Program'!$A$6:$A$120,0)),"Unknown ID"))</f>
        <v/>
      </c>
      <c r="F325" s="60" t="n"/>
      <c r="G325" s="60" t="n"/>
      <c r="H325" s="56">
        <f>IF(OR($C325="",$A325=""),"",IF(COUNTIFS('Promo Calendar'!$A$6:$A$400,$C325,'Promo Calendar'!$D$6:$D$400,IF($G325="","All",$G325),'Promo Calendar'!$I$6:$I$400,"&lt;="&amp;$A325,'Promo Calendar'!$J$6:$J$400,"&gt;="&amp;$A325,'Promo Calendar'!$G$6:$G$400,"&gt;0")&gt;0,_xlfn.MINIFS('Promo Calendar'!$G$6:$G$400,'Promo Calendar'!$A$6:$A$400,$C325,'Promo Calendar'!$D$6:$D$400,IF($G325="","All",$G325),'Promo Calendar'!$I$6:$I$400,"&lt;="&amp;$A325,'Promo Calendar'!$J$6:$J$400,"&gt;="&amp;$A325,'Promo Calendar'!$G$6:$G$400,"&gt;0"),IF(COUNTIFS('Promo Calendar'!$A$6:$A$400,$C325,'Promo Calendar'!$D$6:$D$400,"All",'Promo Calendar'!$I$6:$I$400,"&lt;="&amp;$A325,'Promo Calendar'!$J$6:$J$400,"&gt;="&amp;$A325,'Promo Calendar'!$G$6:$G$400,"&gt;0")&gt;0,_xlfn.MINIFS('Promo Calendar'!$G$6:$G$400,'Promo Calendar'!$A$6:$A$400,$C325,'Promo Calendar'!$D$6:$D$400,"All",'Promo Calendar'!$I$6:$I$400,"&lt;="&amp;$A325,'Promo Calendar'!$J$6:$J$400,"&gt;="&amp;$A325,'Promo Calendar'!$G$6:$G$400,"&gt;0"),IFERROR(IF(INDEX('Chain Program'!$M$6:$M$120,MATCH($C325,'Chain Program'!$A$6:$A$120,0))="","Not set",INDEX('Chain Program'!$M$6:$M$120,MATCH($C325,'Chain Program'!$A$6:$A$120,0))),"Not set"))))</f>
        <v/>
      </c>
      <c r="I325" s="61" t="n"/>
      <c r="J325" s="45">
        <f>IF($I325="","",IF(NOT(ISNUMBER($H325)),"No plan price",IF(ABS($I325-$H325)&lt;0.005,"Match",IF($I325&gt;$H325,"Over plan","Under plan"))))</f>
        <v/>
      </c>
      <c r="K325" s="60" t="n"/>
      <c r="L325" s="60" t="n"/>
      <c r="M325" s="60" t="n"/>
      <c r="N325" s="60" t="n"/>
      <c r="O325" s="60" t="n"/>
      <c r="P325" s="62" t="n"/>
      <c r="Q325" s="62" t="n"/>
      <c r="R325" s="60" t="n"/>
      <c r="S325" s="59" t="n"/>
      <c r="T325" s="60" t="n"/>
      <c r="U325" s="59" t="n"/>
      <c r="V325" s="45">
        <f>IF(OR($A325="",$T325="",$T325="No Issue"),"",IF($T325="Resolved",IF($U325="","",$U325-$A325),TODAY()-$A325))</f>
        <v/>
      </c>
      <c r="W325" s="47">
        <f>IF(AND($C325&lt;&gt;"",$C325='Store History'!$C$4,OR('Store History'!$C$5="",$F325='Store History'!$C$5)),1,0)</f>
        <v/>
      </c>
      <c r="X325" s="47">
        <f>IF($W325=1,SUM($W325:$W$1005),"")</f>
        <v/>
      </c>
    </row>
    <row r="326">
      <c r="A326" s="59" t="n"/>
      <c r="B326" s="60" t="n"/>
      <c r="C326" s="60" t="n"/>
      <c r="D326" s="45">
        <f>IF($C326="","",IFERROR(INDEX('Chain Program'!$B$6:$B$120,MATCH($C326,'Chain Program'!$A$6:$A$120,0)),"Unknown ID"))</f>
        <v/>
      </c>
      <c r="E326" s="45">
        <f>IF($C326="","",IFERROR(INDEX('Chain Program'!$D$6:$D$120,MATCH($C326,'Chain Program'!$A$6:$A$120,0)),"Unknown ID"))</f>
        <v/>
      </c>
      <c r="F326" s="60" t="n"/>
      <c r="G326" s="60" t="n"/>
      <c r="H326" s="56">
        <f>IF(OR($C326="",$A326=""),"",IF(COUNTIFS('Promo Calendar'!$A$6:$A$400,$C326,'Promo Calendar'!$D$6:$D$400,IF($G326="","All",$G326),'Promo Calendar'!$I$6:$I$400,"&lt;="&amp;$A326,'Promo Calendar'!$J$6:$J$400,"&gt;="&amp;$A326,'Promo Calendar'!$G$6:$G$400,"&gt;0")&gt;0,_xlfn.MINIFS('Promo Calendar'!$G$6:$G$400,'Promo Calendar'!$A$6:$A$400,$C326,'Promo Calendar'!$D$6:$D$400,IF($G326="","All",$G326),'Promo Calendar'!$I$6:$I$400,"&lt;="&amp;$A326,'Promo Calendar'!$J$6:$J$400,"&gt;="&amp;$A326,'Promo Calendar'!$G$6:$G$400,"&gt;0"),IF(COUNTIFS('Promo Calendar'!$A$6:$A$400,$C326,'Promo Calendar'!$D$6:$D$400,"All",'Promo Calendar'!$I$6:$I$400,"&lt;="&amp;$A326,'Promo Calendar'!$J$6:$J$400,"&gt;="&amp;$A326,'Promo Calendar'!$G$6:$G$400,"&gt;0")&gt;0,_xlfn.MINIFS('Promo Calendar'!$G$6:$G$400,'Promo Calendar'!$A$6:$A$400,$C326,'Promo Calendar'!$D$6:$D$400,"All",'Promo Calendar'!$I$6:$I$400,"&lt;="&amp;$A326,'Promo Calendar'!$J$6:$J$400,"&gt;="&amp;$A326,'Promo Calendar'!$G$6:$G$400,"&gt;0"),IFERROR(IF(INDEX('Chain Program'!$M$6:$M$120,MATCH($C326,'Chain Program'!$A$6:$A$120,0))="","Not set",INDEX('Chain Program'!$M$6:$M$120,MATCH($C326,'Chain Program'!$A$6:$A$120,0))),"Not set"))))</f>
        <v/>
      </c>
      <c r="I326" s="61" t="n"/>
      <c r="J326" s="45">
        <f>IF($I326="","",IF(NOT(ISNUMBER($H326)),"No plan price",IF(ABS($I326-$H326)&lt;0.005,"Match",IF($I326&gt;$H326,"Over plan","Under plan"))))</f>
        <v/>
      </c>
      <c r="K326" s="60" t="n"/>
      <c r="L326" s="60" t="n"/>
      <c r="M326" s="60" t="n"/>
      <c r="N326" s="60" t="n"/>
      <c r="O326" s="60" t="n"/>
      <c r="P326" s="62" t="n"/>
      <c r="Q326" s="62" t="n"/>
      <c r="R326" s="60" t="n"/>
      <c r="S326" s="59" t="n"/>
      <c r="T326" s="60" t="n"/>
      <c r="U326" s="59" t="n"/>
      <c r="V326" s="45">
        <f>IF(OR($A326="",$T326="",$T326="No Issue"),"",IF($T326="Resolved",IF($U326="","",$U326-$A326),TODAY()-$A326))</f>
        <v/>
      </c>
      <c r="W326" s="47">
        <f>IF(AND($C326&lt;&gt;"",$C326='Store History'!$C$4,OR('Store History'!$C$5="",$F326='Store History'!$C$5)),1,0)</f>
        <v/>
      </c>
      <c r="X326" s="47">
        <f>IF($W326=1,SUM($W326:$W$1005),"")</f>
        <v/>
      </c>
    </row>
    <row r="327">
      <c r="A327" s="59" t="n"/>
      <c r="B327" s="60" t="n"/>
      <c r="C327" s="60" t="n"/>
      <c r="D327" s="45">
        <f>IF($C327="","",IFERROR(INDEX('Chain Program'!$B$6:$B$120,MATCH($C327,'Chain Program'!$A$6:$A$120,0)),"Unknown ID"))</f>
        <v/>
      </c>
      <c r="E327" s="45">
        <f>IF($C327="","",IFERROR(INDEX('Chain Program'!$D$6:$D$120,MATCH($C327,'Chain Program'!$A$6:$A$120,0)),"Unknown ID"))</f>
        <v/>
      </c>
      <c r="F327" s="60" t="n"/>
      <c r="G327" s="60" t="n"/>
      <c r="H327" s="56">
        <f>IF(OR($C327="",$A327=""),"",IF(COUNTIFS('Promo Calendar'!$A$6:$A$400,$C327,'Promo Calendar'!$D$6:$D$400,IF($G327="","All",$G327),'Promo Calendar'!$I$6:$I$400,"&lt;="&amp;$A327,'Promo Calendar'!$J$6:$J$400,"&gt;="&amp;$A327,'Promo Calendar'!$G$6:$G$400,"&gt;0")&gt;0,_xlfn.MINIFS('Promo Calendar'!$G$6:$G$400,'Promo Calendar'!$A$6:$A$400,$C327,'Promo Calendar'!$D$6:$D$400,IF($G327="","All",$G327),'Promo Calendar'!$I$6:$I$400,"&lt;="&amp;$A327,'Promo Calendar'!$J$6:$J$400,"&gt;="&amp;$A327,'Promo Calendar'!$G$6:$G$400,"&gt;0"),IF(COUNTIFS('Promo Calendar'!$A$6:$A$400,$C327,'Promo Calendar'!$D$6:$D$400,"All",'Promo Calendar'!$I$6:$I$400,"&lt;="&amp;$A327,'Promo Calendar'!$J$6:$J$400,"&gt;="&amp;$A327,'Promo Calendar'!$G$6:$G$400,"&gt;0")&gt;0,_xlfn.MINIFS('Promo Calendar'!$G$6:$G$400,'Promo Calendar'!$A$6:$A$400,$C327,'Promo Calendar'!$D$6:$D$400,"All",'Promo Calendar'!$I$6:$I$400,"&lt;="&amp;$A327,'Promo Calendar'!$J$6:$J$400,"&gt;="&amp;$A327,'Promo Calendar'!$G$6:$G$400,"&gt;0"),IFERROR(IF(INDEX('Chain Program'!$M$6:$M$120,MATCH($C327,'Chain Program'!$A$6:$A$120,0))="","Not set",INDEX('Chain Program'!$M$6:$M$120,MATCH($C327,'Chain Program'!$A$6:$A$120,0))),"Not set"))))</f>
        <v/>
      </c>
      <c r="I327" s="61" t="n"/>
      <c r="J327" s="45">
        <f>IF($I327="","",IF(NOT(ISNUMBER($H327)),"No plan price",IF(ABS($I327-$H327)&lt;0.005,"Match",IF($I327&gt;$H327,"Over plan","Under plan"))))</f>
        <v/>
      </c>
      <c r="K327" s="60" t="n"/>
      <c r="L327" s="60" t="n"/>
      <c r="M327" s="60" t="n"/>
      <c r="N327" s="60" t="n"/>
      <c r="O327" s="60" t="n"/>
      <c r="P327" s="62" t="n"/>
      <c r="Q327" s="62" t="n"/>
      <c r="R327" s="60" t="n"/>
      <c r="S327" s="59" t="n"/>
      <c r="T327" s="60" t="n"/>
      <c r="U327" s="59" t="n"/>
      <c r="V327" s="45">
        <f>IF(OR($A327="",$T327="",$T327="No Issue"),"",IF($T327="Resolved",IF($U327="","",$U327-$A327),TODAY()-$A327))</f>
        <v/>
      </c>
      <c r="W327" s="47">
        <f>IF(AND($C327&lt;&gt;"",$C327='Store History'!$C$4,OR('Store History'!$C$5="",$F327='Store History'!$C$5)),1,0)</f>
        <v/>
      </c>
      <c r="X327" s="47">
        <f>IF($W327=1,SUM($W327:$W$1005),"")</f>
        <v/>
      </c>
    </row>
    <row r="328">
      <c r="A328" s="59" t="n"/>
      <c r="B328" s="60" t="n"/>
      <c r="C328" s="60" t="n"/>
      <c r="D328" s="45">
        <f>IF($C328="","",IFERROR(INDEX('Chain Program'!$B$6:$B$120,MATCH($C328,'Chain Program'!$A$6:$A$120,0)),"Unknown ID"))</f>
        <v/>
      </c>
      <c r="E328" s="45">
        <f>IF($C328="","",IFERROR(INDEX('Chain Program'!$D$6:$D$120,MATCH($C328,'Chain Program'!$A$6:$A$120,0)),"Unknown ID"))</f>
        <v/>
      </c>
      <c r="F328" s="60" t="n"/>
      <c r="G328" s="60" t="n"/>
      <c r="H328" s="56">
        <f>IF(OR($C328="",$A328=""),"",IF(COUNTIFS('Promo Calendar'!$A$6:$A$400,$C328,'Promo Calendar'!$D$6:$D$400,IF($G328="","All",$G328),'Promo Calendar'!$I$6:$I$400,"&lt;="&amp;$A328,'Promo Calendar'!$J$6:$J$400,"&gt;="&amp;$A328,'Promo Calendar'!$G$6:$G$400,"&gt;0")&gt;0,_xlfn.MINIFS('Promo Calendar'!$G$6:$G$400,'Promo Calendar'!$A$6:$A$400,$C328,'Promo Calendar'!$D$6:$D$400,IF($G328="","All",$G328),'Promo Calendar'!$I$6:$I$400,"&lt;="&amp;$A328,'Promo Calendar'!$J$6:$J$400,"&gt;="&amp;$A328,'Promo Calendar'!$G$6:$G$400,"&gt;0"),IF(COUNTIFS('Promo Calendar'!$A$6:$A$400,$C328,'Promo Calendar'!$D$6:$D$400,"All",'Promo Calendar'!$I$6:$I$400,"&lt;="&amp;$A328,'Promo Calendar'!$J$6:$J$400,"&gt;="&amp;$A328,'Promo Calendar'!$G$6:$G$400,"&gt;0")&gt;0,_xlfn.MINIFS('Promo Calendar'!$G$6:$G$400,'Promo Calendar'!$A$6:$A$400,$C328,'Promo Calendar'!$D$6:$D$400,"All",'Promo Calendar'!$I$6:$I$400,"&lt;="&amp;$A328,'Promo Calendar'!$J$6:$J$400,"&gt;="&amp;$A328,'Promo Calendar'!$G$6:$G$400,"&gt;0"),IFERROR(IF(INDEX('Chain Program'!$M$6:$M$120,MATCH($C328,'Chain Program'!$A$6:$A$120,0))="","Not set",INDEX('Chain Program'!$M$6:$M$120,MATCH($C328,'Chain Program'!$A$6:$A$120,0))),"Not set"))))</f>
        <v/>
      </c>
      <c r="I328" s="61" t="n"/>
      <c r="J328" s="45">
        <f>IF($I328="","",IF(NOT(ISNUMBER($H328)),"No plan price",IF(ABS($I328-$H328)&lt;0.005,"Match",IF($I328&gt;$H328,"Over plan","Under plan"))))</f>
        <v/>
      </c>
      <c r="K328" s="60" t="n"/>
      <c r="L328" s="60" t="n"/>
      <c r="M328" s="60" t="n"/>
      <c r="N328" s="60" t="n"/>
      <c r="O328" s="60" t="n"/>
      <c r="P328" s="62" t="n"/>
      <c r="Q328" s="62" t="n"/>
      <c r="R328" s="60" t="n"/>
      <c r="S328" s="59" t="n"/>
      <c r="T328" s="60" t="n"/>
      <c r="U328" s="59" t="n"/>
      <c r="V328" s="45">
        <f>IF(OR($A328="",$T328="",$T328="No Issue"),"",IF($T328="Resolved",IF($U328="","",$U328-$A328),TODAY()-$A328))</f>
        <v/>
      </c>
      <c r="W328" s="47">
        <f>IF(AND($C328&lt;&gt;"",$C328='Store History'!$C$4,OR('Store History'!$C$5="",$F328='Store History'!$C$5)),1,0)</f>
        <v/>
      </c>
      <c r="X328" s="47">
        <f>IF($W328=1,SUM($W328:$W$1005),"")</f>
        <v/>
      </c>
    </row>
    <row r="329">
      <c r="A329" s="59" t="n"/>
      <c r="B329" s="60" t="n"/>
      <c r="C329" s="60" t="n"/>
      <c r="D329" s="45">
        <f>IF($C329="","",IFERROR(INDEX('Chain Program'!$B$6:$B$120,MATCH($C329,'Chain Program'!$A$6:$A$120,0)),"Unknown ID"))</f>
        <v/>
      </c>
      <c r="E329" s="45">
        <f>IF($C329="","",IFERROR(INDEX('Chain Program'!$D$6:$D$120,MATCH($C329,'Chain Program'!$A$6:$A$120,0)),"Unknown ID"))</f>
        <v/>
      </c>
      <c r="F329" s="60" t="n"/>
      <c r="G329" s="60" t="n"/>
      <c r="H329" s="56">
        <f>IF(OR($C329="",$A329=""),"",IF(COUNTIFS('Promo Calendar'!$A$6:$A$400,$C329,'Promo Calendar'!$D$6:$D$400,IF($G329="","All",$G329),'Promo Calendar'!$I$6:$I$400,"&lt;="&amp;$A329,'Promo Calendar'!$J$6:$J$400,"&gt;="&amp;$A329,'Promo Calendar'!$G$6:$G$400,"&gt;0")&gt;0,_xlfn.MINIFS('Promo Calendar'!$G$6:$G$400,'Promo Calendar'!$A$6:$A$400,$C329,'Promo Calendar'!$D$6:$D$400,IF($G329="","All",$G329),'Promo Calendar'!$I$6:$I$400,"&lt;="&amp;$A329,'Promo Calendar'!$J$6:$J$400,"&gt;="&amp;$A329,'Promo Calendar'!$G$6:$G$400,"&gt;0"),IF(COUNTIFS('Promo Calendar'!$A$6:$A$400,$C329,'Promo Calendar'!$D$6:$D$400,"All",'Promo Calendar'!$I$6:$I$400,"&lt;="&amp;$A329,'Promo Calendar'!$J$6:$J$400,"&gt;="&amp;$A329,'Promo Calendar'!$G$6:$G$400,"&gt;0")&gt;0,_xlfn.MINIFS('Promo Calendar'!$G$6:$G$400,'Promo Calendar'!$A$6:$A$400,$C329,'Promo Calendar'!$D$6:$D$400,"All",'Promo Calendar'!$I$6:$I$400,"&lt;="&amp;$A329,'Promo Calendar'!$J$6:$J$400,"&gt;="&amp;$A329,'Promo Calendar'!$G$6:$G$400,"&gt;0"),IFERROR(IF(INDEX('Chain Program'!$M$6:$M$120,MATCH($C329,'Chain Program'!$A$6:$A$120,0))="","Not set",INDEX('Chain Program'!$M$6:$M$120,MATCH($C329,'Chain Program'!$A$6:$A$120,0))),"Not set"))))</f>
        <v/>
      </c>
      <c r="I329" s="61" t="n"/>
      <c r="J329" s="45">
        <f>IF($I329="","",IF(NOT(ISNUMBER($H329)),"No plan price",IF(ABS($I329-$H329)&lt;0.005,"Match",IF($I329&gt;$H329,"Over plan","Under plan"))))</f>
        <v/>
      </c>
      <c r="K329" s="60" t="n"/>
      <c r="L329" s="60" t="n"/>
      <c r="M329" s="60" t="n"/>
      <c r="N329" s="60" t="n"/>
      <c r="O329" s="60" t="n"/>
      <c r="P329" s="62" t="n"/>
      <c r="Q329" s="62" t="n"/>
      <c r="R329" s="60" t="n"/>
      <c r="S329" s="59" t="n"/>
      <c r="T329" s="60" t="n"/>
      <c r="U329" s="59" t="n"/>
      <c r="V329" s="45">
        <f>IF(OR($A329="",$T329="",$T329="No Issue"),"",IF($T329="Resolved",IF($U329="","",$U329-$A329),TODAY()-$A329))</f>
        <v/>
      </c>
      <c r="W329" s="47">
        <f>IF(AND($C329&lt;&gt;"",$C329='Store History'!$C$4,OR('Store History'!$C$5="",$F329='Store History'!$C$5)),1,0)</f>
        <v/>
      </c>
      <c r="X329" s="47">
        <f>IF($W329=1,SUM($W329:$W$1005),"")</f>
        <v/>
      </c>
    </row>
    <row r="330">
      <c r="A330" s="59" t="n"/>
      <c r="B330" s="60" t="n"/>
      <c r="C330" s="60" t="n"/>
      <c r="D330" s="45">
        <f>IF($C330="","",IFERROR(INDEX('Chain Program'!$B$6:$B$120,MATCH($C330,'Chain Program'!$A$6:$A$120,0)),"Unknown ID"))</f>
        <v/>
      </c>
      <c r="E330" s="45">
        <f>IF($C330="","",IFERROR(INDEX('Chain Program'!$D$6:$D$120,MATCH($C330,'Chain Program'!$A$6:$A$120,0)),"Unknown ID"))</f>
        <v/>
      </c>
      <c r="F330" s="60" t="n"/>
      <c r="G330" s="60" t="n"/>
      <c r="H330" s="56">
        <f>IF(OR($C330="",$A330=""),"",IF(COUNTIFS('Promo Calendar'!$A$6:$A$400,$C330,'Promo Calendar'!$D$6:$D$400,IF($G330="","All",$G330),'Promo Calendar'!$I$6:$I$400,"&lt;="&amp;$A330,'Promo Calendar'!$J$6:$J$400,"&gt;="&amp;$A330,'Promo Calendar'!$G$6:$G$400,"&gt;0")&gt;0,_xlfn.MINIFS('Promo Calendar'!$G$6:$G$400,'Promo Calendar'!$A$6:$A$400,$C330,'Promo Calendar'!$D$6:$D$400,IF($G330="","All",$G330),'Promo Calendar'!$I$6:$I$400,"&lt;="&amp;$A330,'Promo Calendar'!$J$6:$J$400,"&gt;="&amp;$A330,'Promo Calendar'!$G$6:$G$400,"&gt;0"),IF(COUNTIFS('Promo Calendar'!$A$6:$A$400,$C330,'Promo Calendar'!$D$6:$D$400,"All",'Promo Calendar'!$I$6:$I$400,"&lt;="&amp;$A330,'Promo Calendar'!$J$6:$J$400,"&gt;="&amp;$A330,'Promo Calendar'!$G$6:$G$400,"&gt;0")&gt;0,_xlfn.MINIFS('Promo Calendar'!$G$6:$G$400,'Promo Calendar'!$A$6:$A$400,$C330,'Promo Calendar'!$D$6:$D$400,"All",'Promo Calendar'!$I$6:$I$400,"&lt;="&amp;$A330,'Promo Calendar'!$J$6:$J$400,"&gt;="&amp;$A330,'Promo Calendar'!$G$6:$G$400,"&gt;0"),IFERROR(IF(INDEX('Chain Program'!$M$6:$M$120,MATCH($C330,'Chain Program'!$A$6:$A$120,0))="","Not set",INDEX('Chain Program'!$M$6:$M$120,MATCH($C330,'Chain Program'!$A$6:$A$120,0))),"Not set"))))</f>
        <v/>
      </c>
      <c r="I330" s="61" t="n"/>
      <c r="J330" s="45">
        <f>IF($I330="","",IF(NOT(ISNUMBER($H330)),"No plan price",IF(ABS($I330-$H330)&lt;0.005,"Match",IF($I330&gt;$H330,"Over plan","Under plan"))))</f>
        <v/>
      </c>
      <c r="K330" s="60" t="n"/>
      <c r="L330" s="60" t="n"/>
      <c r="M330" s="60" t="n"/>
      <c r="N330" s="60" t="n"/>
      <c r="O330" s="60" t="n"/>
      <c r="P330" s="62" t="n"/>
      <c r="Q330" s="62" t="n"/>
      <c r="R330" s="60" t="n"/>
      <c r="S330" s="59" t="n"/>
      <c r="T330" s="60" t="n"/>
      <c r="U330" s="59" t="n"/>
      <c r="V330" s="45">
        <f>IF(OR($A330="",$T330="",$T330="No Issue"),"",IF($T330="Resolved",IF($U330="","",$U330-$A330),TODAY()-$A330))</f>
        <v/>
      </c>
      <c r="W330" s="47">
        <f>IF(AND($C330&lt;&gt;"",$C330='Store History'!$C$4,OR('Store History'!$C$5="",$F330='Store History'!$C$5)),1,0)</f>
        <v/>
      </c>
      <c r="X330" s="47">
        <f>IF($W330=1,SUM($W330:$W$1005),"")</f>
        <v/>
      </c>
    </row>
    <row r="331">
      <c r="A331" s="59" t="n"/>
      <c r="B331" s="60" t="n"/>
      <c r="C331" s="60" t="n"/>
      <c r="D331" s="45">
        <f>IF($C331="","",IFERROR(INDEX('Chain Program'!$B$6:$B$120,MATCH($C331,'Chain Program'!$A$6:$A$120,0)),"Unknown ID"))</f>
        <v/>
      </c>
      <c r="E331" s="45">
        <f>IF($C331="","",IFERROR(INDEX('Chain Program'!$D$6:$D$120,MATCH($C331,'Chain Program'!$A$6:$A$120,0)),"Unknown ID"))</f>
        <v/>
      </c>
      <c r="F331" s="60" t="n"/>
      <c r="G331" s="60" t="n"/>
      <c r="H331" s="56">
        <f>IF(OR($C331="",$A331=""),"",IF(COUNTIFS('Promo Calendar'!$A$6:$A$400,$C331,'Promo Calendar'!$D$6:$D$400,IF($G331="","All",$G331),'Promo Calendar'!$I$6:$I$400,"&lt;="&amp;$A331,'Promo Calendar'!$J$6:$J$400,"&gt;="&amp;$A331,'Promo Calendar'!$G$6:$G$400,"&gt;0")&gt;0,_xlfn.MINIFS('Promo Calendar'!$G$6:$G$400,'Promo Calendar'!$A$6:$A$400,$C331,'Promo Calendar'!$D$6:$D$400,IF($G331="","All",$G331),'Promo Calendar'!$I$6:$I$400,"&lt;="&amp;$A331,'Promo Calendar'!$J$6:$J$400,"&gt;="&amp;$A331,'Promo Calendar'!$G$6:$G$400,"&gt;0"),IF(COUNTIFS('Promo Calendar'!$A$6:$A$400,$C331,'Promo Calendar'!$D$6:$D$400,"All",'Promo Calendar'!$I$6:$I$400,"&lt;="&amp;$A331,'Promo Calendar'!$J$6:$J$400,"&gt;="&amp;$A331,'Promo Calendar'!$G$6:$G$400,"&gt;0")&gt;0,_xlfn.MINIFS('Promo Calendar'!$G$6:$G$400,'Promo Calendar'!$A$6:$A$400,$C331,'Promo Calendar'!$D$6:$D$400,"All",'Promo Calendar'!$I$6:$I$400,"&lt;="&amp;$A331,'Promo Calendar'!$J$6:$J$400,"&gt;="&amp;$A331,'Promo Calendar'!$G$6:$G$400,"&gt;0"),IFERROR(IF(INDEX('Chain Program'!$M$6:$M$120,MATCH($C331,'Chain Program'!$A$6:$A$120,0))="","Not set",INDEX('Chain Program'!$M$6:$M$120,MATCH($C331,'Chain Program'!$A$6:$A$120,0))),"Not set"))))</f>
        <v/>
      </c>
      <c r="I331" s="61" t="n"/>
      <c r="J331" s="45">
        <f>IF($I331="","",IF(NOT(ISNUMBER($H331)),"No plan price",IF(ABS($I331-$H331)&lt;0.005,"Match",IF($I331&gt;$H331,"Over plan","Under plan"))))</f>
        <v/>
      </c>
      <c r="K331" s="60" t="n"/>
      <c r="L331" s="60" t="n"/>
      <c r="M331" s="60" t="n"/>
      <c r="N331" s="60" t="n"/>
      <c r="O331" s="60" t="n"/>
      <c r="P331" s="62" t="n"/>
      <c r="Q331" s="62" t="n"/>
      <c r="R331" s="60" t="n"/>
      <c r="S331" s="59" t="n"/>
      <c r="T331" s="60" t="n"/>
      <c r="U331" s="59" t="n"/>
      <c r="V331" s="45">
        <f>IF(OR($A331="",$T331="",$T331="No Issue"),"",IF($T331="Resolved",IF($U331="","",$U331-$A331),TODAY()-$A331))</f>
        <v/>
      </c>
      <c r="W331" s="47">
        <f>IF(AND($C331&lt;&gt;"",$C331='Store History'!$C$4,OR('Store History'!$C$5="",$F331='Store History'!$C$5)),1,0)</f>
        <v/>
      </c>
      <c r="X331" s="47">
        <f>IF($W331=1,SUM($W331:$W$1005),"")</f>
        <v/>
      </c>
    </row>
    <row r="332">
      <c r="A332" s="59" t="n"/>
      <c r="B332" s="60" t="n"/>
      <c r="C332" s="60" t="n"/>
      <c r="D332" s="45">
        <f>IF($C332="","",IFERROR(INDEX('Chain Program'!$B$6:$B$120,MATCH($C332,'Chain Program'!$A$6:$A$120,0)),"Unknown ID"))</f>
        <v/>
      </c>
      <c r="E332" s="45">
        <f>IF($C332="","",IFERROR(INDEX('Chain Program'!$D$6:$D$120,MATCH($C332,'Chain Program'!$A$6:$A$120,0)),"Unknown ID"))</f>
        <v/>
      </c>
      <c r="F332" s="60" t="n"/>
      <c r="G332" s="60" t="n"/>
      <c r="H332" s="56">
        <f>IF(OR($C332="",$A332=""),"",IF(COUNTIFS('Promo Calendar'!$A$6:$A$400,$C332,'Promo Calendar'!$D$6:$D$400,IF($G332="","All",$G332),'Promo Calendar'!$I$6:$I$400,"&lt;="&amp;$A332,'Promo Calendar'!$J$6:$J$400,"&gt;="&amp;$A332,'Promo Calendar'!$G$6:$G$400,"&gt;0")&gt;0,_xlfn.MINIFS('Promo Calendar'!$G$6:$G$400,'Promo Calendar'!$A$6:$A$400,$C332,'Promo Calendar'!$D$6:$D$400,IF($G332="","All",$G332),'Promo Calendar'!$I$6:$I$400,"&lt;="&amp;$A332,'Promo Calendar'!$J$6:$J$400,"&gt;="&amp;$A332,'Promo Calendar'!$G$6:$G$400,"&gt;0"),IF(COUNTIFS('Promo Calendar'!$A$6:$A$400,$C332,'Promo Calendar'!$D$6:$D$400,"All",'Promo Calendar'!$I$6:$I$400,"&lt;="&amp;$A332,'Promo Calendar'!$J$6:$J$400,"&gt;="&amp;$A332,'Promo Calendar'!$G$6:$G$400,"&gt;0")&gt;0,_xlfn.MINIFS('Promo Calendar'!$G$6:$G$400,'Promo Calendar'!$A$6:$A$400,$C332,'Promo Calendar'!$D$6:$D$400,"All",'Promo Calendar'!$I$6:$I$400,"&lt;="&amp;$A332,'Promo Calendar'!$J$6:$J$400,"&gt;="&amp;$A332,'Promo Calendar'!$G$6:$G$400,"&gt;0"),IFERROR(IF(INDEX('Chain Program'!$M$6:$M$120,MATCH($C332,'Chain Program'!$A$6:$A$120,0))="","Not set",INDEX('Chain Program'!$M$6:$M$120,MATCH($C332,'Chain Program'!$A$6:$A$120,0))),"Not set"))))</f>
        <v/>
      </c>
      <c r="I332" s="61" t="n"/>
      <c r="J332" s="45">
        <f>IF($I332="","",IF(NOT(ISNUMBER($H332)),"No plan price",IF(ABS($I332-$H332)&lt;0.005,"Match",IF($I332&gt;$H332,"Over plan","Under plan"))))</f>
        <v/>
      </c>
      <c r="K332" s="60" t="n"/>
      <c r="L332" s="60" t="n"/>
      <c r="M332" s="60" t="n"/>
      <c r="N332" s="60" t="n"/>
      <c r="O332" s="60" t="n"/>
      <c r="P332" s="62" t="n"/>
      <c r="Q332" s="62" t="n"/>
      <c r="R332" s="60" t="n"/>
      <c r="S332" s="59" t="n"/>
      <c r="T332" s="60" t="n"/>
      <c r="U332" s="59" t="n"/>
      <c r="V332" s="45">
        <f>IF(OR($A332="",$T332="",$T332="No Issue"),"",IF($T332="Resolved",IF($U332="","",$U332-$A332),TODAY()-$A332))</f>
        <v/>
      </c>
      <c r="W332" s="47">
        <f>IF(AND($C332&lt;&gt;"",$C332='Store History'!$C$4,OR('Store History'!$C$5="",$F332='Store History'!$C$5)),1,0)</f>
        <v/>
      </c>
      <c r="X332" s="47">
        <f>IF($W332=1,SUM($W332:$W$1005),"")</f>
        <v/>
      </c>
    </row>
    <row r="333">
      <c r="A333" s="59" t="n"/>
      <c r="B333" s="60" t="n"/>
      <c r="C333" s="60" t="n"/>
      <c r="D333" s="45">
        <f>IF($C333="","",IFERROR(INDEX('Chain Program'!$B$6:$B$120,MATCH($C333,'Chain Program'!$A$6:$A$120,0)),"Unknown ID"))</f>
        <v/>
      </c>
      <c r="E333" s="45">
        <f>IF($C333="","",IFERROR(INDEX('Chain Program'!$D$6:$D$120,MATCH($C333,'Chain Program'!$A$6:$A$120,0)),"Unknown ID"))</f>
        <v/>
      </c>
      <c r="F333" s="60" t="n"/>
      <c r="G333" s="60" t="n"/>
      <c r="H333" s="56">
        <f>IF(OR($C333="",$A333=""),"",IF(COUNTIFS('Promo Calendar'!$A$6:$A$400,$C333,'Promo Calendar'!$D$6:$D$400,IF($G333="","All",$G333),'Promo Calendar'!$I$6:$I$400,"&lt;="&amp;$A333,'Promo Calendar'!$J$6:$J$400,"&gt;="&amp;$A333,'Promo Calendar'!$G$6:$G$400,"&gt;0")&gt;0,_xlfn.MINIFS('Promo Calendar'!$G$6:$G$400,'Promo Calendar'!$A$6:$A$400,$C333,'Promo Calendar'!$D$6:$D$400,IF($G333="","All",$G333),'Promo Calendar'!$I$6:$I$400,"&lt;="&amp;$A333,'Promo Calendar'!$J$6:$J$400,"&gt;="&amp;$A333,'Promo Calendar'!$G$6:$G$400,"&gt;0"),IF(COUNTIFS('Promo Calendar'!$A$6:$A$400,$C333,'Promo Calendar'!$D$6:$D$400,"All",'Promo Calendar'!$I$6:$I$400,"&lt;="&amp;$A333,'Promo Calendar'!$J$6:$J$400,"&gt;="&amp;$A333,'Promo Calendar'!$G$6:$G$400,"&gt;0")&gt;0,_xlfn.MINIFS('Promo Calendar'!$G$6:$G$400,'Promo Calendar'!$A$6:$A$400,$C333,'Promo Calendar'!$D$6:$D$400,"All",'Promo Calendar'!$I$6:$I$400,"&lt;="&amp;$A333,'Promo Calendar'!$J$6:$J$400,"&gt;="&amp;$A333,'Promo Calendar'!$G$6:$G$400,"&gt;0"),IFERROR(IF(INDEX('Chain Program'!$M$6:$M$120,MATCH($C333,'Chain Program'!$A$6:$A$120,0))="","Not set",INDEX('Chain Program'!$M$6:$M$120,MATCH($C333,'Chain Program'!$A$6:$A$120,0))),"Not set"))))</f>
        <v/>
      </c>
      <c r="I333" s="61" t="n"/>
      <c r="J333" s="45">
        <f>IF($I333="","",IF(NOT(ISNUMBER($H333)),"No plan price",IF(ABS($I333-$H333)&lt;0.005,"Match",IF($I333&gt;$H333,"Over plan","Under plan"))))</f>
        <v/>
      </c>
      <c r="K333" s="60" t="n"/>
      <c r="L333" s="60" t="n"/>
      <c r="M333" s="60" t="n"/>
      <c r="N333" s="60" t="n"/>
      <c r="O333" s="60" t="n"/>
      <c r="P333" s="62" t="n"/>
      <c r="Q333" s="62" t="n"/>
      <c r="R333" s="60" t="n"/>
      <c r="S333" s="59" t="n"/>
      <c r="T333" s="60" t="n"/>
      <c r="U333" s="59" t="n"/>
      <c r="V333" s="45">
        <f>IF(OR($A333="",$T333="",$T333="No Issue"),"",IF($T333="Resolved",IF($U333="","",$U333-$A333),TODAY()-$A333))</f>
        <v/>
      </c>
      <c r="W333" s="47">
        <f>IF(AND($C333&lt;&gt;"",$C333='Store History'!$C$4,OR('Store History'!$C$5="",$F333='Store History'!$C$5)),1,0)</f>
        <v/>
      </c>
      <c r="X333" s="47">
        <f>IF($W333=1,SUM($W333:$W$1005),"")</f>
        <v/>
      </c>
    </row>
    <row r="334">
      <c r="A334" s="59" t="n"/>
      <c r="B334" s="60" t="n"/>
      <c r="C334" s="60" t="n"/>
      <c r="D334" s="45">
        <f>IF($C334="","",IFERROR(INDEX('Chain Program'!$B$6:$B$120,MATCH($C334,'Chain Program'!$A$6:$A$120,0)),"Unknown ID"))</f>
        <v/>
      </c>
      <c r="E334" s="45">
        <f>IF($C334="","",IFERROR(INDEX('Chain Program'!$D$6:$D$120,MATCH($C334,'Chain Program'!$A$6:$A$120,0)),"Unknown ID"))</f>
        <v/>
      </c>
      <c r="F334" s="60" t="n"/>
      <c r="G334" s="60" t="n"/>
      <c r="H334" s="56">
        <f>IF(OR($C334="",$A334=""),"",IF(COUNTIFS('Promo Calendar'!$A$6:$A$400,$C334,'Promo Calendar'!$D$6:$D$400,IF($G334="","All",$G334),'Promo Calendar'!$I$6:$I$400,"&lt;="&amp;$A334,'Promo Calendar'!$J$6:$J$400,"&gt;="&amp;$A334,'Promo Calendar'!$G$6:$G$400,"&gt;0")&gt;0,_xlfn.MINIFS('Promo Calendar'!$G$6:$G$400,'Promo Calendar'!$A$6:$A$400,$C334,'Promo Calendar'!$D$6:$D$400,IF($G334="","All",$G334),'Promo Calendar'!$I$6:$I$400,"&lt;="&amp;$A334,'Promo Calendar'!$J$6:$J$400,"&gt;="&amp;$A334,'Promo Calendar'!$G$6:$G$400,"&gt;0"),IF(COUNTIFS('Promo Calendar'!$A$6:$A$400,$C334,'Promo Calendar'!$D$6:$D$400,"All",'Promo Calendar'!$I$6:$I$400,"&lt;="&amp;$A334,'Promo Calendar'!$J$6:$J$400,"&gt;="&amp;$A334,'Promo Calendar'!$G$6:$G$400,"&gt;0")&gt;0,_xlfn.MINIFS('Promo Calendar'!$G$6:$G$400,'Promo Calendar'!$A$6:$A$400,$C334,'Promo Calendar'!$D$6:$D$400,"All",'Promo Calendar'!$I$6:$I$400,"&lt;="&amp;$A334,'Promo Calendar'!$J$6:$J$400,"&gt;="&amp;$A334,'Promo Calendar'!$G$6:$G$400,"&gt;0"),IFERROR(IF(INDEX('Chain Program'!$M$6:$M$120,MATCH($C334,'Chain Program'!$A$6:$A$120,0))="","Not set",INDEX('Chain Program'!$M$6:$M$120,MATCH($C334,'Chain Program'!$A$6:$A$120,0))),"Not set"))))</f>
        <v/>
      </c>
      <c r="I334" s="61" t="n"/>
      <c r="J334" s="45">
        <f>IF($I334="","",IF(NOT(ISNUMBER($H334)),"No plan price",IF(ABS($I334-$H334)&lt;0.005,"Match",IF($I334&gt;$H334,"Over plan","Under plan"))))</f>
        <v/>
      </c>
      <c r="K334" s="60" t="n"/>
      <c r="L334" s="60" t="n"/>
      <c r="M334" s="60" t="n"/>
      <c r="N334" s="60" t="n"/>
      <c r="O334" s="60" t="n"/>
      <c r="P334" s="62" t="n"/>
      <c r="Q334" s="62" t="n"/>
      <c r="R334" s="60" t="n"/>
      <c r="S334" s="59" t="n"/>
      <c r="T334" s="60" t="n"/>
      <c r="U334" s="59" t="n"/>
      <c r="V334" s="45">
        <f>IF(OR($A334="",$T334="",$T334="No Issue"),"",IF($T334="Resolved",IF($U334="","",$U334-$A334),TODAY()-$A334))</f>
        <v/>
      </c>
      <c r="W334" s="47">
        <f>IF(AND($C334&lt;&gt;"",$C334='Store History'!$C$4,OR('Store History'!$C$5="",$F334='Store History'!$C$5)),1,0)</f>
        <v/>
      </c>
      <c r="X334" s="47">
        <f>IF($W334=1,SUM($W334:$W$1005),"")</f>
        <v/>
      </c>
    </row>
    <row r="335">
      <c r="A335" s="59" t="n"/>
      <c r="B335" s="60" t="n"/>
      <c r="C335" s="60" t="n"/>
      <c r="D335" s="45">
        <f>IF($C335="","",IFERROR(INDEX('Chain Program'!$B$6:$B$120,MATCH($C335,'Chain Program'!$A$6:$A$120,0)),"Unknown ID"))</f>
        <v/>
      </c>
      <c r="E335" s="45">
        <f>IF($C335="","",IFERROR(INDEX('Chain Program'!$D$6:$D$120,MATCH($C335,'Chain Program'!$A$6:$A$120,0)),"Unknown ID"))</f>
        <v/>
      </c>
      <c r="F335" s="60" t="n"/>
      <c r="G335" s="60" t="n"/>
      <c r="H335" s="56">
        <f>IF(OR($C335="",$A335=""),"",IF(COUNTIFS('Promo Calendar'!$A$6:$A$400,$C335,'Promo Calendar'!$D$6:$D$400,IF($G335="","All",$G335),'Promo Calendar'!$I$6:$I$400,"&lt;="&amp;$A335,'Promo Calendar'!$J$6:$J$400,"&gt;="&amp;$A335,'Promo Calendar'!$G$6:$G$400,"&gt;0")&gt;0,_xlfn.MINIFS('Promo Calendar'!$G$6:$G$400,'Promo Calendar'!$A$6:$A$400,$C335,'Promo Calendar'!$D$6:$D$400,IF($G335="","All",$G335),'Promo Calendar'!$I$6:$I$400,"&lt;="&amp;$A335,'Promo Calendar'!$J$6:$J$400,"&gt;="&amp;$A335,'Promo Calendar'!$G$6:$G$400,"&gt;0"),IF(COUNTIFS('Promo Calendar'!$A$6:$A$400,$C335,'Promo Calendar'!$D$6:$D$400,"All",'Promo Calendar'!$I$6:$I$400,"&lt;="&amp;$A335,'Promo Calendar'!$J$6:$J$400,"&gt;="&amp;$A335,'Promo Calendar'!$G$6:$G$400,"&gt;0")&gt;0,_xlfn.MINIFS('Promo Calendar'!$G$6:$G$400,'Promo Calendar'!$A$6:$A$400,$C335,'Promo Calendar'!$D$6:$D$400,"All",'Promo Calendar'!$I$6:$I$400,"&lt;="&amp;$A335,'Promo Calendar'!$J$6:$J$400,"&gt;="&amp;$A335,'Promo Calendar'!$G$6:$G$400,"&gt;0"),IFERROR(IF(INDEX('Chain Program'!$M$6:$M$120,MATCH($C335,'Chain Program'!$A$6:$A$120,0))="","Not set",INDEX('Chain Program'!$M$6:$M$120,MATCH($C335,'Chain Program'!$A$6:$A$120,0))),"Not set"))))</f>
        <v/>
      </c>
      <c r="I335" s="61" t="n"/>
      <c r="J335" s="45">
        <f>IF($I335="","",IF(NOT(ISNUMBER($H335)),"No plan price",IF(ABS($I335-$H335)&lt;0.005,"Match",IF($I335&gt;$H335,"Over plan","Under plan"))))</f>
        <v/>
      </c>
      <c r="K335" s="60" t="n"/>
      <c r="L335" s="60" t="n"/>
      <c r="M335" s="60" t="n"/>
      <c r="N335" s="60" t="n"/>
      <c r="O335" s="60" t="n"/>
      <c r="P335" s="62" t="n"/>
      <c r="Q335" s="62" t="n"/>
      <c r="R335" s="60" t="n"/>
      <c r="S335" s="59" t="n"/>
      <c r="T335" s="60" t="n"/>
      <c r="U335" s="59" t="n"/>
      <c r="V335" s="45">
        <f>IF(OR($A335="",$T335="",$T335="No Issue"),"",IF($T335="Resolved",IF($U335="","",$U335-$A335),TODAY()-$A335))</f>
        <v/>
      </c>
      <c r="W335" s="47">
        <f>IF(AND($C335&lt;&gt;"",$C335='Store History'!$C$4,OR('Store History'!$C$5="",$F335='Store History'!$C$5)),1,0)</f>
        <v/>
      </c>
      <c r="X335" s="47">
        <f>IF($W335=1,SUM($W335:$W$1005),"")</f>
        <v/>
      </c>
    </row>
    <row r="336">
      <c r="A336" s="59" t="n"/>
      <c r="B336" s="60" t="n"/>
      <c r="C336" s="60" t="n"/>
      <c r="D336" s="45">
        <f>IF($C336="","",IFERROR(INDEX('Chain Program'!$B$6:$B$120,MATCH($C336,'Chain Program'!$A$6:$A$120,0)),"Unknown ID"))</f>
        <v/>
      </c>
      <c r="E336" s="45">
        <f>IF($C336="","",IFERROR(INDEX('Chain Program'!$D$6:$D$120,MATCH($C336,'Chain Program'!$A$6:$A$120,0)),"Unknown ID"))</f>
        <v/>
      </c>
      <c r="F336" s="60" t="n"/>
      <c r="G336" s="60" t="n"/>
      <c r="H336" s="56">
        <f>IF(OR($C336="",$A336=""),"",IF(COUNTIFS('Promo Calendar'!$A$6:$A$400,$C336,'Promo Calendar'!$D$6:$D$400,IF($G336="","All",$G336),'Promo Calendar'!$I$6:$I$400,"&lt;="&amp;$A336,'Promo Calendar'!$J$6:$J$400,"&gt;="&amp;$A336,'Promo Calendar'!$G$6:$G$400,"&gt;0")&gt;0,_xlfn.MINIFS('Promo Calendar'!$G$6:$G$400,'Promo Calendar'!$A$6:$A$400,$C336,'Promo Calendar'!$D$6:$D$400,IF($G336="","All",$G336),'Promo Calendar'!$I$6:$I$400,"&lt;="&amp;$A336,'Promo Calendar'!$J$6:$J$400,"&gt;="&amp;$A336,'Promo Calendar'!$G$6:$G$400,"&gt;0"),IF(COUNTIFS('Promo Calendar'!$A$6:$A$400,$C336,'Promo Calendar'!$D$6:$D$400,"All",'Promo Calendar'!$I$6:$I$400,"&lt;="&amp;$A336,'Promo Calendar'!$J$6:$J$400,"&gt;="&amp;$A336,'Promo Calendar'!$G$6:$G$400,"&gt;0")&gt;0,_xlfn.MINIFS('Promo Calendar'!$G$6:$G$400,'Promo Calendar'!$A$6:$A$400,$C336,'Promo Calendar'!$D$6:$D$400,"All",'Promo Calendar'!$I$6:$I$400,"&lt;="&amp;$A336,'Promo Calendar'!$J$6:$J$400,"&gt;="&amp;$A336,'Promo Calendar'!$G$6:$G$400,"&gt;0"),IFERROR(IF(INDEX('Chain Program'!$M$6:$M$120,MATCH($C336,'Chain Program'!$A$6:$A$120,0))="","Not set",INDEX('Chain Program'!$M$6:$M$120,MATCH($C336,'Chain Program'!$A$6:$A$120,0))),"Not set"))))</f>
        <v/>
      </c>
      <c r="I336" s="61" t="n"/>
      <c r="J336" s="45">
        <f>IF($I336="","",IF(NOT(ISNUMBER($H336)),"No plan price",IF(ABS($I336-$H336)&lt;0.005,"Match",IF($I336&gt;$H336,"Over plan","Under plan"))))</f>
        <v/>
      </c>
      <c r="K336" s="60" t="n"/>
      <c r="L336" s="60" t="n"/>
      <c r="M336" s="60" t="n"/>
      <c r="N336" s="60" t="n"/>
      <c r="O336" s="60" t="n"/>
      <c r="P336" s="62" t="n"/>
      <c r="Q336" s="62" t="n"/>
      <c r="R336" s="60" t="n"/>
      <c r="S336" s="59" t="n"/>
      <c r="T336" s="60" t="n"/>
      <c r="U336" s="59" t="n"/>
      <c r="V336" s="45">
        <f>IF(OR($A336="",$T336="",$T336="No Issue"),"",IF($T336="Resolved",IF($U336="","",$U336-$A336),TODAY()-$A336))</f>
        <v/>
      </c>
      <c r="W336" s="47">
        <f>IF(AND($C336&lt;&gt;"",$C336='Store History'!$C$4,OR('Store History'!$C$5="",$F336='Store History'!$C$5)),1,0)</f>
        <v/>
      </c>
      <c r="X336" s="47">
        <f>IF($W336=1,SUM($W336:$W$1005),"")</f>
        <v/>
      </c>
    </row>
    <row r="337">
      <c r="A337" s="59" t="n"/>
      <c r="B337" s="60" t="n"/>
      <c r="C337" s="60" t="n"/>
      <c r="D337" s="45">
        <f>IF($C337="","",IFERROR(INDEX('Chain Program'!$B$6:$B$120,MATCH($C337,'Chain Program'!$A$6:$A$120,0)),"Unknown ID"))</f>
        <v/>
      </c>
      <c r="E337" s="45">
        <f>IF($C337="","",IFERROR(INDEX('Chain Program'!$D$6:$D$120,MATCH($C337,'Chain Program'!$A$6:$A$120,0)),"Unknown ID"))</f>
        <v/>
      </c>
      <c r="F337" s="60" t="n"/>
      <c r="G337" s="60" t="n"/>
      <c r="H337" s="56">
        <f>IF(OR($C337="",$A337=""),"",IF(COUNTIFS('Promo Calendar'!$A$6:$A$400,$C337,'Promo Calendar'!$D$6:$D$400,IF($G337="","All",$G337),'Promo Calendar'!$I$6:$I$400,"&lt;="&amp;$A337,'Promo Calendar'!$J$6:$J$400,"&gt;="&amp;$A337,'Promo Calendar'!$G$6:$G$400,"&gt;0")&gt;0,_xlfn.MINIFS('Promo Calendar'!$G$6:$G$400,'Promo Calendar'!$A$6:$A$400,$C337,'Promo Calendar'!$D$6:$D$400,IF($G337="","All",$G337),'Promo Calendar'!$I$6:$I$400,"&lt;="&amp;$A337,'Promo Calendar'!$J$6:$J$400,"&gt;="&amp;$A337,'Promo Calendar'!$G$6:$G$400,"&gt;0"),IF(COUNTIFS('Promo Calendar'!$A$6:$A$400,$C337,'Promo Calendar'!$D$6:$D$400,"All",'Promo Calendar'!$I$6:$I$400,"&lt;="&amp;$A337,'Promo Calendar'!$J$6:$J$400,"&gt;="&amp;$A337,'Promo Calendar'!$G$6:$G$400,"&gt;0")&gt;0,_xlfn.MINIFS('Promo Calendar'!$G$6:$G$400,'Promo Calendar'!$A$6:$A$400,$C337,'Promo Calendar'!$D$6:$D$400,"All",'Promo Calendar'!$I$6:$I$400,"&lt;="&amp;$A337,'Promo Calendar'!$J$6:$J$400,"&gt;="&amp;$A337,'Promo Calendar'!$G$6:$G$400,"&gt;0"),IFERROR(IF(INDEX('Chain Program'!$M$6:$M$120,MATCH($C337,'Chain Program'!$A$6:$A$120,0))="","Not set",INDEX('Chain Program'!$M$6:$M$120,MATCH($C337,'Chain Program'!$A$6:$A$120,0))),"Not set"))))</f>
        <v/>
      </c>
      <c r="I337" s="61" t="n"/>
      <c r="J337" s="45">
        <f>IF($I337="","",IF(NOT(ISNUMBER($H337)),"No plan price",IF(ABS($I337-$H337)&lt;0.005,"Match",IF($I337&gt;$H337,"Over plan","Under plan"))))</f>
        <v/>
      </c>
      <c r="K337" s="60" t="n"/>
      <c r="L337" s="60" t="n"/>
      <c r="M337" s="60" t="n"/>
      <c r="N337" s="60" t="n"/>
      <c r="O337" s="60" t="n"/>
      <c r="P337" s="62" t="n"/>
      <c r="Q337" s="62" t="n"/>
      <c r="R337" s="60" t="n"/>
      <c r="S337" s="59" t="n"/>
      <c r="T337" s="60" t="n"/>
      <c r="U337" s="59" t="n"/>
      <c r="V337" s="45">
        <f>IF(OR($A337="",$T337="",$T337="No Issue"),"",IF($T337="Resolved",IF($U337="","",$U337-$A337),TODAY()-$A337))</f>
        <v/>
      </c>
      <c r="W337" s="47">
        <f>IF(AND($C337&lt;&gt;"",$C337='Store History'!$C$4,OR('Store History'!$C$5="",$F337='Store History'!$C$5)),1,0)</f>
        <v/>
      </c>
      <c r="X337" s="47">
        <f>IF($W337=1,SUM($W337:$W$1005),"")</f>
        <v/>
      </c>
    </row>
    <row r="338">
      <c r="A338" s="59" t="n"/>
      <c r="B338" s="60" t="n"/>
      <c r="C338" s="60" t="n"/>
      <c r="D338" s="45">
        <f>IF($C338="","",IFERROR(INDEX('Chain Program'!$B$6:$B$120,MATCH($C338,'Chain Program'!$A$6:$A$120,0)),"Unknown ID"))</f>
        <v/>
      </c>
      <c r="E338" s="45">
        <f>IF($C338="","",IFERROR(INDEX('Chain Program'!$D$6:$D$120,MATCH($C338,'Chain Program'!$A$6:$A$120,0)),"Unknown ID"))</f>
        <v/>
      </c>
      <c r="F338" s="60" t="n"/>
      <c r="G338" s="60" t="n"/>
      <c r="H338" s="56">
        <f>IF(OR($C338="",$A338=""),"",IF(COUNTIFS('Promo Calendar'!$A$6:$A$400,$C338,'Promo Calendar'!$D$6:$D$400,IF($G338="","All",$G338),'Promo Calendar'!$I$6:$I$400,"&lt;="&amp;$A338,'Promo Calendar'!$J$6:$J$400,"&gt;="&amp;$A338,'Promo Calendar'!$G$6:$G$400,"&gt;0")&gt;0,_xlfn.MINIFS('Promo Calendar'!$G$6:$G$400,'Promo Calendar'!$A$6:$A$400,$C338,'Promo Calendar'!$D$6:$D$400,IF($G338="","All",$G338),'Promo Calendar'!$I$6:$I$400,"&lt;="&amp;$A338,'Promo Calendar'!$J$6:$J$400,"&gt;="&amp;$A338,'Promo Calendar'!$G$6:$G$400,"&gt;0"),IF(COUNTIFS('Promo Calendar'!$A$6:$A$400,$C338,'Promo Calendar'!$D$6:$D$400,"All",'Promo Calendar'!$I$6:$I$400,"&lt;="&amp;$A338,'Promo Calendar'!$J$6:$J$400,"&gt;="&amp;$A338,'Promo Calendar'!$G$6:$G$400,"&gt;0")&gt;0,_xlfn.MINIFS('Promo Calendar'!$G$6:$G$400,'Promo Calendar'!$A$6:$A$400,$C338,'Promo Calendar'!$D$6:$D$400,"All",'Promo Calendar'!$I$6:$I$400,"&lt;="&amp;$A338,'Promo Calendar'!$J$6:$J$400,"&gt;="&amp;$A338,'Promo Calendar'!$G$6:$G$400,"&gt;0"),IFERROR(IF(INDEX('Chain Program'!$M$6:$M$120,MATCH($C338,'Chain Program'!$A$6:$A$120,0))="","Not set",INDEX('Chain Program'!$M$6:$M$120,MATCH($C338,'Chain Program'!$A$6:$A$120,0))),"Not set"))))</f>
        <v/>
      </c>
      <c r="I338" s="61" t="n"/>
      <c r="J338" s="45">
        <f>IF($I338="","",IF(NOT(ISNUMBER($H338)),"No plan price",IF(ABS($I338-$H338)&lt;0.005,"Match",IF($I338&gt;$H338,"Over plan","Under plan"))))</f>
        <v/>
      </c>
      <c r="K338" s="60" t="n"/>
      <c r="L338" s="60" t="n"/>
      <c r="M338" s="60" t="n"/>
      <c r="N338" s="60" t="n"/>
      <c r="O338" s="60" t="n"/>
      <c r="P338" s="62" t="n"/>
      <c r="Q338" s="62" t="n"/>
      <c r="R338" s="60" t="n"/>
      <c r="S338" s="59" t="n"/>
      <c r="T338" s="60" t="n"/>
      <c r="U338" s="59" t="n"/>
      <c r="V338" s="45">
        <f>IF(OR($A338="",$T338="",$T338="No Issue"),"",IF($T338="Resolved",IF($U338="","",$U338-$A338),TODAY()-$A338))</f>
        <v/>
      </c>
      <c r="W338" s="47">
        <f>IF(AND($C338&lt;&gt;"",$C338='Store History'!$C$4,OR('Store History'!$C$5="",$F338='Store History'!$C$5)),1,0)</f>
        <v/>
      </c>
      <c r="X338" s="47">
        <f>IF($W338=1,SUM($W338:$W$1005),"")</f>
        <v/>
      </c>
    </row>
    <row r="339">
      <c r="A339" s="59" t="n"/>
      <c r="B339" s="60" t="n"/>
      <c r="C339" s="60" t="n"/>
      <c r="D339" s="45">
        <f>IF($C339="","",IFERROR(INDEX('Chain Program'!$B$6:$B$120,MATCH($C339,'Chain Program'!$A$6:$A$120,0)),"Unknown ID"))</f>
        <v/>
      </c>
      <c r="E339" s="45">
        <f>IF($C339="","",IFERROR(INDEX('Chain Program'!$D$6:$D$120,MATCH($C339,'Chain Program'!$A$6:$A$120,0)),"Unknown ID"))</f>
        <v/>
      </c>
      <c r="F339" s="60" t="n"/>
      <c r="G339" s="60" t="n"/>
      <c r="H339" s="56">
        <f>IF(OR($C339="",$A339=""),"",IF(COUNTIFS('Promo Calendar'!$A$6:$A$400,$C339,'Promo Calendar'!$D$6:$D$400,IF($G339="","All",$G339),'Promo Calendar'!$I$6:$I$400,"&lt;="&amp;$A339,'Promo Calendar'!$J$6:$J$400,"&gt;="&amp;$A339,'Promo Calendar'!$G$6:$G$400,"&gt;0")&gt;0,_xlfn.MINIFS('Promo Calendar'!$G$6:$G$400,'Promo Calendar'!$A$6:$A$400,$C339,'Promo Calendar'!$D$6:$D$400,IF($G339="","All",$G339),'Promo Calendar'!$I$6:$I$400,"&lt;="&amp;$A339,'Promo Calendar'!$J$6:$J$400,"&gt;="&amp;$A339,'Promo Calendar'!$G$6:$G$400,"&gt;0"),IF(COUNTIFS('Promo Calendar'!$A$6:$A$400,$C339,'Promo Calendar'!$D$6:$D$400,"All",'Promo Calendar'!$I$6:$I$400,"&lt;="&amp;$A339,'Promo Calendar'!$J$6:$J$400,"&gt;="&amp;$A339,'Promo Calendar'!$G$6:$G$400,"&gt;0")&gt;0,_xlfn.MINIFS('Promo Calendar'!$G$6:$G$400,'Promo Calendar'!$A$6:$A$400,$C339,'Promo Calendar'!$D$6:$D$400,"All",'Promo Calendar'!$I$6:$I$400,"&lt;="&amp;$A339,'Promo Calendar'!$J$6:$J$400,"&gt;="&amp;$A339,'Promo Calendar'!$G$6:$G$400,"&gt;0"),IFERROR(IF(INDEX('Chain Program'!$M$6:$M$120,MATCH($C339,'Chain Program'!$A$6:$A$120,0))="","Not set",INDEX('Chain Program'!$M$6:$M$120,MATCH($C339,'Chain Program'!$A$6:$A$120,0))),"Not set"))))</f>
        <v/>
      </c>
      <c r="I339" s="61" t="n"/>
      <c r="J339" s="45">
        <f>IF($I339="","",IF(NOT(ISNUMBER($H339)),"No plan price",IF(ABS($I339-$H339)&lt;0.005,"Match",IF($I339&gt;$H339,"Over plan","Under plan"))))</f>
        <v/>
      </c>
      <c r="K339" s="60" t="n"/>
      <c r="L339" s="60" t="n"/>
      <c r="M339" s="60" t="n"/>
      <c r="N339" s="60" t="n"/>
      <c r="O339" s="60" t="n"/>
      <c r="P339" s="62" t="n"/>
      <c r="Q339" s="62" t="n"/>
      <c r="R339" s="60" t="n"/>
      <c r="S339" s="59" t="n"/>
      <c r="T339" s="60" t="n"/>
      <c r="U339" s="59" t="n"/>
      <c r="V339" s="45">
        <f>IF(OR($A339="",$T339="",$T339="No Issue"),"",IF($T339="Resolved",IF($U339="","",$U339-$A339),TODAY()-$A339))</f>
        <v/>
      </c>
      <c r="W339" s="47">
        <f>IF(AND($C339&lt;&gt;"",$C339='Store History'!$C$4,OR('Store History'!$C$5="",$F339='Store History'!$C$5)),1,0)</f>
        <v/>
      </c>
      <c r="X339" s="47">
        <f>IF($W339=1,SUM($W339:$W$1005),"")</f>
        <v/>
      </c>
    </row>
    <row r="340">
      <c r="A340" s="59" t="n"/>
      <c r="B340" s="60" t="n"/>
      <c r="C340" s="60" t="n"/>
      <c r="D340" s="45">
        <f>IF($C340="","",IFERROR(INDEX('Chain Program'!$B$6:$B$120,MATCH($C340,'Chain Program'!$A$6:$A$120,0)),"Unknown ID"))</f>
        <v/>
      </c>
      <c r="E340" s="45">
        <f>IF($C340="","",IFERROR(INDEX('Chain Program'!$D$6:$D$120,MATCH($C340,'Chain Program'!$A$6:$A$120,0)),"Unknown ID"))</f>
        <v/>
      </c>
      <c r="F340" s="60" t="n"/>
      <c r="G340" s="60" t="n"/>
      <c r="H340" s="56">
        <f>IF(OR($C340="",$A340=""),"",IF(COUNTIFS('Promo Calendar'!$A$6:$A$400,$C340,'Promo Calendar'!$D$6:$D$400,IF($G340="","All",$G340),'Promo Calendar'!$I$6:$I$400,"&lt;="&amp;$A340,'Promo Calendar'!$J$6:$J$400,"&gt;="&amp;$A340,'Promo Calendar'!$G$6:$G$400,"&gt;0")&gt;0,_xlfn.MINIFS('Promo Calendar'!$G$6:$G$400,'Promo Calendar'!$A$6:$A$400,$C340,'Promo Calendar'!$D$6:$D$400,IF($G340="","All",$G340),'Promo Calendar'!$I$6:$I$400,"&lt;="&amp;$A340,'Promo Calendar'!$J$6:$J$400,"&gt;="&amp;$A340,'Promo Calendar'!$G$6:$G$400,"&gt;0"),IF(COUNTIFS('Promo Calendar'!$A$6:$A$400,$C340,'Promo Calendar'!$D$6:$D$400,"All",'Promo Calendar'!$I$6:$I$400,"&lt;="&amp;$A340,'Promo Calendar'!$J$6:$J$400,"&gt;="&amp;$A340,'Promo Calendar'!$G$6:$G$400,"&gt;0")&gt;0,_xlfn.MINIFS('Promo Calendar'!$G$6:$G$400,'Promo Calendar'!$A$6:$A$400,$C340,'Promo Calendar'!$D$6:$D$400,"All",'Promo Calendar'!$I$6:$I$400,"&lt;="&amp;$A340,'Promo Calendar'!$J$6:$J$400,"&gt;="&amp;$A340,'Promo Calendar'!$G$6:$G$400,"&gt;0"),IFERROR(IF(INDEX('Chain Program'!$M$6:$M$120,MATCH($C340,'Chain Program'!$A$6:$A$120,0))="","Not set",INDEX('Chain Program'!$M$6:$M$120,MATCH($C340,'Chain Program'!$A$6:$A$120,0))),"Not set"))))</f>
        <v/>
      </c>
      <c r="I340" s="61" t="n"/>
      <c r="J340" s="45">
        <f>IF($I340="","",IF(NOT(ISNUMBER($H340)),"No plan price",IF(ABS($I340-$H340)&lt;0.005,"Match",IF($I340&gt;$H340,"Over plan","Under plan"))))</f>
        <v/>
      </c>
      <c r="K340" s="60" t="n"/>
      <c r="L340" s="60" t="n"/>
      <c r="M340" s="60" t="n"/>
      <c r="N340" s="60" t="n"/>
      <c r="O340" s="60" t="n"/>
      <c r="P340" s="62" t="n"/>
      <c r="Q340" s="62" t="n"/>
      <c r="R340" s="60" t="n"/>
      <c r="S340" s="59" t="n"/>
      <c r="T340" s="60" t="n"/>
      <c r="U340" s="59" t="n"/>
      <c r="V340" s="45">
        <f>IF(OR($A340="",$T340="",$T340="No Issue"),"",IF($T340="Resolved",IF($U340="","",$U340-$A340),TODAY()-$A340))</f>
        <v/>
      </c>
      <c r="W340" s="47">
        <f>IF(AND($C340&lt;&gt;"",$C340='Store History'!$C$4,OR('Store History'!$C$5="",$F340='Store History'!$C$5)),1,0)</f>
        <v/>
      </c>
      <c r="X340" s="47">
        <f>IF($W340=1,SUM($W340:$W$1005),"")</f>
        <v/>
      </c>
    </row>
    <row r="341">
      <c r="A341" s="59" t="n"/>
      <c r="B341" s="60" t="n"/>
      <c r="C341" s="60" t="n"/>
      <c r="D341" s="45">
        <f>IF($C341="","",IFERROR(INDEX('Chain Program'!$B$6:$B$120,MATCH($C341,'Chain Program'!$A$6:$A$120,0)),"Unknown ID"))</f>
        <v/>
      </c>
      <c r="E341" s="45">
        <f>IF($C341="","",IFERROR(INDEX('Chain Program'!$D$6:$D$120,MATCH($C341,'Chain Program'!$A$6:$A$120,0)),"Unknown ID"))</f>
        <v/>
      </c>
      <c r="F341" s="60" t="n"/>
      <c r="G341" s="60" t="n"/>
      <c r="H341" s="56">
        <f>IF(OR($C341="",$A341=""),"",IF(COUNTIFS('Promo Calendar'!$A$6:$A$400,$C341,'Promo Calendar'!$D$6:$D$400,IF($G341="","All",$G341),'Promo Calendar'!$I$6:$I$400,"&lt;="&amp;$A341,'Promo Calendar'!$J$6:$J$400,"&gt;="&amp;$A341,'Promo Calendar'!$G$6:$G$400,"&gt;0")&gt;0,_xlfn.MINIFS('Promo Calendar'!$G$6:$G$400,'Promo Calendar'!$A$6:$A$400,$C341,'Promo Calendar'!$D$6:$D$400,IF($G341="","All",$G341),'Promo Calendar'!$I$6:$I$400,"&lt;="&amp;$A341,'Promo Calendar'!$J$6:$J$400,"&gt;="&amp;$A341,'Promo Calendar'!$G$6:$G$400,"&gt;0"),IF(COUNTIFS('Promo Calendar'!$A$6:$A$400,$C341,'Promo Calendar'!$D$6:$D$400,"All",'Promo Calendar'!$I$6:$I$400,"&lt;="&amp;$A341,'Promo Calendar'!$J$6:$J$400,"&gt;="&amp;$A341,'Promo Calendar'!$G$6:$G$400,"&gt;0")&gt;0,_xlfn.MINIFS('Promo Calendar'!$G$6:$G$400,'Promo Calendar'!$A$6:$A$400,$C341,'Promo Calendar'!$D$6:$D$400,"All",'Promo Calendar'!$I$6:$I$400,"&lt;="&amp;$A341,'Promo Calendar'!$J$6:$J$400,"&gt;="&amp;$A341,'Promo Calendar'!$G$6:$G$400,"&gt;0"),IFERROR(IF(INDEX('Chain Program'!$M$6:$M$120,MATCH($C341,'Chain Program'!$A$6:$A$120,0))="","Not set",INDEX('Chain Program'!$M$6:$M$120,MATCH($C341,'Chain Program'!$A$6:$A$120,0))),"Not set"))))</f>
        <v/>
      </c>
      <c r="I341" s="61" t="n"/>
      <c r="J341" s="45">
        <f>IF($I341="","",IF(NOT(ISNUMBER($H341)),"No plan price",IF(ABS($I341-$H341)&lt;0.005,"Match",IF($I341&gt;$H341,"Over plan","Under plan"))))</f>
        <v/>
      </c>
      <c r="K341" s="60" t="n"/>
      <c r="L341" s="60" t="n"/>
      <c r="M341" s="60" t="n"/>
      <c r="N341" s="60" t="n"/>
      <c r="O341" s="60" t="n"/>
      <c r="P341" s="62" t="n"/>
      <c r="Q341" s="62" t="n"/>
      <c r="R341" s="60" t="n"/>
      <c r="S341" s="59" t="n"/>
      <c r="T341" s="60" t="n"/>
      <c r="U341" s="59" t="n"/>
      <c r="V341" s="45">
        <f>IF(OR($A341="",$T341="",$T341="No Issue"),"",IF($T341="Resolved",IF($U341="","",$U341-$A341),TODAY()-$A341))</f>
        <v/>
      </c>
      <c r="W341" s="47">
        <f>IF(AND($C341&lt;&gt;"",$C341='Store History'!$C$4,OR('Store History'!$C$5="",$F341='Store History'!$C$5)),1,0)</f>
        <v/>
      </c>
      <c r="X341" s="47">
        <f>IF($W341=1,SUM($W341:$W$1005),"")</f>
        <v/>
      </c>
    </row>
    <row r="342">
      <c r="A342" s="59" t="n"/>
      <c r="B342" s="60" t="n"/>
      <c r="C342" s="60" t="n"/>
      <c r="D342" s="45">
        <f>IF($C342="","",IFERROR(INDEX('Chain Program'!$B$6:$B$120,MATCH($C342,'Chain Program'!$A$6:$A$120,0)),"Unknown ID"))</f>
        <v/>
      </c>
      <c r="E342" s="45">
        <f>IF($C342="","",IFERROR(INDEX('Chain Program'!$D$6:$D$120,MATCH($C342,'Chain Program'!$A$6:$A$120,0)),"Unknown ID"))</f>
        <v/>
      </c>
      <c r="F342" s="60" t="n"/>
      <c r="G342" s="60" t="n"/>
      <c r="H342" s="56">
        <f>IF(OR($C342="",$A342=""),"",IF(COUNTIFS('Promo Calendar'!$A$6:$A$400,$C342,'Promo Calendar'!$D$6:$D$400,IF($G342="","All",$G342),'Promo Calendar'!$I$6:$I$400,"&lt;="&amp;$A342,'Promo Calendar'!$J$6:$J$400,"&gt;="&amp;$A342,'Promo Calendar'!$G$6:$G$400,"&gt;0")&gt;0,_xlfn.MINIFS('Promo Calendar'!$G$6:$G$400,'Promo Calendar'!$A$6:$A$400,$C342,'Promo Calendar'!$D$6:$D$400,IF($G342="","All",$G342),'Promo Calendar'!$I$6:$I$400,"&lt;="&amp;$A342,'Promo Calendar'!$J$6:$J$400,"&gt;="&amp;$A342,'Promo Calendar'!$G$6:$G$400,"&gt;0"),IF(COUNTIFS('Promo Calendar'!$A$6:$A$400,$C342,'Promo Calendar'!$D$6:$D$400,"All",'Promo Calendar'!$I$6:$I$400,"&lt;="&amp;$A342,'Promo Calendar'!$J$6:$J$400,"&gt;="&amp;$A342,'Promo Calendar'!$G$6:$G$400,"&gt;0")&gt;0,_xlfn.MINIFS('Promo Calendar'!$G$6:$G$400,'Promo Calendar'!$A$6:$A$400,$C342,'Promo Calendar'!$D$6:$D$400,"All",'Promo Calendar'!$I$6:$I$400,"&lt;="&amp;$A342,'Promo Calendar'!$J$6:$J$400,"&gt;="&amp;$A342,'Promo Calendar'!$G$6:$G$400,"&gt;0"),IFERROR(IF(INDEX('Chain Program'!$M$6:$M$120,MATCH($C342,'Chain Program'!$A$6:$A$120,0))="","Not set",INDEX('Chain Program'!$M$6:$M$120,MATCH($C342,'Chain Program'!$A$6:$A$120,0))),"Not set"))))</f>
        <v/>
      </c>
      <c r="I342" s="61" t="n"/>
      <c r="J342" s="45">
        <f>IF($I342="","",IF(NOT(ISNUMBER($H342)),"No plan price",IF(ABS($I342-$H342)&lt;0.005,"Match",IF($I342&gt;$H342,"Over plan","Under plan"))))</f>
        <v/>
      </c>
      <c r="K342" s="60" t="n"/>
      <c r="L342" s="60" t="n"/>
      <c r="M342" s="60" t="n"/>
      <c r="N342" s="60" t="n"/>
      <c r="O342" s="60" t="n"/>
      <c r="P342" s="62" t="n"/>
      <c r="Q342" s="62" t="n"/>
      <c r="R342" s="60" t="n"/>
      <c r="S342" s="59" t="n"/>
      <c r="T342" s="60" t="n"/>
      <c r="U342" s="59" t="n"/>
      <c r="V342" s="45">
        <f>IF(OR($A342="",$T342="",$T342="No Issue"),"",IF($T342="Resolved",IF($U342="","",$U342-$A342),TODAY()-$A342))</f>
        <v/>
      </c>
      <c r="W342" s="47">
        <f>IF(AND($C342&lt;&gt;"",$C342='Store History'!$C$4,OR('Store History'!$C$5="",$F342='Store History'!$C$5)),1,0)</f>
        <v/>
      </c>
      <c r="X342" s="47">
        <f>IF($W342=1,SUM($W342:$W$1005),"")</f>
        <v/>
      </c>
    </row>
    <row r="343">
      <c r="A343" s="59" t="n"/>
      <c r="B343" s="60" t="n"/>
      <c r="C343" s="60" t="n"/>
      <c r="D343" s="45">
        <f>IF($C343="","",IFERROR(INDEX('Chain Program'!$B$6:$B$120,MATCH($C343,'Chain Program'!$A$6:$A$120,0)),"Unknown ID"))</f>
        <v/>
      </c>
      <c r="E343" s="45">
        <f>IF($C343="","",IFERROR(INDEX('Chain Program'!$D$6:$D$120,MATCH($C343,'Chain Program'!$A$6:$A$120,0)),"Unknown ID"))</f>
        <v/>
      </c>
      <c r="F343" s="60" t="n"/>
      <c r="G343" s="60" t="n"/>
      <c r="H343" s="56">
        <f>IF(OR($C343="",$A343=""),"",IF(COUNTIFS('Promo Calendar'!$A$6:$A$400,$C343,'Promo Calendar'!$D$6:$D$400,IF($G343="","All",$G343),'Promo Calendar'!$I$6:$I$400,"&lt;="&amp;$A343,'Promo Calendar'!$J$6:$J$400,"&gt;="&amp;$A343,'Promo Calendar'!$G$6:$G$400,"&gt;0")&gt;0,_xlfn.MINIFS('Promo Calendar'!$G$6:$G$400,'Promo Calendar'!$A$6:$A$400,$C343,'Promo Calendar'!$D$6:$D$400,IF($G343="","All",$G343),'Promo Calendar'!$I$6:$I$400,"&lt;="&amp;$A343,'Promo Calendar'!$J$6:$J$400,"&gt;="&amp;$A343,'Promo Calendar'!$G$6:$G$400,"&gt;0"),IF(COUNTIFS('Promo Calendar'!$A$6:$A$400,$C343,'Promo Calendar'!$D$6:$D$400,"All",'Promo Calendar'!$I$6:$I$400,"&lt;="&amp;$A343,'Promo Calendar'!$J$6:$J$400,"&gt;="&amp;$A343,'Promo Calendar'!$G$6:$G$400,"&gt;0")&gt;0,_xlfn.MINIFS('Promo Calendar'!$G$6:$G$400,'Promo Calendar'!$A$6:$A$400,$C343,'Promo Calendar'!$D$6:$D$400,"All",'Promo Calendar'!$I$6:$I$400,"&lt;="&amp;$A343,'Promo Calendar'!$J$6:$J$400,"&gt;="&amp;$A343,'Promo Calendar'!$G$6:$G$400,"&gt;0"),IFERROR(IF(INDEX('Chain Program'!$M$6:$M$120,MATCH($C343,'Chain Program'!$A$6:$A$120,0))="","Not set",INDEX('Chain Program'!$M$6:$M$120,MATCH($C343,'Chain Program'!$A$6:$A$120,0))),"Not set"))))</f>
        <v/>
      </c>
      <c r="I343" s="61" t="n"/>
      <c r="J343" s="45">
        <f>IF($I343="","",IF(NOT(ISNUMBER($H343)),"No plan price",IF(ABS($I343-$H343)&lt;0.005,"Match",IF($I343&gt;$H343,"Over plan","Under plan"))))</f>
        <v/>
      </c>
      <c r="K343" s="60" t="n"/>
      <c r="L343" s="60" t="n"/>
      <c r="M343" s="60" t="n"/>
      <c r="N343" s="60" t="n"/>
      <c r="O343" s="60" t="n"/>
      <c r="P343" s="62" t="n"/>
      <c r="Q343" s="62" t="n"/>
      <c r="R343" s="60" t="n"/>
      <c r="S343" s="59" t="n"/>
      <c r="T343" s="60" t="n"/>
      <c r="U343" s="59" t="n"/>
      <c r="V343" s="45">
        <f>IF(OR($A343="",$T343="",$T343="No Issue"),"",IF($T343="Resolved",IF($U343="","",$U343-$A343),TODAY()-$A343))</f>
        <v/>
      </c>
      <c r="W343" s="47">
        <f>IF(AND($C343&lt;&gt;"",$C343='Store History'!$C$4,OR('Store History'!$C$5="",$F343='Store History'!$C$5)),1,0)</f>
        <v/>
      </c>
      <c r="X343" s="47">
        <f>IF($W343=1,SUM($W343:$W$1005),"")</f>
        <v/>
      </c>
    </row>
    <row r="344">
      <c r="A344" s="59" t="n"/>
      <c r="B344" s="60" t="n"/>
      <c r="C344" s="60" t="n"/>
      <c r="D344" s="45">
        <f>IF($C344="","",IFERROR(INDEX('Chain Program'!$B$6:$B$120,MATCH($C344,'Chain Program'!$A$6:$A$120,0)),"Unknown ID"))</f>
        <v/>
      </c>
      <c r="E344" s="45">
        <f>IF($C344="","",IFERROR(INDEX('Chain Program'!$D$6:$D$120,MATCH($C344,'Chain Program'!$A$6:$A$120,0)),"Unknown ID"))</f>
        <v/>
      </c>
      <c r="F344" s="60" t="n"/>
      <c r="G344" s="60" t="n"/>
      <c r="H344" s="56">
        <f>IF(OR($C344="",$A344=""),"",IF(COUNTIFS('Promo Calendar'!$A$6:$A$400,$C344,'Promo Calendar'!$D$6:$D$400,IF($G344="","All",$G344),'Promo Calendar'!$I$6:$I$400,"&lt;="&amp;$A344,'Promo Calendar'!$J$6:$J$400,"&gt;="&amp;$A344,'Promo Calendar'!$G$6:$G$400,"&gt;0")&gt;0,_xlfn.MINIFS('Promo Calendar'!$G$6:$G$400,'Promo Calendar'!$A$6:$A$400,$C344,'Promo Calendar'!$D$6:$D$400,IF($G344="","All",$G344),'Promo Calendar'!$I$6:$I$400,"&lt;="&amp;$A344,'Promo Calendar'!$J$6:$J$400,"&gt;="&amp;$A344,'Promo Calendar'!$G$6:$G$400,"&gt;0"),IF(COUNTIFS('Promo Calendar'!$A$6:$A$400,$C344,'Promo Calendar'!$D$6:$D$400,"All",'Promo Calendar'!$I$6:$I$400,"&lt;="&amp;$A344,'Promo Calendar'!$J$6:$J$400,"&gt;="&amp;$A344,'Promo Calendar'!$G$6:$G$400,"&gt;0")&gt;0,_xlfn.MINIFS('Promo Calendar'!$G$6:$G$400,'Promo Calendar'!$A$6:$A$400,$C344,'Promo Calendar'!$D$6:$D$400,"All",'Promo Calendar'!$I$6:$I$400,"&lt;="&amp;$A344,'Promo Calendar'!$J$6:$J$400,"&gt;="&amp;$A344,'Promo Calendar'!$G$6:$G$400,"&gt;0"),IFERROR(IF(INDEX('Chain Program'!$M$6:$M$120,MATCH($C344,'Chain Program'!$A$6:$A$120,0))="","Not set",INDEX('Chain Program'!$M$6:$M$120,MATCH($C344,'Chain Program'!$A$6:$A$120,0))),"Not set"))))</f>
        <v/>
      </c>
      <c r="I344" s="61" t="n"/>
      <c r="J344" s="45">
        <f>IF($I344="","",IF(NOT(ISNUMBER($H344)),"No plan price",IF(ABS($I344-$H344)&lt;0.005,"Match",IF($I344&gt;$H344,"Over plan","Under plan"))))</f>
        <v/>
      </c>
      <c r="K344" s="60" t="n"/>
      <c r="L344" s="60" t="n"/>
      <c r="M344" s="60" t="n"/>
      <c r="N344" s="60" t="n"/>
      <c r="O344" s="60" t="n"/>
      <c r="P344" s="62" t="n"/>
      <c r="Q344" s="62" t="n"/>
      <c r="R344" s="60" t="n"/>
      <c r="S344" s="59" t="n"/>
      <c r="T344" s="60" t="n"/>
      <c r="U344" s="59" t="n"/>
      <c r="V344" s="45">
        <f>IF(OR($A344="",$T344="",$T344="No Issue"),"",IF($T344="Resolved",IF($U344="","",$U344-$A344),TODAY()-$A344))</f>
        <v/>
      </c>
      <c r="W344" s="47">
        <f>IF(AND($C344&lt;&gt;"",$C344='Store History'!$C$4,OR('Store History'!$C$5="",$F344='Store History'!$C$5)),1,0)</f>
        <v/>
      </c>
      <c r="X344" s="47">
        <f>IF($W344=1,SUM($W344:$W$1005),"")</f>
        <v/>
      </c>
    </row>
    <row r="345">
      <c r="A345" s="59" t="n"/>
      <c r="B345" s="60" t="n"/>
      <c r="C345" s="60" t="n"/>
      <c r="D345" s="45">
        <f>IF($C345="","",IFERROR(INDEX('Chain Program'!$B$6:$B$120,MATCH($C345,'Chain Program'!$A$6:$A$120,0)),"Unknown ID"))</f>
        <v/>
      </c>
      <c r="E345" s="45">
        <f>IF($C345="","",IFERROR(INDEX('Chain Program'!$D$6:$D$120,MATCH($C345,'Chain Program'!$A$6:$A$120,0)),"Unknown ID"))</f>
        <v/>
      </c>
      <c r="F345" s="60" t="n"/>
      <c r="G345" s="60" t="n"/>
      <c r="H345" s="56">
        <f>IF(OR($C345="",$A345=""),"",IF(COUNTIFS('Promo Calendar'!$A$6:$A$400,$C345,'Promo Calendar'!$D$6:$D$400,IF($G345="","All",$G345),'Promo Calendar'!$I$6:$I$400,"&lt;="&amp;$A345,'Promo Calendar'!$J$6:$J$400,"&gt;="&amp;$A345,'Promo Calendar'!$G$6:$G$400,"&gt;0")&gt;0,_xlfn.MINIFS('Promo Calendar'!$G$6:$G$400,'Promo Calendar'!$A$6:$A$400,$C345,'Promo Calendar'!$D$6:$D$400,IF($G345="","All",$G345),'Promo Calendar'!$I$6:$I$400,"&lt;="&amp;$A345,'Promo Calendar'!$J$6:$J$400,"&gt;="&amp;$A345,'Promo Calendar'!$G$6:$G$400,"&gt;0"),IF(COUNTIFS('Promo Calendar'!$A$6:$A$400,$C345,'Promo Calendar'!$D$6:$D$400,"All",'Promo Calendar'!$I$6:$I$400,"&lt;="&amp;$A345,'Promo Calendar'!$J$6:$J$400,"&gt;="&amp;$A345,'Promo Calendar'!$G$6:$G$400,"&gt;0")&gt;0,_xlfn.MINIFS('Promo Calendar'!$G$6:$G$400,'Promo Calendar'!$A$6:$A$400,$C345,'Promo Calendar'!$D$6:$D$400,"All",'Promo Calendar'!$I$6:$I$400,"&lt;="&amp;$A345,'Promo Calendar'!$J$6:$J$400,"&gt;="&amp;$A345,'Promo Calendar'!$G$6:$G$400,"&gt;0"),IFERROR(IF(INDEX('Chain Program'!$M$6:$M$120,MATCH($C345,'Chain Program'!$A$6:$A$120,0))="","Not set",INDEX('Chain Program'!$M$6:$M$120,MATCH($C345,'Chain Program'!$A$6:$A$120,0))),"Not set"))))</f>
        <v/>
      </c>
      <c r="I345" s="61" t="n"/>
      <c r="J345" s="45">
        <f>IF($I345="","",IF(NOT(ISNUMBER($H345)),"No plan price",IF(ABS($I345-$H345)&lt;0.005,"Match",IF($I345&gt;$H345,"Over plan","Under plan"))))</f>
        <v/>
      </c>
      <c r="K345" s="60" t="n"/>
      <c r="L345" s="60" t="n"/>
      <c r="M345" s="60" t="n"/>
      <c r="N345" s="60" t="n"/>
      <c r="O345" s="60" t="n"/>
      <c r="P345" s="62" t="n"/>
      <c r="Q345" s="62" t="n"/>
      <c r="R345" s="60" t="n"/>
      <c r="S345" s="59" t="n"/>
      <c r="T345" s="60" t="n"/>
      <c r="U345" s="59" t="n"/>
      <c r="V345" s="45">
        <f>IF(OR($A345="",$T345="",$T345="No Issue"),"",IF($T345="Resolved",IF($U345="","",$U345-$A345),TODAY()-$A345))</f>
        <v/>
      </c>
      <c r="W345" s="47">
        <f>IF(AND($C345&lt;&gt;"",$C345='Store History'!$C$4,OR('Store History'!$C$5="",$F345='Store History'!$C$5)),1,0)</f>
        <v/>
      </c>
      <c r="X345" s="47">
        <f>IF($W345=1,SUM($W345:$W$1005),"")</f>
        <v/>
      </c>
    </row>
    <row r="346">
      <c r="A346" s="59" t="n"/>
      <c r="B346" s="60" t="n"/>
      <c r="C346" s="60" t="n"/>
      <c r="D346" s="45">
        <f>IF($C346="","",IFERROR(INDEX('Chain Program'!$B$6:$B$120,MATCH($C346,'Chain Program'!$A$6:$A$120,0)),"Unknown ID"))</f>
        <v/>
      </c>
      <c r="E346" s="45">
        <f>IF($C346="","",IFERROR(INDEX('Chain Program'!$D$6:$D$120,MATCH($C346,'Chain Program'!$A$6:$A$120,0)),"Unknown ID"))</f>
        <v/>
      </c>
      <c r="F346" s="60" t="n"/>
      <c r="G346" s="60" t="n"/>
      <c r="H346" s="56">
        <f>IF(OR($C346="",$A346=""),"",IF(COUNTIFS('Promo Calendar'!$A$6:$A$400,$C346,'Promo Calendar'!$D$6:$D$400,IF($G346="","All",$G346),'Promo Calendar'!$I$6:$I$400,"&lt;="&amp;$A346,'Promo Calendar'!$J$6:$J$400,"&gt;="&amp;$A346,'Promo Calendar'!$G$6:$G$400,"&gt;0")&gt;0,_xlfn.MINIFS('Promo Calendar'!$G$6:$G$400,'Promo Calendar'!$A$6:$A$400,$C346,'Promo Calendar'!$D$6:$D$400,IF($G346="","All",$G346),'Promo Calendar'!$I$6:$I$400,"&lt;="&amp;$A346,'Promo Calendar'!$J$6:$J$400,"&gt;="&amp;$A346,'Promo Calendar'!$G$6:$G$400,"&gt;0"),IF(COUNTIFS('Promo Calendar'!$A$6:$A$400,$C346,'Promo Calendar'!$D$6:$D$400,"All",'Promo Calendar'!$I$6:$I$400,"&lt;="&amp;$A346,'Promo Calendar'!$J$6:$J$400,"&gt;="&amp;$A346,'Promo Calendar'!$G$6:$G$400,"&gt;0")&gt;0,_xlfn.MINIFS('Promo Calendar'!$G$6:$G$400,'Promo Calendar'!$A$6:$A$400,$C346,'Promo Calendar'!$D$6:$D$400,"All",'Promo Calendar'!$I$6:$I$400,"&lt;="&amp;$A346,'Promo Calendar'!$J$6:$J$400,"&gt;="&amp;$A346,'Promo Calendar'!$G$6:$G$400,"&gt;0"),IFERROR(IF(INDEX('Chain Program'!$M$6:$M$120,MATCH($C346,'Chain Program'!$A$6:$A$120,0))="","Not set",INDEX('Chain Program'!$M$6:$M$120,MATCH($C346,'Chain Program'!$A$6:$A$120,0))),"Not set"))))</f>
        <v/>
      </c>
      <c r="I346" s="61" t="n"/>
      <c r="J346" s="45">
        <f>IF($I346="","",IF(NOT(ISNUMBER($H346)),"No plan price",IF(ABS($I346-$H346)&lt;0.005,"Match",IF($I346&gt;$H346,"Over plan","Under plan"))))</f>
        <v/>
      </c>
      <c r="K346" s="60" t="n"/>
      <c r="L346" s="60" t="n"/>
      <c r="M346" s="60" t="n"/>
      <c r="N346" s="60" t="n"/>
      <c r="O346" s="60" t="n"/>
      <c r="P346" s="62" t="n"/>
      <c r="Q346" s="62" t="n"/>
      <c r="R346" s="60" t="n"/>
      <c r="S346" s="59" t="n"/>
      <c r="T346" s="60" t="n"/>
      <c r="U346" s="59" t="n"/>
      <c r="V346" s="45">
        <f>IF(OR($A346="",$T346="",$T346="No Issue"),"",IF($T346="Resolved",IF($U346="","",$U346-$A346),TODAY()-$A346))</f>
        <v/>
      </c>
      <c r="W346" s="47">
        <f>IF(AND($C346&lt;&gt;"",$C346='Store History'!$C$4,OR('Store History'!$C$5="",$F346='Store History'!$C$5)),1,0)</f>
        <v/>
      </c>
      <c r="X346" s="47">
        <f>IF($W346=1,SUM($W346:$W$1005),"")</f>
        <v/>
      </c>
    </row>
    <row r="347">
      <c r="A347" s="59" t="n"/>
      <c r="B347" s="60" t="n"/>
      <c r="C347" s="60" t="n"/>
      <c r="D347" s="45">
        <f>IF($C347="","",IFERROR(INDEX('Chain Program'!$B$6:$B$120,MATCH($C347,'Chain Program'!$A$6:$A$120,0)),"Unknown ID"))</f>
        <v/>
      </c>
      <c r="E347" s="45">
        <f>IF($C347="","",IFERROR(INDEX('Chain Program'!$D$6:$D$120,MATCH($C347,'Chain Program'!$A$6:$A$120,0)),"Unknown ID"))</f>
        <v/>
      </c>
      <c r="F347" s="60" t="n"/>
      <c r="G347" s="60" t="n"/>
      <c r="H347" s="56">
        <f>IF(OR($C347="",$A347=""),"",IF(COUNTIFS('Promo Calendar'!$A$6:$A$400,$C347,'Promo Calendar'!$D$6:$D$400,IF($G347="","All",$G347),'Promo Calendar'!$I$6:$I$400,"&lt;="&amp;$A347,'Promo Calendar'!$J$6:$J$400,"&gt;="&amp;$A347,'Promo Calendar'!$G$6:$G$400,"&gt;0")&gt;0,_xlfn.MINIFS('Promo Calendar'!$G$6:$G$400,'Promo Calendar'!$A$6:$A$400,$C347,'Promo Calendar'!$D$6:$D$400,IF($G347="","All",$G347),'Promo Calendar'!$I$6:$I$400,"&lt;="&amp;$A347,'Promo Calendar'!$J$6:$J$400,"&gt;="&amp;$A347,'Promo Calendar'!$G$6:$G$400,"&gt;0"),IF(COUNTIFS('Promo Calendar'!$A$6:$A$400,$C347,'Promo Calendar'!$D$6:$D$400,"All",'Promo Calendar'!$I$6:$I$400,"&lt;="&amp;$A347,'Promo Calendar'!$J$6:$J$400,"&gt;="&amp;$A347,'Promo Calendar'!$G$6:$G$400,"&gt;0")&gt;0,_xlfn.MINIFS('Promo Calendar'!$G$6:$G$400,'Promo Calendar'!$A$6:$A$400,$C347,'Promo Calendar'!$D$6:$D$400,"All",'Promo Calendar'!$I$6:$I$400,"&lt;="&amp;$A347,'Promo Calendar'!$J$6:$J$400,"&gt;="&amp;$A347,'Promo Calendar'!$G$6:$G$400,"&gt;0"),IFERROR(IF(INDEX('Chain Program'!$M$6:$M$120,MATCH($C347,'Chain Program'!$A$6:$A$120,0))="","Not set",INDEX('Chain Program'!$M$6:$M$120,MATCH($C347,'Chain Program'!$A$6:$A$120,0))),"Not set"))))</f>
        <v/>
      </c>
      <c r="I347" s="61" t="n"/>
      <c r="J347" s="45">
        <f>IF($I347="","",IF(NOT(ISNUMBER($H347)),"No plan price",IF(ABS($I347-$H347)&lt;0.005,"Match",IF($I347&gt;$H347,"Over plan","Under plan"))))</f>
        <v/>
      </c>
      <c r="K347" s="60" t="n"/>
      <c r="L347" s="60" t="n"/>
      <c r="M347" s="60" t="n"/>
      <c r="N347" s="60" t="n"/>
      <c r="O347" s="60" t="n"/>
      <c r="P347" s="62" t="n"/>
      <c r="Q347" s="62" t="n"/>
      <c r="R347" s="60" t="n"/>
      <c r="S347" s="59" t="n"/>
      <c r="T347" s="60" t="n"/>
      <c r="U347" s="59" t="n"/>
      <c r="V347" s="45">
        <f>IF(OR($A347="",$T347="",$T347="No Issue"),"",IF($T347="Resolved",IF($U347="","",$U347-$A347),TODAY()-$A347))</f>
        <v/>
      </c>
      <c r="W347" s="47">
        <f>IF(AND($C347&lt;&gt;"",$C347='Store History'!$C$4,OR('Store History'!$C$5="",$F347='Store History'!$C$5)),1,0)</f>
        <v/>
      </c>
      <c r="X347" s="47">
        <f>IF($W347=1,SUM($W347:$W$1005),"")</f>
        <v/>
      </c>
    </row>
    <row r="348">
      <c r="A348" s="59" t="n"/>
      <c r="B348" s="60" t="n"/>
      <c r="C348" s="60" t="n"/>
      <c r="D348" s="45">
        <f>IF($C348="","",IFERROR(INDEX('Chain Program'!$B$6:$B$120,MATCH($C348,'Chain Program'!$A$6:$A$120,0)),"Unknown ID"))</f>
        <v/>
      </c>
      <c r="E348" s="45">
        <f>IF($C348="","",IFERROR(INDEX('Chain Program'!$D$6:$D$120,MATCH($C348,'Chain Program'!$A$6:$A$120,0)),"Unknown ID"))</f>
        <v/>
      </c>
      <c r="F348" s="60" t="n"/>
      <c r="G348" s="60" t="n"/>
      <c r="H348" s="56">
        <f>IF(OR($C348="",$A348=""),"",IF(COUNTIFS('Promo Calendar'!$A$6:$A$400,$C348,'Promo Calendar'!$D$6:$D$400,IF($G348="","All",$G348),'Promo Calendar'!$I$6:$I$400,"&lt;="&amp;$A348,'Promo Calendar'!$J$6:$J$400,"&gt;="&amp;$A348,'Promo Calendar'!$G$6:$G$400,"&gt;0")&gt;0,_xlfn.MINIFS('Promo Calendar'!$G$6:$G$400,'Promo Calendar'!$A$6:$A$400,$C348,'Promo Calendar'!$D$6:$D$400,IF($G348="","All",$G348),'Promo Calendar'!$I$6:$I$400,"&lt;="&amp;$A348,'Promo Calendar'!$J$6:$J$400,"&gt;="&amp;$A348,'Promo Calendar'!$G$6:$G$400,"&gt;0"),IF(COUNTIFS('Promo Calendar'!$A$6:$A$400,$C348,'Promo Calendar'!$D$6:$D$400,"All",'Promo Calendar'!$I$6:$I$400,"&lt;="&amp;$A348,'Promo Calendar'!$J$6:$J$400,"&gt;="&amp;$A348,'Promo Calendar'!$G$6:$G$400,"&gt;0")&gt;0,_xlfn.MINIFS('Promo Calendar'!$G$6:$G$400,'Promo Calendar'!$A$6:$A$400,$C348,'Promo Calendar'!$D$6:$D$400,"All",'Promo Calendar'!$I$6:$I$400,"&lt;="&amp;$A348,'Promo Calendar'!$J$6:$J$400,"&gt;="&amp;$A348,'Promo Calendar'!$G$6:$G$400,"&gt;0"),IFERROR(IF(INDEX('Chain Program'!$M$6:$M$120,MATCH($C348,'Chain Program'!$A$6:$A$120,0))="","Not set",INDEX('Chain Program'!$M$6:$M$120,MATCH($C348,'Chain Program'!$A$6:$A$120,0))),"Not set"))))</f>
        <v/>
      </c>
      <c r="I348" s="61" t="n"/>
      <c r="J348" s="45">
        <f>IF($I348="","",IF(NOT(ISNUMBER($H348)),"No plan price",IF(ABS($I348-$H348)&lt;0.005,"Match",IF($I348&gt;$H348,"Over plan","Under plan"))))</f>
        <v/>
      </c>
      <c r="K348" s="60" t="n"/>
      <c r="L348" s="60" t="n"/>
      <c r="M348" s="60" t="n"/>
      <c r="N348" s="60" t="n"/>
      <c r="O348" s="60" t="n"/>
      <c r="P348" s="62" t="n"/>
      <c r="Q348" s="62" t="n"/>
      <c r="R348" s="60" t="n"/>
      <c r="S348" s="59" t="n"/>
      <c r="T348" s="60" t="n"/>
      <c r="U348" s="59" t="n"/>
      <c r="V348" s="45">
        <f>IF(OR($A348="",$T348="",$T348="No Issue"),"",IF($T348="Resolved",IF($U348="","",$U348-$A348),TODAY()-$A348))</f>
        <v/>
      </c>
      <c r="W348" s="47">
        <f>IF(AND($C348&lt;&gt;"",$C348='Store History'!$C$4,OR('Store History'!$C$5="",$F348='Store History'!$C$5)),1,0)</f>
        <v/>
      </c>
      <c r="X348" s="47">
        <f>IF($W348=1,SUM($W348:$W$1005),"")</f>
        <v/>
      </c>
    </row>
    <row r="349">
      <c r="A349" s="59" t="n"/>
      <c r="B349" s="60" t="n"/>
      <c r="C349" s="60" t="n"/>
      <c r="D349" s="45">
        <f>IF($C349="","",IFERROR(INDEX('Chain Program'!$B$6:$B$120,MATCH($C349,'Chain Program'!$A$6:$A$120,0)),"Unknown ID"))</f>
        <v/>
      </c>
      <c r="E349" s="45">
        <f>IF($C349="","",IFERROR(INDEX('Chain Program'!$D$6:$D$120,MATCH($C349,'Chain Program'!$A$6:$A$120,0)),"Unknown ID"))</f>
        <v/>
      </c>
      <c r="F349" s="60" t="n"/>
      <c r="G349" s="60" t="n"/>
      <c r="H349" s="56">
        <f>IF(OR($C349="",$A349=""),"",IF(COUNTIFS('Promo Calendar'!$A$6:$A$400,$C349,'Promo Calendar'!$D$6:$D$400,IF($G349="","All",$G349),'Promo Calendar'!$I$6:$I$400,"&lt;="&amp;$A349,'Promo Calendar'!$J$6:$J$400,"&gt;="&amp;$A349,'Promo Calendar'!$G$6:$G$400,"&gt;0")&gt;0,_xlfn.MINIFS('Promo Calendar'!$G$6:$G$400,'Promo Calendar'!$A$6:$A$400,$C349,'Promo Calendar'!$D$6:$D$400,IF($G349="","All",$G349),'Promo Calendar'!$I$6:$I$400,"&lt;="&amp;$A349,'Promo Calendar'!$J$6:$J$400,"&gt;="&amp;$A349,'Promo Calendar'!$G$6:$G$400,"&gt;0"),IF(COUNTIFS('Promo Calendar'!$A$6:$A$400,$C349,'Promo Calendar'!$D$6:$D$400,"All",'Promo Calendar'!$I$6:$I$400,"&lt;="&amp;$A349,'Promo Calendar'!$J$6:$J$400,"&gt;="&amp;$A349,'Promo Calendar'!$G$6:$G$400,"&gt;0")&gt;0,_xlfn.MINIFS('Promo Calendar'!$G$6:$G$400,'Promo Calendar'!$A$6:$A$400,$C349,'Promo Calendar'!$D$6:$D$400,"All",'Promo Calendar'!$I$6:$I$400,"&lt;="&amp;$A349,'Promo Calendar'!$J$6:$J$400,"&gt;="&amp;$A349,'Promo Calendar'!$G$6:$G$400,"&gt;0"),IFERROR(IF(INDEX('Chain Program'!$M$6:$M$120,MATCH($C349,'Chain Program'!$A$6:$A$120,0))="","Not set",INDEX('Chain Program'!$M$6:$M$120,MATCH($C349,'Chain Program'!$A$6:$A$120,0))),"Not set"))))</f>
        <v/>
      </c>
      <c r="I349" s="61" t="n"/>
      <c r="J349" s="45">
        <f>IF($I349="","",IF(NOT(ISNUMBER($H349)),"No plan price",IF(ABS($I349-$H349)&lt;0.005,"Match",IF($I349&gt;$H349,"Over plan","Under plan"))))</f>
        <v/>
      </c>
      <c r="K349" s="60" t="n"/>
      <c r="L349" s="60" t="n"/>
      <c r="M349" s="60" t="n"/>
      <c r="N349" s="60" t="n"/>
      <c r="O349" s="60" t="n"/>
      <c r="P349" s="62" t="n"/>
      <c r="Q349" s="62" t="n"/>
      <c r="R349" s="60" t="n"/>
      <c r="S349" s="59" t="n"/>
      <c r="T349" s="60" t="n"/>
      <c r="U349" s="59" t="n"/>
      <c r="V349" s="45">
        <f>IF(OR($A349="",$T349="",$T349="No Issue"),"",IF($T349="Resolved",IF($U349="","",$U349-$A349),TODAY()-$A349))</f>
        <v/>
      </c>
      <c r="W349" s="47">
        <f>IF(AND($C349&lt;&gt;"",$C349='Store History'!$C$4,OR('Store History'!$C$5="",$F349='Store History'!$C$5)),1,0)</f>
        <v/>
      </c>
      <c r="X349" s="47">
        <f>IF($W349=1,SUM($W349:$W$1005),"")</f>
        <v/>
      </c>
    </row>
    <row r="350">
      <c r="A350" s="59" t="n"/>
      <c r="B350" s="60" t="n"/>
      <c r="C350" s="60" t="n"/>
      <c r="D350" s="45">
        <f>IF($C350="","",IFERROR(INDEX('Chain Program'!$B$6:$B$120,MATCH($C350,'Chain Program'!$A$6:$A$120,0)),"Unknown ID"))</f>
        <v/>
      </c>
      <c r="E350" s="45">
        <f>IF($C350="","",IFERROR(INDEX('Chain Program'!$D$6:$D$120,MATCH($C350,'Chain Program'!$A$6:$A$120,0)),"Unknown ID"))</f>
        <v/>
      </c>
      <c r="F350" s="60" t="n"/>
      <c r="G350" s="60" t="n"/>
      <c r="H350" s="56">
        <f>IF(OR($C350="",$A350=""),"",IF(COUNTIFS('Promo Calendar'!$A$6:$A$400,$C350,'Promo Calendar'!$D$6:$D$400,IF($G350="","All",$G350),'Promo Calendar'!$I$6:$I$400,"&lt;="&amp;$A350,'Promo Calendar'!$J$6:$J$400,"&gt;="&amp;$A350,'Promo Calendar'!$G$6:$G$400,"&gt;0")&gt;0,_xlfn.MINIFS('Promo Calendar'!$G$6:$G$400,'Promo Calendar'!$A$6:$A$400,$C350,'Promo Calendar'!$D$6:$D$400,IF($G350="","All",$G350),'Promo Calendar'!$I$6:$I$400,"&lt;="&amp;$A350,'Promo Calendar'!$J$6:$J$400,"&gt;="&amp;$A350,'Promo Calendar'!$G$6:$G$400,"&gt;0"),IF(COUNTIFS('Promo Calendar'!$A$6:$A$400,$C350,'Promo Calendar'!$D$6:$D$400,"All",'Promo Calendar'!$I$6:$I$400,"&lt;="&amp;$A350,'Promo Calendar'!$J$6:$J$400,"&gt;="&amp;$A350,'Promo Calendar'!$G$6:$G$400,"&gt;0")&gt;0,_xlfn.MINIFS('Promo Calendar'!$G$6:$G$400,'Promo Calendar'!$A$6:$A$400,$C350,'Promo Calendar'!$D$6:$D$400,"All",'Promo Calendar'!$I$6:$I$400,"&lt;="&amp;$A350,'Promo Calendar'!$J$6:$J$400,"&gt;="&amp;$A350,'Promo Calendar'!$G$6:$G$400,"&gt;0"),IFERROR(IF(INDEX('Chain Program'!$M$6:$M$120,MATCH($C350,'Chain Program'!$A$6:$A$120,0))="","Not set",INDEX('Chain Program'!$M$6:$M$120,MATCH($C350,'Chain Program'!$A$6:$A$120,0))),"Not set"))))</f>
        <v/>
      </c>
      <c r="I350" s="61" t="n"/>
      <c r="J350" s="45">
        <f>IF($I350="","",IF(NOT(ISNUMBER($H350)),"No plan price",IF(ABS($I350-$H350)&lt;0.005,"Match",IF($I350&gt;$H350,"Over plan","Under plan"))))</f>
        <v/>
      </c>
      <c r="K350" s="60" t="n"/>
      <c r="L350" s="60" t="n"/>
      <c r="M350" s="60" t="n"/>
      <c r="N350" s="60" t="n"/>
      <c r="O350" s="60" t="n"/>
      <c r="P350" s="62" t="n"/>
      <c r="Q350" s="62" t="n"/>
      <c r="R350" s="60" t="n"/>
      <c r="S350" s="59" t="n"/>
      <c r="T350" s="60" t="n"/>
      <c r="U350" s="59" t="n"/>
      <c r="V350" s="45">
        <f>IF(OR($A350="",$T350="",$T350="No Issue"),"",IF($T350="Resolved",IF($U350="","",$U350-$A350),TODAY()-$A350))</f>
        <v/>
      </c>
      <c r="W350" s="47">
        <f>IF(AND($C350&lt;&gt;"",$C350='Store History'!$C$4,OR('Store History'!$C$5="",$F350='Store History'!$C$5)),1,0)</f>
        <v/>
      </c>
      <c r="X350" s="47">
        <f>IF($W350=1,SUM($W350:$W$1005),"")</f>
        <v/>
      </c>
    </row>
    <row r="351">
      <c r="A351" s="59" t="n"/>
      <c r="B351" s="60" t="n"/>
      <c r="C351" s="60" t="n"/>
      <c r="D351" s="45">
        <f>IF($C351="","",IFERROR(INDEX('Chain Program'!$B$6:$B$120,MATCH($C351,'Chain Program'!$A$6:$A$120,0)),"Unknown ID"))</f>
        <v/>
      </c>
      <c r="E351" s="45">
        <f>IF($C351="","",IFERROR(INDEX('Chain Program'!$D$6:$D$120,MATCH($C351,'Chain Program'!$A$6:$A$120,0)),"Unknown ID"))</f>
        <v/>
      </c>
      <c r="F351" s="60" t="n"/>
      <c r="G351" s="60" t="n"/>
      <c r="H351" s="56">
        <f>IF(OR($C351="",$A351=""),"",IF(COUNTIFS('Promo Calendar'!$A$6:$A$400,$C351,'Promo Calendar'!$D$6:$D$400,IF($G351="","All",$G351),'Promo Calendar'!$I$6:$I$400,"&lt;="&amp;$A351,'Promo Calendar'!$J$6:$J$400,"&gt;="&amp;$A351,'Promo Calendar'!$G$6:$G$400,"&gt;0")&gt;0,_xlfn.MINIFS('Promo Calendar'!$G$6:$G$400,'Promo Calendar'!$A$6:$A$400,$C351,'Promo Calendar'!$D$6:$D$400,IF($G351="","All",$G351),'Promo Calendar'!$I$6:$I$400,"&lt;="&amp;$A351,'Promo Calendar'!$J$6:$J$400,"&gt;="&amp;$A351,'Promo Calendar'!$G$6:$G$400,"&gt;0"),IF(COUNTIFS('Promo Calendar'!$A$6:$A$400,$C351,'Promo Calendar'!$D$6:$D$400,"All",'Promo Calendar'!$I$6:$I$400,"&lt;="&amp;$A351,'Promo Calendar'!$J$6:$J$400,"&gt;="&amp;$A351,'Promo Calendar'!$G$6:$G$400,"&gt;0")&gt;0,_xlfn.MINIFS('Promo Calendar'!$G$6:$G$400,'Promo Calendar'!$A$6:$A$400,$C351,'Promo Calendar'!$D$6:$D$400,"All",'Promo Calendar'!$I$6:$I$400,"&lt;="&amp;$A351,'Promo Calendar'!$J$6:$J$400,"&gt;="&amp;$A351,'Promo Calendar'!$G$6:$G$400,"&gt;0"),IFERROR(IF(INDEX('Chain Program'!$M$6:$M$120,MATCH($C351,'Chain Program'!$A$6:$A$120,0))="","Not set",INDEX('Chain Program'!$M$6:$M$120,MATCH($C351,'Chain Program'!$A$6:$A$120,0))),"Not set"))))</f>
        <v/>
      </c>
      <c r="I351" s="61" t="n"/>
      <c r="J351" s="45">
        <f>IF($I351="","",IF(NOT(ISNUMBER($H351)),"No plan price",IF(ABS($I351-$H351)&lt;0.005,"Match",IF($I351&gt;$H351,"Over plan","Under plan"))))</f>
        <v/>
      </c>
      <c r="K351" s="60" t="n"/>
      <c r="L351" s="60" t="n"/>
      <c r="M351" s="60" t="n"/>
      <c r="N351" s="60" t="n"/>
      <c r="O351" s="60" t="n"/>
      <c r="P351" s="62" t="n"/>
      <c r="Q351" s="62" t="n"/>
      <c r="R351" s="60" t="n"/>
      <c r="S351" s="59" t="n"/>
      <c r="T351" s="60" t="n"/>
      <c r="U351" s="59" t="n"/>
      <c r="V351" s="45">
        <f>IF(OR($A351="",$T351="",$T351="No Issue"),"",IF($T351="Resolved",IF($U351="","",$U351-$A351),TODAY()-$A351))</f>
        <v/>
      </c>
      <c r="W351" s="47">
        <f>IF(AND($C351&lt;&gt;"",$C351='Store History'!$C$4,OR('Store History'!$C$5="",$F351='Store History'!$C$5)),1,0)</f>
        <v/>
      </c>
      <c r="X351" s="47">
        <f>IF($W351=1,SUM($W351:$W$1005),"")</f>
        <v/>
      </c>
    </row>
    <row r="352">
      <c r="A352" s="59" t="n"/>
      <c r="B352" s="60" t="n"/>
      <c r="C352" s="60" t="n"/>
      <c r="D352" s="45">
        <f>IF($C352="","",IFERROR(INDEX('Chain Program'!$B$6:$B$120,MATCH($C352,'Chain Program'!$A$6:$A$120,0)),"Unknown ID"))</f>
        <v/>
      </c>
      <c r="E352" s="45">
        <f>IF($C352="","",IFERROR(INDEX('Chain Program'!$D$6:$D$120,MATCH($C352,'Chain Program'!$A$6:$A$120,0)),"Unknown ID"))</f>
        <v/>
      </c>
      <c r="F352" s="60" t="n"/>
      <c r="G352" s="60" t="n"/>
      <c r="H352" s="56">
        <f>IF(OR($C352="",$A352=""),"",IF(COUNTIFS('Promo Calendar'!$A$6:$A$400,$C352,'Promo Calendar'!$D$6:$D$400,IF($G352="","All",$G352),'Promo Calendar'!$I$6:$I$400,"&lt;="&amp;$A352,'Promo Calendar'!$J$6:$J$400,"&gt;="&amp;$A352,'Promo Calendar'!$G$6:$G$400,"&gt;0")&gt;0,_xlfn.MINIFS('Promo Calendar'!$G$6:$G$400,'Promo Calendar'!$A$6:$A$400,$C352,'Promo Calendar'!$D$6:$D$400,IF($G352="","All",$G352),'Promo Calendar'!$I$6:$I$400,"&lt;="&amp;$A352,'Promo Calendar'!$J$6:$J$400,"&gt;="&amp;$A352,'Promo Calendar'!$G$6:$G$400,"&gt;0"),IF(COUNTIFS('Promo Calendar'!$A$6:$A$400,$C352,'Promo Calendar'!$D$6:$D$400,"All",'Promo Calendar'!$I$6:$I$400,"&lt;="&amp;$A352,'Promo Calendar'!$J$6:$J$400,"&gt;="&amp;$A352,'Promo Calendar'!$G$6:$G$400,"&gt;0")&gt;0,_xlfn.MINIFS('Promo Calendar'!$G$6:$G$400,'Promo Calendar'!$A$6:$A$400,$C352,'Promo Calendar'!$D$6:$D$400,"All",'Promo Calendar'!$I$6:$I$400,"&lt;="&amp;$A352,'Promo Calendar'!$J$6:$J$400,"&gt;="&amp;$A352,'Promo Calendar'!$G$6:$G$400,"&gt;0"),IFERROR(IF(INDEX('Chain Program'!$M$6:$M$120,MATCH($C352,'Chain Program'!$A$6:$A$120,0))="","Not set",INDEX('Chain Program'!$M$6:$M$120,MATCH($C352,'Chain Program'!$A$6:$A$120,0))),"Not set"))))</f>
        <v/>
      </c>
      <c r="I352" s="61" t="n"/>
      <c r="J352" s="45">
        <f>IF($I352="","",IF(NOT(ISNUMBER($H352)),"No plan price",IF(ABS($I352-$H352)&lt;0.005,"Match",IF($I352&gt;$H352,"Over plan","Under plan"))))</f>
        <v/>
      </c>
      <c r="K352" s="60" t="n"/>
      <c r="L352" s="60" t="n"/>
      <c r="M352" s="60" t="n"/>
      <c r="N352" s="60" t="n"/>
      <c r="O352" s="60" t="n"/>
      <c r="P352" s="62" t="n"/>
      <c r="Q352" s="62" t="n"/>
      <c r="R352" s="60" t="n"/>
      <c r="S352" s="59" t="n"/>
      <c r="T352" s="60" t="n"/>
      <c r="U352" s="59" t="n"/>
      <c r="V352" s="45">
        <f>IF(OR($A352="",$T352="",$T352="No Issue"),"",IF($T352="Resolved",IF($U352="","",$U352-$A352),TODAY()-$A352))</f>
        <v/>
      </c>
      <c r="W352" s="47">
        <f>IF(AND($C352&lt;&gt;"",$C352='Store History'!$C$4,OR('Store History'!$C$5="",$F352='Store History'!$C$5)),1,0)</f>
        <v/>
      </c>
      <c r="X352" s="47">
        <f>IF($W352=1,SUM($W352:$W$1005),"")</f>
        <v/>
      </c>
    </row>
    <row r="353">
      <c r="A353" s="59" t="n"/>
      <c r="B353" s="60" t="n"/>
      <c r="C353" s="60" t="n"/>
      <c r="D353" s="45">
        <f>IF($C353="","",IFERROR(INDEX('Chain Program'!$B$6:$B$120,MATCH($C353,'Chain Program'!$A$6:$A$120,0)),"Unknown ID"))</f>
        <v/>
      </c>
      <c r="E353" s="45">
        <f>IF($C353="","",IFERROR(INDEX('Chain Program'!$D$6:$D$120,MATCH($C353,'Chain Program'!$A$6:$A$120,0)),"Unknown ID"))</f>
        <v/>
      </c>
      <c r="F353" s="60" t="n"/>
      <c r="G353" s="60" t="n"/>
      <c r="H353" s="56">
        <f>IF(OR($C353="",$A353=""),"",IF(COUNTIFS('Promo Calendar'!$A$6:$A$400,$C353,'Promo Calendar'!$D$6:$D$400,IF($G353="","All",$G353),'Promo Calendar'!$I$6:$I$400,"&lt;="&amp;$A353,'Promo Calendar'!$J$6:$J$400,"&gt;="&amp;$A353,'Promo Calendar'!$G$6:$G$400,"&gt;0")&gt;0,_xlfn.MINIFS('Promo Calendar'!$G$6:$G$400,'Promo Calendar'!$A$6:$A$400,$C353,'Promo Calendar'!$D$6:$D$400,IF($G353="","All",$G353),'Promo Calendar'!$I$6:$I$400,"&lt;="&amp;$A353,'Promo Calendar'!$J$6:$J$400,"&gt;="&amp;$A353,'Promo Calendar'!$G$6:$G$400,"&gt;0"),IF(COUNTIFS('Promo Calendar'!$A$6:$A$400,$C353,'Promo Calendar'!$D$6:$D$400,"All",'Promo Calendar'!$I$6:$I$400,"&lt;="&amp;$A353,'Promo Calendar'!$J$6:$J$400,"&gt;="&amp;$A353,'Promo Calendar'!$G$6:$G$400,"&gt;0")&gt;0,_xlfn.MINIFS('Promo Calendar'!$G$6:$G$400,'Promo Calendar'!$A$6:$A$400,$C353,'Promo Calendar'!$D$6:$D$400,"All",'Promo Calendar'!$I$6:$I$400,"&lt;="&amp;$A353,'Promo Calendar'!$J$6:$J$400,"&gt;="&amp;$A353,'Promo Calendar'!$G$6:$G$400,"&gt;0"),IFERROR(IF(INDEX('Chain Program'!$M$6:$M$120,MATCH($C353,'Chain Program'!$A$6:$A$120,0))="","Not set",INDEX('Chain Program'!$M$6:$M$120,MATCH($C353,'Chain Program'!$A$6:$A$120,0))),"Not set"))))</f>
        <v/>
      </c>
      <c r="I353" s="61" t="n"/>
      <c r="J353" s="45">
        <f>IF($I353="","",IF(NOT(ISNUMBER($H353)),"No plan price",IF(ABS($I353-$H353)&lt;0.005,"Match",IF($I353&gt;$H353,"Over plan","Under plan"))))</f>
        <v/>
      </c>
      <c r="K353" s="60" t="n"/>
      <c r="L353" s="60" t="n"/>
      <c r="M353" s="60" t="n"/>
      <c r="N353" s="60" t="n"/>
      <c r="O353" s="60" t="n"/>
      <c r="P353" s="62" t="n"/>
      <c r="Q353" s="62" t="n"/>
      <c r="R353" s="60" t="n"/>
      <c r="S353" s="59" t="n"/>
      <c r="T353" s="60" t="n"/>
      <c r="U353" s="59" t="n"/>
      <c r="V353" s="45">
        <f>IF(OR($A353="",$T353="",$T353="No Issue"),"",IF($T353="Resolved",IF($U353="","",$U353-$A353),TODAY()-$A353))</f>
        <v/>
      </c>
      <c r="W353" s="47">
        <f>IF(AND($C353&lt;&gt;"",$C353='Store History'!$C$4,OR('Store History'!$C$5="",$F353='Store History'!$C$5)),1,0)</f>
        <v/>
      </c>
      <c r="X353" s="47">
        <f>IF($W353=1,SUM($W353:$W$1005),"")</f>
        <v/>
      </c>
    </row>
    <row r="354">
      <c r="A354" s="59" t="n"/>
      <c r="B354" s="60" t="n"/>
      <c r="C354" s="60" t="n"/>
      <c r="D354" s="45">
        <f>IF($C354="","",IFERROR(INDEX('Chain Program'!$B$6:$B$120,MATCH($C354,'Chain Program'!$A$6:$A$120,0)),"Unknown ID"))</f>
        <v/>
      </c>
      <c r="E354" s="45">
        <f>IF($C354="","",IFERROR(INDEX('Chain Program'!$D$6:$D$120,MATCH($C354,'Chain Program'!$A$6:$A$120,0)),"Unknown ID"))</f>
        <v/>
      </c>
      <c r="F354" s="60" t="n"/>
      <c r="G354" s="60" t="n"/>
      <c r="H354" s="56">
        <f>IF(OR($C354="",$A354=""),"",IF(COUNTIFS('Promo Calendar'!$A$6:$A$400,$C354,'Promo Calendar'!$D$6:$D$400,IF($G354="","All",$G354),'Promo Calendar'!$I$6:$I$400,"&lt;="&amp;$A354,'Promo Calendar'!$J$6:$J$400,"&gt;="&amp;$A354,'Promo Calendar'!$G$6:$G$400,"&gt;0")&gt;0,_xlfn.MINIFS('Promo Calendar'!$G$6:$G$400,'Promo Calendar'!$A$6:$A$400,$C354,'Promo Calendar'!$D$6:$D$400,IF($G354="","All",$G354),'Promo Calendar'!$I$6:$I$400,"&lt;="&amp;$A354,'Promo Calendar'!$J$6:$J$400,"&gt;="&amp;$A354,'Promo Calendar'!$G$6:$G$400,"&gt;0"),IF(COUNTIFS('Promo Calendar'!$A$6:$A$400,$C354,'Promo Calendar'!$D$6:$D$400,"All",'Promo Calendar'!$I$6:$I$400,"&lt;="&amp;$A354,'Promo Calendar'!$J$6:$J$400,"&gt;="&amp;$A354,'Promo Calendar'!$G$6:$G$400,"&gt;0")&gt;0,_xlfn.MINIFS('Promo Calendar'!$G$6:$G$400,'Promo Calendar'!$A$6:$A$400,$C354,'Promo Calendar'!$D$6:$D$400,"All",'Promo Calendar'!$I$6:$I$400,"&lt;="&amp;$A354,'Promo Calendar'!$J$6:$J$400,"&gt;="&amp;$A354,'Promo Calendar'!$G$6:$G$400,"&gt;0"),IFERROR(IF(INDEX('Chain Program'!$M$6:$M$120,MATCH($C354,'Chain Program'!$A$6:$A$120,0))="","Not set",INDEX('Chain Program'!$M$6:$M$120,MATCH($C354,'Chain Program'!$A$6:$A$120,0))),"Not set"))))</f>
        <v/>
      </c>
      <c r="I354" s="61" t="n"/>
      <c r="J354" s="45">
        <f>IF($I354="","",IF(NOT(ISNUMBER($H354)),"No plan price",IF(ABS($I354-$H354)&lt;0.005,"Match",IF($I354&gt;$H354,"Over plan","Under plan"))))</f>
        <v/>
      </c>
      <c r="K354" s="60" t="n"/>
      <c r="L354" s="60" t="n"/>
      <c r="M354" s="60" t="n"/>
      <c r="N354" s="60" t="n"/>
      <c r="O354" s="60" t="n"/>
      <c r="P354" s="62" t="n"/>
      <c r="Q354" s="62" t="n"/>
      <c r="R354" s="60" t="n"/>
      <c r="S354" s="59" t="n"/>
      <c r="T354" s="60" t="n"/>
      <c r="U354" s="59" t="n"/>
      <c r="V354" s="45">
        <f>IF(OR($A354="",$T354="",$T354="No Issue"),"",IF($T354="Resolved",IF($U354="","",$U354-$A354),TODAY()-$A354))</f>
        <v/>
      </c>
      <c r="W354" s="47">
        <f>IF(AND($C354&lt;&gt;"",$C354='Store History'!$C$4,OR('Store History'!$C$5="",$F354='Store History'!$C$5)),1,0)</f>
        <v/>
      </c>
      <c r="X354" s="47">
        <f>IF($W354=1,SUM($W354:$W$1005),"")</f>
        <v/>
      </c>
    </row>
    <row r="355">
      <c r="A355" s="59" t="n"/>
      <c r="B355" s="60" t="n"/>
      <c r="C355" s="60" t="n"/>
      <c r="D355" s="45">
        <f>IF($C355="","",IFERROR(INDEX('Chain Program'!$B$6:$B$120,MATCH($C355,'Chain Program'!$A$6:$A$120,0)),"Unknown ID"))</f>
        <v/>
      </c>
      <c r="E355" s="45">
        <f>IF($C355="","",IFERROR(INDEX('Chain Program'!$D$6:$D$120,MATCH($C355,'Chain Program'!$A$6:$A$120,0)),"Unknown ID"))</f>
        <v/>
      </c>
      <c r="F355" s="60" t="n"/>
      <c r="G355" s="60" t="n"/>
      <c r="H355" s="56">
        <f>IF(OR($C355="",$A355=""),"",IF(COUNTIFS('Promo Calendar'!$A$6:$A$400,$C355,'Promo Calendar'!$D$6:$D$400,IF($G355="","All",$G355),'Promo Calendar'!$I$6:$I$400,"&lt;="&amp;$A355,'Promo Calendar'!$J$6:$J$400,"&gt;="&amp;$A355,'Promo Calendar'!$G$6:$G$400,"&gt;0")&gt;0,_xlfn.MINIFS('Promo Calendar'!$G$6:$G$400,'Promo Calendar'!$A$6:$A$400,$C355,'Promo Calendar'!$D$6:$D$400,IF($G355="","All",$G355),'Promo Calendar'!$I$6:$I$400,"&lt;="&amp;$A355,'Promo Calendar'!$J$6:$J$400,"&gt;="&amp;$A355,'Promo Calendar'!$G$6:$G$400,"&gt;0"),IF(COUNTIFS('Promo Calendar'!$A$6:$A$400,$C355,'Promo Calendar'!$D$6:$D$400,"All",'Promo Calendar'!$I$6:$I$400,"&lt;="&amp;$A355,'Promo Calendar'!$J$6:$J$400,"&gt;="&amp;$A355,'Promo Calendar'!$G$6:$G$400,"&gt;0")&gt;0,_xlfn.MINIFS('Promo Calendar'!$G$6:$G$400,'Promo Calendar'!$A$6:$A$400,$C355,'Promo Calendar'!$D$6:$D$400,"All",'Promo Calendar'!$I$6:$I$400,"&lt;="&amp;$A355,'Promo Calendar'!$J$6:$J$400,"&gt;="&amp;$A355,'Promo Calendar'!$G$6:$G$400,"&gt;0"),IFERROR(IF(INDEX('Chain Program'!$M$6:$M$120,MATCH($C355,'Chain Program'!$A$6:$A$120,0))="","Not set",INDEX('Chain Program'!$M$6:$M$120,MATCH($C355,'Chain Program'!$A$6:$A$120,0))),"Not set"))))</f>
        <v/>
      </c>
      <c r="I355" s="61" t="n"/>
      <c r="J355" s="45">
        <f>IF($I355="","",IF(NOT(ISNUMBER($H355)),"No plan price",IF(ABS($I355-$H355)&lt;0.005,"Match",IF($I355&gt;$H355,"Over plan","Under plan"))))</f>
        <v/>
      </c>
      <c r="K355" s="60" t="n"/>
      <c r="L355" s="60" t="n"/>
      <c r="M355" s="60" t="n"/>
      <c r="N355" s="60" t="n"/>
      <c r="O355" s="60" t="n"/>
      <c r="P355" s="62" t="n"/>
      <c r="Q355" s="62" t="n"/>
      <c r="R355" s="60" t="n"/>
      <c r="S355" s="59" t="n"/>
      <c r="T355" s="60" t="n"/>
      <c r="U355" s="59" t="n"/>
      <c r="V355" s="45">
        <f>IF(OR($A355="",$T355="",$T355="No Issue"),"",IF($T355="Resolved",IF($U355="","",$U355-$A355),TODAY()-$A355))</f>
        <v/>
      </c>
      <c r="W355" s="47">
        <f>IF(AND($C355&lt;&gt;"",$C355='Store History'!$C$4,OR('Store History'!$C$5="",$F355='Store History'!$C$5)),1,0)</f>
        <v/>
      </c>
      <c r="X355" s="47">
        <f>IF($W355=1,SUM($W355:$W$1005),"")</f>
        <v/>
      </c>
    </row>
    <row r="356">
      <c r="A356" s="59" t="n"/>
      <c r="B356" s="60" t="n"/>
      <c r="C356" s="60" t="n"/>
      <c r="D356" s="45">
        <f>IF($C356="","",IFERROR(INDEX('Chain Program'!$B$6:$B$120,MATCH($C356,'Chain Program'!$A$6:$A$120,0)),"Unknown ID"))</f>
        <v/>
      </c>
      <c r="E356" s="45">
        <f>IF($C356="","",IFERROR(INDEX('Chain Program'!$D$6:$D$120,MATCH($C356,'Chain Program'!$A$6:$A$120,0)),"Unknown ID"))</f>
        <v/>
      </c>
      <c r="F356" s="60" t="n"/>
      <c r="G356" s="60" t="n"/>
      <c r="H356" s="56">
        <f>IF(OR($C356="",$A356=""),"",IF(COUNTIFS('Promo Calendar'!$A$6:$A$400,$C356,'Promo Calendar'!$D$6:$D$400,IF($G356="","All",$G356),'Promo Calendar'!$I$6:$I$400,"&lt;="&amp;$A356,'Promo Calendar'!$J$6:$J$400,"&gt;="&amp;$A356,'Promo Calendar'!$G$6:$G$400,"&gt;0")&gt;0,_xlfn.MINIFS('Promo Calendar'!$G$6:$G$400,'Promo Calendar'!$A$6:$A$400,$C356,'Promo Calendar'!$D$6:$D$400,IF($G356="","All",$G356),'Promo Calendar'!$I$6:$I$400,"&lt;="&amp;$A356,'Promo Calendar'!$J$6:$J$400,"&gt;="&amp;$A356,'Promo Calendar'!$G$6:$G$400,"&gt;0"),IF(COUNTIFS('Promo Calendar'!$A$6:$A$400,$C356,'Promo Calendar'!$D$6:$D$400,"All",'Promo Calendar'!$I$6:$I$400,"&lt;="&amp;$A356,'Promo Calendar'!$J$6:$J$400,"&gt;="&amp;$A356,'Promo Calendar'!$G$6:$G$400,"&gt;0")&gt;0,_xlfn.MINIFS('Promo Calendar'!$G$6:$G$400,'Promo Calendar'!$A$6:$A$400,$C356,'Promo Calendar'!$D$6:$D$400,"All",'Promo Calendar'!$I$6:$I$400,"&lt;="&amp;$A356,'Promo Calendar'!$J$6:$J$400,"&gt;="&amp;$A356,'Promo Calendar'!$G$6:$G$400,"&gt;0"),IFERROR(IF(INDEX('Chain Program'!$M$6:$M$120,MATCH($C356,'Chain Program'!$A$6:$A$120,0))="","Not set",INDEX('Chain Program'!$M$6:$M$120,MATCH($C356,'Chain Program'!$A$6:$A$120,0))),"Not set"))))</f>
        <v/>
      </c>
      <c r="I356" s="61" t="n"/>
      <c r="J356" s="45">
        <f>IF($I356="","",IF(NOT(ISNUMBER($H356)),"No plan price",IF(ABS($I356-$H356)&lt;0.005,"Match",IF($I356&gt;$H356,"Over plan","Under plan"))))</f>
        <v/>
      </c>
      <c r="K356" s="60" t="n"/>
      <c r="L356" s="60" t="n"/>
      <c r="M356" s="60" t="n"/>
      <c r="N356" s="60" t="n"/>
      <c r="O356" s="60" t="n"/>
      <c r="P356" s="62" t="n"/>
      <c r="Q356" s="62" t="n"/>
      <c r="R356" s="60" t="n"/>
      <c r="S356" s="59" t="n"/>
      <c r="T356" s="60" t="n"/>
      <c r="U356" s="59" t="n"/>
      <c r="V356" s="45">
        <f>IF(OR($A356="",$T356="",$T356="No Issue"),"",IF($T356="Resolved",IF($U356="","",$U356-$A356),TODAY()-$A356))</f>
        <v/>
      </c>
      <c r="W356" s="47">
        <f>IF(AND($C356&lt;&gt;"",$C356='Store History'!$C$4,OR('Store History'!$C$5="",$F356='Store History'!$C$5)),1,0)</f>
        <v/>
      </c>
      <c r="X356" s="47">
        <f>IF($W356=1,SUM($W356:$W$1005),"")</f>
        <v/>
      </c>
    </row>
    <row r="357">
      <c r="A357" s="59" t="n"/>
      <c r="B357" s="60" t="n"/>
      <c r="C357" s="60" t="n"/>
      <c r="D357" s="45">
        <f>IF($C357="","",IFERROR(INDEX('Chain Program'!$B$6:$B$120,MATCH($C357,'Chain Program'!$A$6:$A$120,0)),"Unknown ID"))</f>
        <v/>
      </c>
      <c r="E357" s="45">
        <f>IF($C357="","",IFERROR(INDEX('Chain Program'!$D$6:$D$120,MATCH($C357,'Chain Program'!$A$6:$A$120,0)),"Unknown ID"))</f>
        <v/>
      </c>
      <c r="F357" s="60" t="n"/>
      <c r="G357" s="60" t="n"/>
      <c r="H357" s="56">
        <f>IF(OR($C357="",$A357=""),"",IF(COUNTIFS('Promo Calendar'!$A$6:$A$400,$C357,'Promo Calendar'!$D$6:$D$400,IF($G357="","All",$G357),'Promo Calendar'!$I$6:$I$400,"&lt;="&amp;$A357,'Promo Calendar'!$J$6:$J$400,"&gt;="&amp;$A357,'Promo Calendar'!$G$6:$G$400,"&gt;0")&gt;0,_xlfn.MINIFS('Promo Calendar'!$G$6:$G$400,'Promo Calendar'!$A$6:$A$400,$C357,'Promo Calendar'!$D$6:$D$400,IF($G357="","All",$G357),'Promo Calendar'!$I$6:$I$400,"&lt;="&amp;$A357,'Promo Calendar'!$J$6:$J$400,"&gt;="&amp;$A357,'Promo Calendar'!$G$6:$G$400,"&gt;0"),IF(COUNTIFS('Promo Calendar'!$A$6:$A$400,$C357,'Promo Calendar'!$D$6:$D$400,"All",'Promo Calendar'!$I$6:$I$400,"&lt;="&amp;$A357,'Promo Calendar'!$J$6:$J$400,"&gt;="&amp;$A357,'Promo Calendar'!$G$6:$G$400,"&gt;0")&gt;0,_xlfn.MINIFS('Promo Calendar'!$G$6:$G$400,'Promo Calendar'!$A$6:$A$400,$C357,'Promo Calendar'!$D$6:$D$400,"All",'Promo Calendar'!$I$6:$I$400,"&lt;="&amp;$A357,'Promo Calendar'!$J$6:$J$400,"&gt;="&amp;$A357,'Promo Calendar'!$G$6:$G$400,"&gt;0"),IFERROR(IF(INDEX('Chain Program'!$M$6:$M$120,MATCH($C357,'Chain Program'!$A$6:$A$120,0))="","Not set",INDEX('Chain Program'!$M$6:$M$120,MATCH($C357,'Chain Program'!$A$6:$A$120,0))),"Not set"))))</f>
        <v/>
      </c>
      <c r="I357" s="61" t="n"/>
      <c r="J357" s="45">
        <f>IF($I357="","",IF(NOT(ISNUMBER($H357)),"No plan price",IF(ABS($I357-$H357)&lt;0.005,"Match",IF($I357&gt;$H357,"Over plan","Under plan"))))</f>
        <v/>
      </c>
      <c r="K357" s="60" t="n"/>
      <c r="L357" s="60" t="n"/>
      <c r="M357" s="60" t="n"/>
      <c r="N357" s="60" t="n"/>
      <c r="O357" s="60" t="n"/>
      <c r="P357" s="62" t="n"/>
      <c r="Q357" s="62" t="n"/>
      <c r="R357" s="60" t="n"/>
      <c r="S357" s="59" t="n"/>
      <c r="T357" s="60" t="n"/>
      <c r="U357" s="59" t="n"/>
      <c r="V357" s="45">
        <f>IF(OR($A357="",$T357="",$T357="No Issue"),"",IF($T357="Resolved",IF($U357="","",$U357-$A357),TODAY()-$A357))</f>
        <v/>
      </c>
      <c r="W357" s="47">
        <f>IF(AND($C357&lt;&gt;"",$C357='Store History'!$C$4,OR('Store History'!$C$5="",$F357='Store History'!$C$5)),1,0)</f>
        <v/>
      </c>
      <c r="X357" s="47">
        <f>IF($W357=1,SUM($W357:$W$1005),"")</f>
        <v/>
      </c>
    </row>
    <row r="358">
      <c r="A358" s="59" t="n"/>
      <c r="B358" s="60" t="n"/>
      <c r="C358" s="60" t="n"/>
      <c r="D358" s="45">
        <f>IF($C358="","",IFERROR(INDEX('Chain Program'!$B$6:$B$120,MATCH($C358,'Chain Program'!$A$6:$A$120,0)),"Unknown ID"))</f>
        <v/>
      </c>
      <c r="E358" s="45">
        <f>IF($C358="","",IFERROR(INDEX('Chain Program'!$D$6:$D$120,MATCH($C358,'Chain Program'!$A$6:$A$120,0)),"Unknown ID"))</f>
        <v/>
      </c>
      <c r="F358" s="60" t="n"/>
      <c r="G358" s="60" t="n"/>
      <c r="H358" s="56">
        <f>IF(OR($C358="",$A358=""),"",IF(COUNTIFS('Promo Calendar'!$A$6:$A$400,$C358,'Promo Calendar'!$D$6:$D$400,IF($G358="","All",$G358),'Promo Calendar'!$I$6:$I$400,"&lt;="&amp;$A358,'Promo Calendar'!$J$6:$J$400,"&gt;="&amp;$A358,'Promo Calendar'!$G$6:$G$400,"&gt;0")&gt;0,_xlfn.MINIFS('Promo Calendar'!$G$6:$G$400,'Promo Calendar'!$A$6:$A$400,$C358,'Promo Calendar'!$D$6:$D$400,IF($G358="","All",$G358),'Promo Calendar'!$I$6:$I$400,"&lt;="&amp;$A358,'Promo Calendar'!$J$6:$J$400,"&gt;="&amp;$A358,'Promo Calendar'!$G$6:$G$400,"&gt;0"),IF(COUNTIFS('Promo Calendar'!$A$6:$A$400,$C358,'Promo Calendar'!$D$6:$D$400,"All",'Promo Calendar'!$I$6:$I$400,"&lt;="&amp;$A358,'Promo Calendar'!$J$6:$J$400,"&gt;="&amp;$A358,'Promo Calendar'!$G$6:$G$400,"&gt;0")&gt;0,_xlfn.MINIFS('Promo Calendar'!$G$6:$G$400,'Promo Calendar'!$A$6:$A$400,$C358,'Promo Calendar'!$D$6:$D$400,"All",'Promo Calendar'!$I$6:$I$400,"&lt;="&amp;$A358,'Promo Calendar'!$J$6:$J$400,"&gt;="&amp;$A358,'Promo Calendar'!$G$6:$G$400,"&gt;0"),IFERROR(IF(INDEX('Chain Program'!$M$6:$M$120,MATCH($C358,'Chain Program'!$A$6:$A$120,0))="","Not set",INDEX('Chain Program'!$M$6:$M$120,MATCH($C358,'Chain Program'!$A$6:$A$120,0))),"Not set"))))</f>
        <v/>
      </c>
      <c r="I358" s="61" t="n"/>
      <c r="J358" s="45">
        <f>IF($I358="","",IF(NOT(ISNUMBER($H358)),"No plan price",IF(ABS($I358-$H358)&lt;0.005,"Match",IF($I358&gt;$H358,"Over plan","Under plan"))))</f>
        <v/>
      </c>
      <c r="K358" s="60" t="n"/>
      <c r="L358" s="60" t="n"/>
      <c r="M358" s="60" t="n"/>
      <c r="N358" s="60" t="n"/>
      <c r="O358" s="60" t="n"/>
      <c r="P358" s="62" t="n"/>
      <c r="Q358" s="62" t="n"/>
      <c r="R358" s="60" t="n"/>
      <c r="S358" s="59" t="n"/>
      <c r="T358" s="60" t="n"/>
      <c r="U358" s="59" t="n"/>
      <c r="V358" s="45">
        <f>IF(OR($A358="",$T358="",$T358="No Issue"),"",IF($T358="Resolved",IF($U358="","",$U358-$A358),TODAY()-$A358))</f>
        <v/>
      </c>
      <c r="W358" s="47">
        <f>IF(AND($C358&lt;&gt;"",$C358='Store History'!$C$4,OR('Store History'!$C$5="",$F358='Store History'!$C$5)),1,0)</f>
        <v/>
      </c>
      <c r="X358" s="47">
        <f>IF($W358=1,SUM($W358:$W$1005),"")</f>
        <v/>
      </c>
    </row>
    <row r="359">
      <c r="A359" s="59" t="n"/>
      <c r="B359" s="60" t="n"/>
      <c r="C359" s="60" t="n"/>
      <c r="D359" s="45">
        <f>IF($C359="","",IFERROR(INDEX('Chain Program'!$B$6:$B$120,MATCH($C359,'Chain Program'!$A$6:$A$120,0)),"Unknown ID"))</f>
        <v/>
      </c>
      <c r="E359" s="45">
        <f>IF($C359="","",IFERROR(INDEX('Chain Program'!$D$6:$D$120,MATCH($C359,'Chain Program'!$A$6:$A$120,0)),"Unknown ID"))</f>
        <v/>
      </c>
      <c r="F359" s="60" t="n"/>
      <c r="G359" s="60" t="n"/>
      <c r="H359" s="56">
        <f>IF(OR($C359="",$A359=""),"",IF(COUNTIFS('Promo Calendar'!$A$6:$A$400,$C359,'Promo Calendar'!$D$6:$D$400,IF($G359="","All",$G359),'Promo Calendar'!$I$6:$I$400,"&lt;="&amp;$A359,'Promo Calendar'!$J$6:$J$400,"&gt;="&amp;$A359,'Promo Calendar'!$G$6:$G$400,"&gt;0")&gt;0,_xlfn.MINIFS('Promo Calendar'!$G$6:$G$400,'Promo Calendar'!$A$6:$A$400,$C359,'Promo Calendar'!$D$6:$D$400,IF($G359="","All",$G359),'Promo Calendar'!$I$6:$I$400,"&lt;="&amp;$A359,'Promo Calendar'!$J$6:$J$400,"&gt;="&amp;$A359,'Promo Calendar'!$G$6:$G$400,"&gt;0"),IF(COUNTIFS('Promo Calendar'!$A$6:$A$400,$C359,'Promo Calendar'!$D$6:$D$400,"All",'Promo Calendar'!$I$6:$I$400,"&lt;="&amp;$A359,'Promo Calendar'!$J$6:$J$400,"&gt;="&amp;$A359,'Promo Calendar'!$G$6:$G$400,"&gt;0")&gt;0,_xlfn.MINIFS('Promo Calendar'!$G$6:$G$400,'Promo Calendar'!$A$6:$A$400,$C359,'Promo Calendar'!$D$6:$D$400,"All",'Promo Calendar'!$I$6:$I$400,"&lt;="&amp;$A359,'Promo Calendar'!$J$6:$J$400,"&gt;="&amp;$A359,'Promo Calendar'!$G$6:$G$400,"&gt;0"),IFERROR(IF(INDEX('Chain Program'!$M$6:$M$120,MATCH($C359,'Chain Program'!$A$6:$A$120,0))="","Not set",INDEX('Chain Program'!$M$6:$M$120,MATCH($C359,'Chain Program'!$A$6:$A$120,0))),"Not set"))))</f>
        <v/>
      </c>
      <c r="I359" s="61" t="n"/>
      <c r="J359" s="45">
        <f>IF($I359="","",IF(NOT(ISNUMBER($H359)),"No plan price",IF(ABS($I359-$H359)&lt;0.005,"Match",IF($I359&gt;$H359,"Over plan","Under plan"))))</f>
        <v/>
      </c>
      <c r="K359" s="60" t="n"/>
      <c r="L359" s="60" t="n"/>
      <c r="M359" s="60" t="n"/>
      <c r="N359" s="60" t="n"/>
      <c r="O359" s="60" t="n"/>
      <c r="P359" s="62" t="n"/>
      <c r="Q359" s="62" t="n"/>
      <c r="R359" s="60" t="n"/>
      <c r="S359" s="59" t="n"/>
      <c r="T359" s="60" t="n"/>
      <c r="U359" s="59" t="n"/>
      <c r="V359" s="45">
        <f>IF(OR($A359="",$T359="",$T359="No Issue"),"",IF($T359="Resolved",IF($U359="","",$U359-$A359),TODAY()-$A359))</f>
        <v/>
      </c>
      <c r="W359" s="47">
        <f>IF(AND($C359&lt;&gt;"",$C359='Store History'!$C$4,OR('Store History'!$C$5="",$F359='Store History'!$C$5)),1,0)</f>
        <v/>
      </c>
      <c r="X359" s="47">
        <f>IF($W359=1,SUM($W359:$W$1005),"")</f>
        <v/>
      </c>
    </row>
    <row r="360">
      <c r="A360" s="59" t="n"/>
      <c r="B360" s="60" t="n"/>
      <c r="C360" s="60" t="n"/>
      <c r="D360" s="45">
        <f>IF($C360="","",IFERROR(INDEX('Chain Program'!$B$6:$B$120,MATCH($C360,'Chain Program'!$A$6:$A$120,0)),"Unknown ID"))</f>
        <v/>
      </c>
      <c r="E360" s="45">
        <f>IF($C360="","",IFERROR(INDEX('Chain Program'!$D$6:$D$120,MATCH($C360,'Chain Program'!$A$6:$A$120,0)),"Unknown ID"))</f>
        <v/>
      </c>
      <c r="F360" s="60" t="n"/>
      <c r="G360" s="60" t="n"/>
      <c r="H360" s="56">
        <f>IF(OR($C360="",$A360=""),"",IF(COUNTIFS('Promo Calendar'!$A$6:$A$400,$C360,'Promo Calendar'!$D$6:$D$400,IF($G360="","All",$G360),'Promo Calendar'!$I$6:$I$400,"&lt;="&amp;$A360,'Promo Calendar'!$J$6:$J$400,"&gt;="&amp;$A360,'Promo Calendar'!$G$6:$G$400,"&gt;0")&gt;0,_xlfn.MINIFS('Promo Calendar'!$G$6:$G$400,'Promo Calendar'!$A$6:$A$400,$C360,'Promo Calendar'!$D$6:$D$400,IF($G360="","All",$G360),'Promo Calendar'!$I$6:$I$400,"&lt;="&amp;$A360,'Promo Calendar'!$J$6:$J$400,"&gt;="&amp;$A360,'Promo Calendar'!$G$6:$G$400,"&gt;0"),IF(COUNTIFS('Promo Calendar'!$A$6:$A$400,$C360,'Promo Calendar'!$D$6:$D$400,"All",'Promo Calendar'!$I$6:$I$400,"&lt;="&amp;$A360,'Promo Calendar'!$J$6:$J$400,"&gt;="&amp;$A360,'Promo Calendar'!$G$6:$G$400,"&gt;0")&gt;0,_xlfn.MINIFS('Promo Calendar'!$G$6:$G$400,'Promo Calendar'!$A$6:$A$400,$C360,'Promo Calendar'!$D$6:$D$400,"All",'Promo Calendar'!$I$6:$I$400,"&lt;="&amp;$A360,'Promo Calendar'!$J$6:$J$400,"&gt;="&amp;$A360,'Promo Calendar'!$G$6:$G$400,"&gt;0"),IFERROR(IF(INDEX('Chain Program'!$M$6:$M$120,MATCH($C360,'Chain Program'!$A$6:$A$120,0))="","Not set",INDEX('Chain Program'!$M$6:$M$120,MATCH($C360,'Chain Program'!$A$6:$A$120,0))),"Not set"))))</f>
        <v/>
      </c>
      <c r="I360" s="61" t="n"/>
      <c r="J360" s="45">
        <f>IF($I360="","",IF(NOT(ISNUMBER($H360)),"No plan price",IF(ABS($I360-$H360)&lt;0.005,"Match",IF($I360&gt;$H360,"Over plan","Under plan"))))</f>
        <v/>
      </c>
      <c r="K360" s="60" t="n"/>
      <c r="L360" s="60" t="n"/>
      <c r="M360" s="60" t="n"/>
      <c r="N360" s="60" t="n"/>
      <c r="O360" s="60" t="n"/>
      <c r="P360" s="62" t="n"/>
      <c r="Q360" s="62" t="n"/>
      <c r="R360" s="60" t="n"/>
      <c r="S360" s="59" t="n"/>
      <c r="T360" s="60" t="n"/>
      <c r="U360" s="59" t="n"/>
      <c r="V360" s="45">
        <f>IF(OR($A360="",$T360="",$T360="No Issue"),"",IF($T360="Resolved",IF($U360="","",$U360-$A360),TODAY()-$A360))</f>
        <v/>
      </c>
      <c r="W360" s="47">
        <f>IF(AND($C360&lt;&gt;"",$C360='Store History'!$C$4,OR('Store History'!$C$5="",$F360='Store History'!$C$5)),1,0)</f>
        <v/>
      </c>
      <c r="X360" s="47">
        <f>IF($W360=1,SUM($W360:$W$1005),"")</f>
        <v/>
      </c>
    </row>
    <row r="361">
      <c r="A361" s="59" t="n"/>
      <c r="B361" s="60" t="n"/>
      <c r="C361" s="60" t="n"/>
      <c r="D361" s="45">
        <f>IF($C361="","",IFERROR(INDEX('Chain Program'!$B$6:$B$120,MATCH($C361,'Chain Program'!$A$6:$A$120,0)),"Unknown ID"))</f>
        <v/>
      </c>
      <c r="E361" s="45">
        <f>IF($C361="","",IFERROR(INDEX('Chain Program'!$D$6:$D$120,MATCH($C361,'Chain Program'!$A$6:$A$120,0)),"Unknown ID"))</f>
        <v/>
      </c>
      <c r="F361" s="60" t="n"/>
      <c r="G361" s="60" t="n"/>
      <c r="H361" s="56">
        <f>IF(OR($C361="",$A361=""),"",IF(COUNTIFS('Promo Calendar'!$A$6:$A$400,$C361,'Promo Calendar'!$D$6:$D$400,IF($G361="","All",$G361),'Promo Calendar'!$I$6:$I$400,"&lt;="&amp;$A361,'Promo Calendar'!$J$6:$J$400,"&gt;="&amp;$A361,'Promo Calendar'!$G$6:$G$400,"&gt;0")&gt;0,_xlfn.MINIFS('Promo Calendar'!$G$6:$G$400,'Promo Calendar'!$A$6:$A$400,$C361,'Promo Calendar'!$D$6:$D$400,IF($G361="","All",$G361),'Promo Calendar'!$I$6:$I$400,"&lt;="&amp;$A361,'Promo Calendar'!$J$6:$J$400,"&gt;="&amp;$A361,'Promo Calendar'!$G$6:$G$400,"&gt;0"),IF(COUNTIFS('Promo Calendar'!$A$6:$A$400,$C361,'Promo Calendar'!$D$6:$D$400,"All",'Promo Calendar'!$I$6:$I$400,"&lt;="&amp;$A361,'Promo Calendar'!$J$6:$J$400,"&gt;="&amp;$A361,'Promo Calendar'!$G$6:$G$400,"&gt;0")&gt;0,_xlfn.MINIFS('Promo Calendar'!$G$6:$G$400,'Promo Calendar'!$A$6:$A$400,$C361,'Promo Calendar'!$D$6:$D$400,"All",'Promo Calendar'!$I$6:$I$400,"&lt;="&amp;$A361,'Promo Calendar'!$J$6:$J$400,"&gt;="&amp;$A361,'Promo Calendar'!$G$6:$G$400,"&gt;0"),IFERROR(IF(INDEX('Chain Program'!$M$6:$M$120,MATCH($C361,'Chain Program'!$A$6:$A$120,0))="","Not set",INDEX('Chain Program'!$M$6:$M$120,MATCH($C361,'Chain Program'!$A$6:$A$120,0))),"Not set"))))</f>
        <v/>
      </c>
      <c r="I361" s="61" t="n"/>
      <c r="J361" s="45">
        <f>IF($I361="","",IF(NOT(ISNUMBER($H361)),"No plan price",IF(ABS($I361-$H361)&lt;0.005,"Match",IF($I361&gt;$H361,"Over plan","Under plan"))))</f>
        <v/>
      </c>
      <c r="K361" s="60" t="n"/>
      <c r="L361" s="60" t="n"/>
      <c r="M361" s="60" t="n"/>
      <c r="N361" s="60" t="n"/>
      <c r="O361" s="60" t="n"/>
      <c r="P361" s="62" t="n"/>
      <c r="Q361" s="62" t="n"/>
      <c r="R361" s="60" t="n"/>
      <c r="S361" s="59" t="n"/>
      <c r="T361" s="60" t="n"/>
      <c r="U361" s="59" t="n"/>
      <c r="V361" s="45">
        <f>IF(OR($A361="",$T361="",$T361="No Issue"),"",IF($T361="Resolved",IF($U361="","",$U361-$A361),TODAY()-$A361))</f>
        <v/>
      </c>
      <c r="W361" s="47">
        <f>IF(AND($C361&lt;&gt;"",$C361='Store History'!$C$4,OR('Store History'!$C$5="",$F361='Store History'!$C$5)),1,0)</f>
        <v/>
      </c>
      <c r="X361" s="47">
        <f>IF($W361=1,SUM($W361:$W$1005),"")</f>
        <v/>
      </c>
    </row>
    <row r="362">
      <c r="A362" s="59" t="n"/>
      <c r="B362" s="60" t="n"/>
      <c r="C362" s="60" t="n"/>
      <c r="D362" s="45">
        <f>IF($C362="","",IFERROR(INDEX('Chain Program'!$B$6:$B$120,MATCH($C362,'Chain Program'!$A$6:$A$120,0)),"Unknown ID"))</f>
        <v/>
      </c>
      <c r="E362" s="45">
        <f>IF($C362="","",IFERROR(INDEX('Chain Program'!$D$6:$D$120,MATCH($C362,'Chain Program'!$A$6:$A$120,0)),"Unknown ID"))</f>
        <v/>
      </c>
      <c r="F362" s="60" t="n"/>
      <c r="G362" s="60" t="n"/>
      <c r="H362" s="56">
        <f>IF(OR($C362="",$A362=""),"",IF(COUNTIFS('Promo Calendar'!$A$6:$A$400,$C362,'Promo Calendar'!$D$6:$D$400,IF($G362="","All",$G362),'Promo Calendar'!$I$6:$I$400,"&lt;="&amp;$A362,'Promo Calendar'!$J$6:$J$400,"&gt;="&amp;$A362,'Promo Calendar'!$G$6:$G$400,"&gt;0")&gt;0,_xlfn.MINIFS('Promo Calendar'!$G$6:$G$400,'Promo Calendar'!$A$6:$A$400,$C362,'Promo Calendar'!$D$6:$D$400,IF($G362="","All",$G362),'Promo Calendar'!$I$6:$I$400,"&lt;="&amp;$A362,'Promo Calendar'!$J$6:$J$400,"&gt;="&amp;$A362,'Promo Calendar'!$G$6:$G$400,"&gt;0"),IF(COUNTIFS('Promo Calendar'!$A$6:$A$400,$C362,'Promo Calendar'!$D$6:$D$400,"All",'Promo Calendar'!$I$6:$I$400,"&lt;="&amp;$A362,'Promo Calendar'!$J$6:$J$400,"&gt;="&amp;$A362,'Promo Calendar'!$G$6:$G$400,"&gt;0")&gt;0,_xlfn.MINIFS('Promo Calendar'!$G$6:$G$400,'Promo Calendar'!$A$6:$A$400,$C362,'Promo Calendar'!$D$6:$D$400,"All",'Promo Calendar'!$I$6:$I$400,"&lt;="&amp;$A362,'Promo Calendar'!$J$6:$J$400,"&gt;="&amp;$A362,'Promo Calendar'!$G$6:$G$400,"&gt;0"),IFERROR(IF(INDEX('Chain Program'!$M$6:$M$120,MATCH($C362,'Chain Program'!$A$6:$A$120,0))="","Not set",INDEX('Chain Program'!$M$6:$M$120,MATCH($C362,'Chain Program'!$A$6:$A$120,0))),"Not set"))))</f>
        <v/>
      </c>
      <c r="I362" s="61" t="n"/>
      <c r="J362" s="45">
        <f>IF($I362="","",IF(NOT(ISNUMBER($H362)),"No plan price",IF(ABS($I362-$H362)&lt;0.005,"Match",IF($I362&gt;$H362,"Over plan","Under plan"))))</f>
        <v/>
      </c>
      <c r="K362" s="60" t="n"/>
      <c r="L362" s="60" t="n"/>
      <c r="M362" s="60" t="n"/>
      <c r="N362" s="60" t="n"/>
      <c r="O362" s="60" t="n"/>
      <c r="P362" s="62" t="n"/>
      <c r="Q362" s="62" t="n"/>
      <c r="R362" s="60" t="n"/>
      <c r="S362" s="59" t="n"/>
      <c r="T362" s="60" t="n"/>
      <c r="U362" s="59" t="n"/>
      <c r="V362" s="45">
        <f>IF(OR($A362="",$T362="",$T362="No Issue"),"",IF($T362="Resolved",IF($U362="","",$U362-$A362),TODAY()-$A362))</f>
        <v/>
      </c>
      <c r="W362" s="47">
        <f>IF(AND($C362&lt;&gt;"",$C362='Store History'!$C$4,OR('Store History'!$C$5="",$F362='Store History'!$C$5)),1,0)</f>
        <v/>
      </c>
      <c r="X362" s="47">
        <f>IF($W362=1,SUM($W362:$W$1005),"")</f>
        <v/>
      </c>
    </row>
    <row r="363">
      <c r="A363" s="59" t="n"/>
      <c r="B363" s="60" t="n"/>
      <c r="C363" s="60" t="n"/>
      <c r="D363" s="45">
        <f>IF($C363="","",IFERROR(INDEX('Chain Program'!$B$6:$B$120,MATCH($C363,'Chain Program'!$A$6:$A$120,0)),"Unknown ID"))</f>
        <v/>
      </c>
      <c r="E363" s="45">
        <f>IF($C363="","",IFERROR(INDEX('Chain Program'!$D$6:$D$120,MATCH($C363,'Chain Program'!$A$6:$A$120,0)),"Unknown ID"))</f>
        <v/>
      </c>
      <c r="F363" s="60" t="n"/>
      <c r="G363" s="60" t="n"/>
      <c r="H363" s="56">
        <f>IF(OR($C363="",$A363=""),"",IF(COUNTIFS('Promo Calendar'!$A$6:$A$400,$C363,'Promo Calendar'!$D$6:$D$400,IF($G363="","All",$G363),'Promo Calendar'!$I$6:$I$400,"&lt;="&amp;$A363,'Promo Calendar'!$J$6:$J$400,"&gt;="&amp;$A363,'Promo Calendar'!$G$6:$G$400,"&gt;0")&gt;0,_xlfn.MINIFS('Promo Calendar'!$G$6:$G$400,'Promo Calendar'!$A$6:$A$400,$C363,'Promo Calendar'!$D$6:$D$400,IF($G363="","All",$G363),'Promo Calendar'!$I$6:$I$400,"&lt;="&amp;$A363,'Promo Calendar'!$J$6:$J$400,"&gt;="&amp;$A363,'Promo Calendar'!$G$6:$G$400,"&gt;0"),IF(COUNTIFS('Promo Calendar'!$A$6:$A$400,$C363,'Promo Calendar'!$D$6:$D$400,"All",'Promo Calendar'!$I$6:$I$400,"&lt;="&amp;$A363,'Promo Calendar'!$J$6:$J$400,"&gt;="&amp;$A363,'Promo Calendar'!$G$6:$G$400,"&gt;0")&gt;0,_xlfn.MINIFS('Promo Calendar'!$G$6:$G$400,'Promo Calendar'!$A$6:$A$400,$C363,'Promo Calendar'!$D$6:$D$400,"All",'Promo Calendar'!$I$6:$I$400,"&lt;="&amp;$A363,'Promo Calendar'!$J$6:$J$400,"&gt;="&amp;$A363,'Promo Calendar'!$G$6:$G$400,"&gt;0"),IFERROR(IF(INDEX('Chain Program'!$M$6:$M$120,MATCH($C363,'Chain Program'!$A$6:$A$120,0))="","Not set",INDEX('Chain Program'!$M$6:$M$120,MATCH($C363,'Chain Program'!$A$6:$A$120,0))),"Not set"))))</f>
        <v/>
      </c>
      <c r="I363" s="61" t="n"/>
      <c r="J363" s="45">
        <f>IF($I363="","",IF(NOT(ISNUMBER($H363)),"No plan price",IF(ABS($I363-$H363)&lt;0.005,"Match",IF($I363&gt;$H363,"Over plan","Under plan"))))</f>
        <v/>
      </c>
      <c r="K363" s="60" t="n"/>
      <c r="L363" s="60" t="n"/>
      <c r="M363" s="60" t="n"/>
      <c r="N363" s="60" t="n"/>
      <c r="O363" s="60" t="n"/>
      <c r="P363" s="62" t="n"/>
      <c r="Q363" s="62" t="n"/>
      <c r="R363" s="60" t="n"/>
      <c r="S363" s="59" t="n"/>
      <c r="T363" s="60" t="n"/>
      <c r="U363" s="59" t="n"/>
      <c r="V363" s="45">
        <f>IF(OR($A363="",$T363="",$T363="No Issue"),"",IF($T363="Resolved",IF($U363="","",$U363-$A363),TODAY()-$A363))</f>
        <v/>
      </c>
      <c r="W363" s="47">
        <f>IF(AND($C363&lt;&gt;"",$C363='Store History'!$C$4,OR('Store History'!$C$5="",$F363='Store History'!$C$5)),1,0)</f>
        <v/>
      </c>
      <c r="X363" s="47">
        <f>IF($W363=1,SUM($W363:$W$1005),"")</f>
        <v/>
      </c>
    </row>
    <row r="364">
      <c r="A364" s="59" t="n"/>
      <c r="B364" s="60" t="n"/>
      <c r="C364" s="60" t="n"/>
      <c r="D364" s="45">
        <f>IF($C364="","",IFERROR(INDEX('Chain Program'!$B$6:$B$120,MATCH($C364,'Chain Program'!$A$6:$A$120,0)),"Unknown ID"))</f>
        <v/>
      </c>
      <c r="E364" s="45">
        <f>IF($C364="","",IFERROR(INDEX('Chain Program'!$D$6:$D$120,MATCH($C364,'Chain Program'!$A$6:$A$120,0)),"Unknown ID"))</f>
        <v/>
      </c>
      <c r="F364" s="60" t="n"/>
      <c r="G364" s="60" t="n"/>
      <c r="H364" s="56">
        <f>IF(OR($C364="",$A364=""),"",IF(COUNTIFS('Promo Calendar'!$A$6:$A$400,$C364,'Promo Calendar'!$D$6:$D$400,IF($G364="","All",$G364),'Promo Calendar'!$I$6:$I$400,"&lt;="&amp;$A364,'Promo Calendar'!$J$6:$J$400,"&gt;="&amp;$A364,'Promo Calendar'!$G$6:$G$400,"&gt;0")&gt;0,_xlfn.MINIFS('Promo Calendar'!$G$6:$G$400,'Promo Calendar'!$A$6:$A$400,$C364,'Promo Calendar'!$D$6:$D$400,IF($G364="","All",$G364),'Promo Calendar'!$I$6:$I$400,"&lt;="&amp;$A364,'Promo Calendar'!$J$6:$J$400,"&gt;="&amp;$A364,'Promo Calendar'!$G$6:$G$400,"&gt;0"),IF(COUNTIFS('Promo Calendar'!$A$6:$A$400,$C364,'Promo Calendar'!$D$6:$D$400,"All",'Promo Calendar'!$I$6:$I$400,"&lt;="&amp;$A364,'Promo Calendar'!$J$6:$J$400,"&gt;="&amp;$A364,'Promo Calendar'!$G$6:$G$400,"&gt;0")&gt;0,_xlfn.MINIFS('Promo Calendar'!$G$6:$G$400,'Promo Calendar'!$A$6:$A$400,$C364,'Promo Calendar'!$D$6:$D$400,"All",'Promo Calendar'!$I$6:$I$400,"&lt;="&amp;$A364,'Promo Calendar'!$J$6:$J$400,"&gt;="&amp;$A364,'Promo Calendar'!$G$6:$G$400,"&gt;0"),IFERROR(IF(INDEX('Chain Program'!$M$6:$M$120,MATCH($C364,'Chain Program'!$A$6:$A$120,0))="","Not set",INDEX('Chain Program'!$M$6:$M$120,MATCH($C364,'Chain Program'!$A$6:$A$120,0))),"Not set"))))</f>
        <v/>
      </c>
      <c r="I364" s="61" t="n"/>
      <c r="J364" s="45">
        <f>IF($I364="","",IF(NOT(ISNUMBER($H364)),"No plan price",IF(ABS($I364-$H364)&lt;0.005,"Match",IF($I364&gt;$H364,"Over plan","Under plan"))))</f>
        <v/>
      </c>
      <c r="K364" s="60" t="n"/>
      <c r="L364" s="60" t="n"/>
      <c r="M364" s="60" t="n"/>
      <c r="N364" s="60" t="n"/>
      <c r="O364" s="60" t="n"/>
      <c r="P364" s="62" t="n"/>
      <c r="Q364" s="62" t="n"/>
      <c r="R364" s="60" t="n"/>
      <c r="S364" s="59" t="n"/>
      <c r="T364" s="60" t="n"/>
      <c r="U364" s="59" t="n"/>
      <c r="V364" s="45">
        <f>IF(OR($A364="",$T364="",$T364="No Issue"),"",IF($T364="Resolved",IF($U364="","",$U364-$A364),TODAY()-$A364))</f>
        <v/>
      </c>
      <c r="W364" s="47">
        <f>IF(AND($C364&lt;&gt;"",$C364='Store History'!$C$4,OR('Store History'!$C$5="",$F364='Store History'!$C$5)),1,0)</f>
        <v/>
      </c>
      <c r="X364" s="47">
        <f>IF($W364=1,SUM($W364:$W$1005),"")</f>
        <v/>
      </c>
    </row>
    <row r="365">
      <c r="A365" s="59" t="n"/>
      <c r="B365" s="60" t="n"/>
      <c r="C365" s="60" t="n"/>
      <c r="D365" s="45">
        <f>IF($C365="","",IFERROR(INDEX('Chain Program'!$B$6:$B$120,MATCH($C365,'Chain Program'!$A$6:$A$120,0)),"Unknown ID"))</f>
        <v/>
      </c>
      <c r="E365" s="45">
        <f>IF($C365="","",IFERROR(INDEX('Chain Program'!$D$6:$D$120,MATCH($C365,'Chain Program'!$A$6:$A$120,0)),"Unknown ID"))</f>
        <v/>
      </c>
      <c r="F365" s="60" t="n"/>
      <c r="G365" s="60" t="n"/>
      <c r="H365" s="56">
        <f>IF(OR($C365="",$A365=""),"",IF(COUNTIFS('Promo Calendar'!$A$6:$A$400,$C365,'Promo Calendar'!$D$6:$D$400,IF($G365="","All",$G365),'Promo Calendar'!$I$6:$I$400,"&lt;="&amp;$A365,'Promo Calendar'!$J$6:$J$400,"&gt;="&amp;$A365,'Promo Calendar'!$G$6:$G$400,"&gt;0")&gt;0,_xlfn.MINIFS('Promo Calendar'!$G$6:$G$400,'Promo Calendar'!$A$6:$A$400,$C365,'Promo Calendar'!$D$6:$D$400,IF($G365="","All",$G365),'Promo Calendar'!$I$6:$I$400,"&lt;="&amp;$A365,'Promo Calendar'!$J$6:$J$400,"&gt;="&amp;$A365,'Promo Calendar'!$G$6:$G$400,"&gt;0"),IF(COUNTIFS('Promo Calendar'!$A$6:$A$400,$C365,'Promo Calendar'!$D$6:$D$400,"All",'Promo Calendar'!$I$6:$I$400,"&lt;="&amp;$A365,'Promo Calendar'!$J$6:$J$400,"&gt;="&amp;$A365,'Promo Calendar'!$G$6:$G$400,"&gt;0")&gt;0,_xlfn.MINIFS('Promo Calendar'!$G$6:$G$400,'Promo Calendar'!$A$6:$A$400,$C365,'Promo Calendar'!$D$6:$D$400,"All",'Promo Calendar'!$I$6:$I$400,"&lt;="&amp;$A365,'Promo Calendar'!$J$6:$J$400,"&gt;="&amp;$A365,'Promo Calendar'!$G$6:$G$400,"&gt;0"),IFERROR(IF(INDEX('Chain Program'!$M$6:$M$120,MATCH($C365,'Chain Program'!$A$6:$A$120,0))="","Not set",INDEX('Chain Program'!$M$6:$M$120,MATCH($C365,'Chain Program'!$A$6:$A$120,0))),"Not set"))))</f>
        <v/>
      </c>
      <c r="I365" s="61" t="n"/>
      <c r="J365" s="45">
        <f>IF($I365="","",IF(NOT(ISNUMBER($H365)),"No plan price",IF(ABS($I365-$H365)&lt;0.005,"Match",IF($I365&gt;$H365,"Over plan","Under plan"))))</f>
        <v/>
      </c>
      <c r="K365" s="60" t="n"/>
      <c r="L365" s="60" t="n"/>
      <c r="M365" s="60" t="n"/>
      <c r="N365" s="60" t="n"/>
      <c r="O365" s="60" t="n"/>
      <c r="P365" s="62" t="n"/>
      <c r="Q365" s="62" t="n"/>
      <c r="R365" s="60" t="n"/>
      <c r="S365" s="59" t="n"/>
      <c r="T365" s="60" t="n"/>
      <c r="U365" s="59" t="n"/>
      <c r="V365" s="45">
        <f>IF(OR($A365="",$T365="",$T365="No Issue"),"",IF($T365="Resolved",IF($U365="","",$U365-$A365),TODAY()-$A365))</f>
        <v/>
      </c>
      <c r="W365" s="47">
        <f>IF(AND($C365&lt;&gt;"",$C365='Store History'!$C$4,OR('Store History'!$C$5="",$F365='Store History'!$C$5)),1,0)</f>
        <v/>
      </c>
      <c r="X365" s="47">
        <f>IF($W365=1,SUM($W365:$W$1005),"")</f>
        <v/>
      </c>
    </row>
    <row r="366">
      <c r="A366" s="59" t="n"/>
      <c r="B366" s="60" t="n"/>
      <c r="C366" s="60" t="n"/>
      <c r="D366" s="45">
        <f>IF($C366="","",IFERROR(INDEX('Chain Program'!$B$6:$B$120,MATCH($C366,'Chain Program'!$A$6:$A$120,0)),"Unknown ID"))</f>
        <v/>
      </c>
      <c r="E366" s="45">
        <f>IF($C366="","",IFERROR(INDEX('Chain Program'!$D$6:$D$120,MATCH($C366,'Chain Program'!$A$6:$A$120,0)),"Unknown ID"))</f>
        <v/>
      </c>
      <c r="F366" s="60" t="n"/>
      <c r="G366" s="60" t="n"/>
      <c r="H366" s="56">
        <f>IF(OR($C366="",$A366=""),"",IF(COUNTIFS('Promo Calendar'!$A$6:$A$400,$C366,'Promo Calendar'!$D$6:$D$400,IF($G366="","All",$G366),'Promo Calendar'!$I$6:$I$400,"&lt;="&amp;$A366,'Promo Calendar'!$J$6:$J$400,"&gt;="&amp;$A366,'Promo Calendar'!$G$6:$G$400,"&gt;0")&gt;0,_xlfn.MINIFS('Promo Calendar'!$G$6:$G$400,'Promo Calendar'!$A$6:$A$400,$C366,'Promo Calendar'!$D$6:$D$400,IF($G366="","All",$G366),'Promo Calendar'!$I$6:$I$400,"&lt;="&amp;$A366,'Promo Calendar'!$J$6:$J$400,"&gt;="&amp;$A366,'Promo Calendar'!$G$6:$G$400,"&gt;0"),IF(COUNTIFS('Promo Calendar'!$A$6:$A$400,$C366,'Promo Calendar'!$D$6:$D$400,"All",'Promo Calendar'!$I$6:$I$400,"&lt;="&amp;$A366,'Promo Calendar'!$J$6:$J$400,"&gt;="&amp;$A366,'Promo Calendar'!$G$6:$G$400,"&gt;0")&gt;0,_xlfn.MINIFS('Promo Calendar'!$G$6:$G$400,'Promo Calendar'!$A$6:$A$400,$C366,'Promo Calendar'!$D$6:$D$400,"All",'Promo Calendar'!$I$6:$I$400,"&lt;="&amp;$A366,'Promo Calendar'!$J$6:$J$400,"&gt;="&amp;$A366,'Promo Calendar'!$G$6:$G$400,"&gt;0"),IFERROR(IF(INDEX('Chain Program'!$M$6:$M$120,MATCH($C366,'Chain Program'!$A$6:$A$120,0))="","Not set",INDEX('Chain Program'!$M$6:$M$120,MATCH($C366,'Chain Program'!$A$6:$A$120,0))),"Not set"))))</f>
        <v/>
      </c>
      <c r="I366" s="61" t="n"/>
      <c r="J366" s="45">
        <f>IF($I366="","",IF(NOT(ISNUMBER($H366)),"No plan price",IF(ABS($I366-$H366)&lt;0.005,"Match",IF($I366&gt;$H366,"Over plan","Under plan"))))</f>
        <v/>
      </c>
      <c r="K366" s="60" t="n"/>
      <c r="L366" s="60" t="n"/>
      <c r="M366" s="60" t="n"/>
      <c r="N366" s="60" t="n"/>
      <c r="O366" s="60" t="n"/>
      <c r="P366" s="62" t="n"/>
      <c r="Q366" s="62" t="n"/>
      <c r="R366" s="60" t="n"/>
      <c r="S366" s="59" t="n"/>
      <c r="T366" s="60" t="n"/>
      <c r="U366" s="59" t="n"/>
      <c r="V366" s="45">
        <f>IF(OR($A366="",$T366="",$T366="No Issue"),"",IF($T366="Resolved",IF($U366="","",$U366-$A366),TODAY()-$A366))</f>
        <v/>
      </c>
      <c r="W366" s="47">
        <f>IF(AND($C366&lt;&gt;"",$C366='Store History'!$C$4,OR('Store History'!$C$5="",$F366='Store History'!$C$5)),1,0)</f>
        <v/>
      </c>
      <c r="X366" s="47">
        <f>IF($W366=1,SUM($W366:$W$1005),"")</f>
        <v/>
      </c>
    </row>
    <row r="367">
      <c r="A367" s="59" t="n"/>
      <c r="B367" s="60" t="n"/>
      <c r="C367" s="60" t="n"/>
      <c r="D367" s="45">
        <f>IF($C367="","",IFERROR(INDEX('Chain Program'!$B$6:$B$120,MATCH($C367,'Chain Program'!$A$6:$A$120,0)),"Unknown ID"))</f>
        <v/>
      </c>
      <c r="E367" s="45">
        <f>IF($C367="","",IFERROR(INDEX('Chain Program'!$D$6:$D$120,MATCH($C367,'Chain Program'!$A$6:$A$120,0)),"Unknown ID"))</f>
        <v/>
      </c>
      <c r="F367" s="60" t="n"/>
      <c r="G367" s="60" t="n"/>
      <c r="H367" s="56">
        <f>IF(OR($C367="",$A367=""),"",IF(COUNTIFS('Promo Calendar'!$A$6:$A$400,$C367,'Promo Calendar'!$D$6:$D$400,IF($G367="","All",$G367),'Promo Calendar'!$I$6:$I$400,"&lt;="&amp;$A367,'Promo Calendar'!$J$6:$J$400,"&gt;="&amp;$A367,'Promo Calendar'!$G$6:$G$400,"&gt;0")&gt;0,_xlfn.MINIFS('Promo Calendar'!$G$6:$G$400,'Promo Calendar'!$A$6:$A$400,$C367,'Promo Calendar'!$D$6:$D$400,IF($G367="","All",$G367),'Promo Calendar'!$I$6:$I$400,"&lt;="&amp;$A367,'Promo Calendar'!$J$6:$J$400,"&gt;="&amp;$A367,'Promo Calendar'!$G$6:$G$400,"&gt;0"),IF(COUNTIFS('Promo Calendar'!$A$6:$A$400,$C367,'Promo Calendar'!$D$6:$D$400,"All",'Promo Calendar'!$I$6:$I$400,"&lt;="&amp;$A367,'Promo Calendar'!$J$6:$J$400,"&gt;="&amp;$A367,'Promo Calendar'!$G$6:$G$400,"&gt;0")&gt;0,_xlfn.MINIFS('Promo Calendar'!$G$6:$G$400,'Promo Calendar'!$A$6:$A$400,$C367,'Promo Calendar'!$D$6:$D$400,"All",'Promo Calendar'!$I$6:$I$400,"&lt;="&amp;$A367,'Promo Calendar'!$J$6:$J$400,"&gt;="&amp;$A367,'Promo Calendar'!$G$6:$G$400,"&gt;0"),IFERROR(IF(INDEX('Chain Program'!$M$6:$M$120,MATCH($C367,'Chain Program'!$A$6:$A$120,0))="","Not set",INDEX('Chain Program'!$M$6:$M$120,MATCH($C367,'Chain Program'!$A$6:$A$120,0))),"Not set"))))</f>
        <v/>
      </c>
      <c r="I367" s="61" t="n"/>
      <c r="J367" s="45">
        <f>IF($I367="","",IF(NOT(ISNUMBER($H367)),"No plan price",IF(ABS($I367-$H367)&lt;0.005,"Match",IF($I367&gt;$H367,"Over plan","Under plan"))))</f>
        <v/>
      </c>
      <c r="K367" s="60" t="n"/>
      <c r="L367" s="60" t="n"/>
      <c r="M367" s="60" t="n"/>
      <c r="N367" s="60" t="n"/>
      <c r="O367" s="60" t="n"/>
      <c r="P367" s="62" t="n"/>
      <c r="Q367" s="62" t="n"/>
      <c r="R367" s="60" t="n"/>
      <c r="S367" s="59" t="n"/>
      <c r="T367" s="60" t="n"/>
      <c r="U367" s="59" t="n"/>
      <c r="V367" s="45">
        <f>IF(OR($A367="",$T367="",$T367="No Issue"),"",IF($T367="Resolved",IF($U367="","",$U367-$A367),TODAY()-$A367))</f>
        <v/>
      </c>
      <c r="W367" s="47">
        <f>IF(AND($C367&lt;&gt;"",$C367='Store History'!$C$4,OR('Store History'!$C$5="",$F367='Store History'!$C$5)),1,0)</f>
        <v/>
      </c>
      <c r="X367" s="47">
        <f>IF($W367=1,SUM($W367:$W$1005),"")</f>
        <v/>
      </c>
    </row>
    <row r="368">
      <c r="A368" s="59" t="n"/>
      <c r="B368" s="60" t="n"/>
      <c r="C368" s="60" t="n"/>
      <c r="D368" s="45">
        <f>IF($C368="","",IFERROR(INDEX('Chain Program'!$B$6:$B$120,MATCH($C368,'Chain Program'!$A$6:$A$120,0)),"Unknown ID"))</f>
        <v/>
      </c>
      <c r="E368" s="45">
        <f>IF($C368="","",IFERROR(INDEX('Chain Program'!$D$6:$D$120,MATCH($C368,'Chain Program'!$A$6:$A$120,0)),"Unknown ID"))</f>
        <v/>
      </c>
      <c r="F368" s="60" t="n"/>
      <c r="G368" s="60" t="n"/>
      <c r="H368" s="56">
        <f>IF(OR($C368="",$A368=""),"",IF(COUNTIFS('Promo Calendar'!$A$6:$A$400,$C368,'Promo Calendar'!$D$6:$D$400,IF($G368="","All",$G368),'Promo Calendar'!$I$6:$I$400,"&lt;="&amp;$A368,'Promo Calendar'!$J$6:$J$400,"&gt;="&amp;$A368,'Promo Calendar'!$G$6:$G$400,"&gt;0")&gt;0,_xlfn.MINIFS('Promo Calendar'!$G$6:$G$400,'Promo Calendar'!$A$6:$A$400,$C368,'Promo Calendar'!$D$6:$D$400,IF($G368="","All",$G368),'Promo Calendar'!$I$6:$I$400,"&lt;="&amp;$A368,'Promo Calendar'!$J$6:$J$400,"&gt;="&amp;$A368,'Promo Calendar'!$G$6:$G$400,"&gt;0"),IF(COUNTIFS('Promo Calendar'!$A$6:$A$400,$C368,'Promo Calendar'!$D$6:$D$400,"All",'Promo Calendar'!$I$6:$I$400,"&lt;="&amp;$A368,'Promo Calendar'!$J$6:$J$400,"&gt;="&amp;$A368,'Promo Calendar'!$G$6:$G$400,"&gt;0")&gt;0,_xlfn.MINIFS('Promo Calendar'!$G$6:$G$400,'Promo Calendar'!$A$6:$A$400,$C368,'Promo Calendar'!$D$6:$D$400,"All",'Promo Calendar'!$I$6:$I$400,"&lt;="&amp;$A368,'Promo Calendar'!$J$6:$J$400,"&gt;="&amp;$A368,'Promo Calendar'!$G$6:$G$400,"&gt;0"),IFERROR(IF(INDEX('Chain Program'!$M$6:$M$120,MATCH($C368,'Chain Program'!$A$6:$A$120,0))="","Not set",INDEX('Chain Program'!$M$6:$M$120,MATCH($C368,'Chain Program'!$A$6:$A$120,0))),"Not set"))))</f>
        <v/>
      </c>
      <c r="I368" s="61" t="n"/>
      <c r="J368" s="45">
        <f>IF($I368="","",IF(NOT(ISNUMBER($H368)),"No plan price",IF(ABS($I368-$H368)&lt;0.005,"Match",IF($I368&gt;$H368,"Over plan","Under plan"))))</f>
        <v/>
      </c>
      <c r="K368" s="60" t="n"/>
      <c r="L368" s="60" t="n"/>
      <c r="M368" s="60" t="n"/>
      <c r="N368" s="60" t="n"/>
      <c r="O368" s="60" t="n"/>
      <c r="P368" s="62" t="n"/>
      <c r="Q368" s="62" t="n"/>
      <c r="R368" s="60" t="n"/>
      <c r="S368" s="59" t="n"/>
      <c r="T368" s="60" t="n"/>
      <c r="U368" s="59" t="n"/>
      <c r="V368" s="45">
        <f>IF(OR($A368="",$T368="",$T368="No Issue"),"",IF($T368="Resolved",IF($U368="","",$U368-$A368),TODAY()-$A368))</f>
        <v/>
      </c>
      <c r="W368" s="47">
        <f>IF(AND($C368&lt;&gt;"",$C368='Store History'!$C$4,OR('Store History'!$C$5="",$F368='Store History'!$C$5)),1,0)</f>
        <v/>
      </c>
      <c r="X368" s="47">
        <f>IF($W368=1,SUM($W368:$W$1005),"")</f>
        <v/>
      </c>
    </row>
    <row r="369">
      <c r="A369" s="59" t="n"/>
      <c r="B369" s="60" t="n"/>
      <c r="C369" s="60" t="n"/>
      <c r="D369" s="45">
        <f>IF($C369="","",IFERROR(INDEX('Chain Program'!$B$6:$B$120,MATCH($C369,'Chain Program'!$A$6:$A$120,0)),"Unknown ID"))</f>
        <v/>
      </c>
      <c r="E369" s="45">
        <f>IF($C369="","",IFERROR(INDEX('Chain Program'!$D$6:$D$120,MATCH($C369,'Chain Program'!$A$6:$A$120,0)),"Unknown ID"))</f>
        <v/>
      </c>
      <c r="F369" s="60" t="n"/>
      <c r="G369" s="60" t="n"/>
      <c r="H369" s="56">
        <f>IF(OR($C369="",$A369=""),"",IF(COUNTIFS('Promo Calendar'!$A$6:$A$400,$C369,'Promo Calendar'!$D$6:$D$400,IF($G369="","All",$G369),'Promo Calendar'!$I$6:$I$400,"&lt;="&amp;$A369,'Promo Calendar'!$J$6:$J$400,"&gt;="&amp;$A369,'Promo Calendar'!$G$6:$G$400,"&gt;0")&gt;0,_xlfn.MINIFS('Promo Calendar'!$G$6:$G$400,'Promo Calendar'!$A$6:$A$400,$C369,'Promo Calendar'!$D$6:$D$400,IF($G369="","All",$G369),'Promo Calendar'!$I$6:$I$400,"&lt;="&amp;$A369,'Promo Calendar'!$J$6:$J$400,"&gt;="&amp;$A369,'Promo Calendar'!$G$6:$G$400,"&gt;0"),IF(COUNTIFS('Promo Calendar'!$A$6:$A$400,$C369,'Promo Calendar'!$D$6:$D$400,"All",'Promo Calendar'!$I$6:$I$400,"&lt;="&amp;$A369,'Promo Calendar'!$J$6:$J$400,"&gt;="&amp;$A369,'Promo Calendar'!$G$6:$G$400,"&gt;0")&gt;0,_xlfn.MINIFS('Promo Calendar'!$G$6:$G$400,'Promo Calendar'!$A$6:$A$400,$C369,'Promo Calendar'!$D$6:$D$400,"All",'Promo Calendar'!$I$6:$I$400,"&lt;="&amp;$A369,'Promo Calendar'!$J$6:$J$400,"&gt;="&amp;$A369,'Promo Calendar'!$G$6:$G$400,"&gt;0"),IFERROR(IF(INDEX('Chain Program'!$M$6:$M$120,MATCH($C369,'Chain Program'!$A$6:$A$120,0))="","Not set",INDEX('Chain Program'!$M$6:$M$120,MATCH($C369,'Chain Program'!$A$6:$A$120,0))),"Not set"))))</f>
        <v/>
      </c>
      <c r="I369" s="61" t="n"/>
      <c r="J369" s="45">
        <f>IF($I369="","",IF(NOT(ISNUMBER($H369)),"No plan price",IF(ABS($I369-$H369)&lt;0.005,"Match",IF($I369&gt;$H369,"Over plan","Under plan"))))</f>
        <v/>
      </c>
      <c r="K369" s="60" t="n"/>
      <c r="L369" s="60" t="n"/>
      <c r="M369" s="60" t="n"/>
      <c r="N369" s="60" t="n"/>
      <c r="O369" s="60" t="n"/>
      <c r="P369" s="62" t="n"/>
      <c r="Q369" s="62" t="n"/>
      <c r="R369" s="60" t="n"/>
      <c r="S369" s="59" t="n"/>
      <c r="T369" s="60" t="n"/>
      <c r="U369" s="59" t="n"/>
      <c r="V369" s="45">
        <f>IF(OR($A369="",$T369="",$T369="No Issue"),"",IF($T369="Resolved",IF($U369="","",$U369-$A369),TODAY()-$A369))</f>
        <v/>
      </c>
      <c r="W369" s="47">
        <f>IF(AND($C369&lt;&gt;"",$C369='Store History'!$C$4,OR('Store History'!$C$5="",$F369='Store History'!$C$5)),1,0)</f>
        <v/>
      </c>
      <c r="X369" s="47">
        <f>IF($W369=1,SUM($W369:$W$1005),"")</f>
        <v/>
      </c>
    </row>
    <row r="370">
      <c r="A370" s="59" t="n"/>
      <c r="B370" s="60" t="n"/>
      <c r="C370" s="60" t="n"/>
      <c r="D370" s="45">
        <f>IF($C370="","",IFERROR(INDEX('Chain Program'!$B$6:$B$120,MATCH($C370,'Chain Program'!$A$6:$A$120,0)),"Unknown ID"))</f>
        <v/>
      </c>
      <c r="E370" s="45">
        <f>IF($C370="","",IFERROR(INDEX('Chain Program'!$D$6:$D$120,MATCH($C370,'Chain Program'!$A$6:$A$120,0)),"Unknown ID"))</f>
        <v/>
      </c>
      <c r="F370" s="60" t="n"/>
      <c r="G370" s="60" t="n"/>
      <c r="H370" s="56">
        <f>IF(OR($C370="",$A370=""),"",IF(COUNTIFS('Promo Calendar'!$A$6:$A$400,$C370,'Promo Calendar'!$D$6:$D$400,IF($G370="","All",$G370),'Promo Calendar'!$I$6:$I$400,"&lt;="&amp;$A370,'Promo Calendar'!$J$6:$J$400,"&gt;="&amp;$A370,'Promo Calendar'!$G$6:$G$400,"&gt;0")&gt;0,_xlfn.MINIFS('Promo Calendar'!$G$6:$G$400,'Promo Calendar'!$A$6:$A$400,$C370,'Promo Calendar'!$D$6:$D$400,IF($G370="","All",$G370),'Promo Calendar'!$I$6:$I$400,"&lt;="&amp;$A370,'Promo Calendar'!$J$6:$J$400,"&gt;="&amp;$A370,'Promo Calendar'!$G$6:$G$400,"&gt;0"),IF(COUNTIFS('Promo Calendar'!$A$6:$A$400,$C370,'Promo Calendar'!$D$6:$D$400,"All",'Promo Calendar'!$I$6:$I$400,"&lt;="&amp;$A370,'Promo Calendar'!$J$6:$J$400,"&gt;="&amp;$A370,'Promo Calendar'!$G$6:$G$400,"&gt;0")&gt;0,_xlfn.MINIFS('Promo Calendar'!$G$6:$G$400,'Promo Calendar'!$A$6:$A$400,$C370,'Promo Calendar'!$D$6:$D$400,"All",'Promo Calendar'!$I$6:$I$400,"&lt;="&amp;$A370,'Promo Calendar'!$J$6:$J$400,"&gt;="&amp;$A370,'Promo Calendar'!$G$6:$G$400,"&gt;0"),IFERROR(IF(INDEX('Chain Program'!$M$6:$M$120,MATCH($C370,'Chain Program'!$A$6:$A$120,0))="","Not set",INDEX('Chain Program'!$M$6:$M$120,MATCH($C370,'Chain Program'!$A$6:$A$120,0))),"Not set"))))</f>
        <v/>
      </c>
      <c r="I370" s="61" t="n"/>
      <c r="J370" s="45">
        <f>IF($I370="","",IF(NOT(ISNUMBER($H370)),"No plan price",IF(ABS($I370-$H370)&lt;0.005,"Match",IF($I370&gt;$H370,"Over plan","Under plan"))))</f>
        <v/>
      </c>
      <c r="K370" s="60" t="n"/>
      <c r="L370" s="60" t="n"/>
      <c r="M370" s="60" t="n"/>
      <c r="N370" s="60" t="n"/>
      <c r="O370" s="60" t="n"/>
      <c r="P370" s="62" t="n"/>
      <c r="Q370" s="62" t="n"/>
      <c r="R370" s="60" t="n"/>
      <c r="S370" s="59" t="n"/>
      <c r="T370" s="60" t="n"/>
      <c r="U370" s="59" t="n"/>
      <c r="V370" s="45">
        <f>IF(OR($A370="",$T370="",$T370="No Issue"),"",IF($T370="Resolved",IF($U370="","",$U370-$A370),TODAY()-$A370))</f>
        <v/>
      </c>
      <c r="W370" s="47">
        <f>IF(AND($C370&lt;&gt;"",$C370='Store History'!$C$4,OR('Store History'!$C$5="",$F370='Store History'!$C$5)),1,0)</f>
        <v/>
      </c>
      <c r="X370" s="47">
        <f>IF($W370=1,SUM($W370:$W$1005),"")</f>
        <v/>
      </c>
    </row>
    <row r="371">
      <c r="A371" s="59" t="n"/>
      <c r="B371" s="60" t="n"/>
      <c r="C371" s="60" t="n"/>
      <c r="D371" s="45">
        <f>IF($C371="","",IFERROR(INDEX('Chain Program'!$B$6:$B$120,MATCH($C371,'Chain Program'!$A$6:$A$120,0)),"Unknown ID"))</f>
        <v/>
      </c>
      <c r="E371" s="45">
        <f>IF($C371="","",IFERROR(INDEX('Chain Program'!$D$6:$D$120,MATCH($C371,'Chain Program'!$A$6:$A$120,0)),"Unknown ID"))</f>
        <v/>
      </c>
      <c r="F371" s="60" t="n"/>
      <c r="G371" s="60" t="n"/>
      <c r="H371" s="56">
        <f>IF(OR($C371="",$A371=""),"",IF(COUNTIFS('Promo Calendar'!$A$6:$A$400,$C371,'Promo Calendar'!$D$6:$D$400,IF($G371="","All",$G371),'Promo Calendar'!$I$6:$I$400,"&lt;="&amp;$A371,'Promo Calendar'!$J$6:$J$400,"&gt;="&amp;$A371,'Promo Calendar'!$G$6:$G$400,"&gt;0")&gt;0,_xlfn.MINIFS('Promo Calendar'!$G$6:$G$400,'Promo Calendar'!$A$6:$A$400,$C371,'Promo Calendar'!$D$6:$D$400,IF($G371="","All",$G371),'Promo Calendar'!$I$6:$I$400,"&lt;="&amp;$A371,'Promo Calendar'!$J$6:$J$400,"&gt;="&amp;$A371,'Promo Calendar'!$G$6:$G$400,"&gt;0"),IF(COUNTIFS('Promo Calendar'!$A$6:$A$400,$C371,'Promo Calendar'!$D$6:$D$400,"All",'Promo Calendar'!$I$6:$I$400,"&lt;="&amp;$A371,'Promo Calendar'!$J$6:$J$400,"&gt;="&amp;$A371,'Promo Calendar'!$G$6:$G$400,"&gt;0")&gt;0,_xlfn.MINIFS('Promo Calendar'!$G$6:$G$400,'Promo Calendar'!$A$6:$A$400,$C371,'Promo Calendar'!$D$6:$D$400,"All",'Promo Calendar'!$I$6:$I$400,"&lt;="&amp;$A371,'Promo Calendar'!$J$6:$J$400,"&gt;="&amp;$A371,'Promo Calendar'!$G$6:$G$400,"&gt;0"),IFERROR(IF(INDEX('Chain Program'!$M$6:$M$120,MATCH($C371,'Chain Program'!$A$6:$A$120,0))="","Not set",INDEX('Chain Program'!$M$6:$M$120,MATCH($C371,'Chain Program'!$A$6:$A$120,0))),"Not set"))))</f>
        <v/>
      </c>
      <c r="I371" s="61" t="n"/>
      <c r="J371" s="45">
        <f>IF($I371="","",IF(NOT(ISNUMBER($H371)),"No plan price",IF(ABS($I371-$H371)&lt;0.005,"Match",IF($I371&gt;$H371,"Over plan","Under plan"))))</f>
        <v/>
      </c>
      <c r="K371" s="60" t="n"/>
      <c r="L371" s="60" t="n"/>
      <c r="M371" s="60" t="n"/>
      <c r="N371" s="60" t="n"/>
      <c r="O371" s="60" t="n"/>
      <c r="P371" s="62" t="n"/>
      <c r="Q371" s="62" t="n"/>
      <c r="R371" s="60" t="n"/>
      <c r="S371" s="59" t="n"/>
      <c r="T371" s="60" t="n"/>
      <c r="U371" s="59" t="n"/>
      <c r="V371" s="45">
        <f>IF(OR($A371="",$T371="",$T371="No Issue"),"",IF($T371="Resolved",IF($U371="","",$U371-$A371),TODAY()-$A371))</f>
        <v/>
      </c>
      <c r="W371" s="47">
        <f>IF(AND($C371&lt;&gt;"",$C371='Store History'!$C$4,OR('Store History'!$C$5="",$F371='Store History'!$C$5)),1,0)</f>
        <v/>
      </c>
      <c r="X371" s="47">
        <f>IF($W371=1,SUM($W371:$W$1005),"")</f>
        <v/>
      </c>
    </row>
    <row r="372">
      <c r="A372" s="59" t="n"/>
      <c r="B372" s="60" t="n"/>
      <c r="C372" s="60" t="n"/>
      <c r="D372" s="45">
        <f>IF($C372="","",IFERROR(INDEX('Chain Program'!$B$6:$B$120,MATCH($C372,'Chain Program'!$A$6:$A$120,0)),"Unknown ID"))</f>
        <v/>
      </c>
      <c r="E372" s="45">
        <f>IF($C372="","",IFERROR(INDEX('Chain Program'!$D$6:$D$120,MATCH($C372,'Chain Program'!$A$6:$A$120,0)),"Unknown ID"))</f>
        <v/>
      </c>
      <c r="F372" s="60" t="n"/>
      <c r="G372" s="60" t="n"/>
      <c r="H372" s="56">
        <f>IF(OR($C372="",$A372=""),"",IF(COUNTIFS('Promo Calendar'!$A$6:$A$400,$C372,'Promo Calendar'!$D$6:$D$400,IF($G372="","All",$G372),'Promo Calendar'!$I$6:$I$400,"&lt;="&amp;$A372,'Promo Calendar'!$J$6:$J$400,"&gt;="&amp;$A372,'Promo Calendar'!$G$6:$G$400,"&gt;0")&gt;0,_xlfn.MINIFS('Promo Calendar'!$G$6:$G$400,'Promo Calendar'!$A$6:$A$400,$C372,'Promo Calendar'!$D$6:$D$400,IF($G372="","All",$G372),'Promo Calendar'!$I$6:$I$400,"&lt;="&amp;$A372,'Promo Calendar'!$J$6:$J$400,"&gt;="&amp;$A372,'Promo Calendar'!$G$6:$G$400,"&gt;0"),IF(COUNTIFS('Promo Calendar'!$A$6:$A$400,$C372,'Promo Calendar'!$D$6:$D$400,"All",'Promo Calendar'!$I$6:$I$400,"&lt;="&amp;$A372,'Promo Calendar'!$J$6:$J$400,"&gt;="&amp;$A372,'Promo Calendar'!$G$6:$G$400,"&gt;0")&gt;0,_xlfn.MINIFS('Promo Calendar'!$G$6:$G$400,'Promo Calendar'!$A$6:$A$400,$C372,'Promo Calendar'!$D$6:$D$400,"All",'Promo Calendar'!$I$6:$I$400,"&lt;="&amp;$A372,'Promo Calendar'!$J$6:$J$400,"&gt;="&amp;$A372,'Promo Calendar'!$G$6:$G$400,"&gt;0"),IFERROR(IF(INDEX('Chain Program'!$M$6:$M$120,MATCH($C372,'Chain Program'!$A$6:$A$120,0))="","Not set",INDEX('Chain Program'!$M$6:$M$120,MATCH($C372,'Chain Program'!$A$6:$A$120,0))),"Not set"))))</f>
        <v/>
      </c>
      <c r="I372" s="61" t="n"/>
      <c r="J372" s="45">
        <f>IF($I372="","",IF(NOT(ISNUMBER($H372)),"No plan price",IF(ABS($I372-$H372)&lt;0.005,"Match",IF($I372&gt;$H372,"Over plan","Under plan"))))</f>
        <v/>
      </c>
      <c r="K372" s="60" t="n"/>
      <c r="L372" s="60" t="n"/>
      <c r="M372" s="60" t="n"/>
      <c r="N372" s="60" t="n"/>
      <c r="O372" s="60" t="n"/>
      <c r="P372" s="62" t="n"/>
      <c r="Q372" s="62" t="n"/>
      <c r="R372" s="60" t="n"/>
      <c r="S372" s="59" t="n"/>
      <c r="T372" s="60" t="n"/>
      <c r="U372" s="59" t="n"/>
      <c r="V372" s="45">
        <f>IF(OR($A372="",$T372="",$T372="No Issue"),"",IF($T372="Resolved",IF($U372="","",$U372-$A372),TODAY()-$A372))</f>
        <v/>
      </c>
      <c r="W372" s="47">
        <f>IF(AND($C372&lt;&gt;"",$C372='Store History'!$C$4,OR('Store History'!$C$5="",$F372='Store History'!$C$5)),1,0)</f>
        <v/>
      </c>
      <c r="X372" s="47">
        <f>IF($W372=1,SUM($W372:$W$1005),"")</f>
        <v/>
      </c>
    </row>
    <row r="373">
      <c r="A373" s="59" t="n"/>
      <c r="B373" s="60" t="n"/>
      <c r="C373" s="60" t="n"/>
      <c r="D373" s="45">
        <f>IF($C373="","",IFERROR(INDEX('Chain Program'!$B$6:$B$120,MATCH($C373,'Chain Program'!$A$6:$A$120,0)),"Unknown ID"))</f>
        <v/>
      </c>
      <c r="E373" s="45">
        <f>IF($C373="","",IFERROR(INDEX('Chain Program'!$D$6:$D$120,MATCH($C373,'Chain Program'!$A$6:$A$120,0)),"Unknown ID"))</f>
        <v/>
      </c>
      <c r="F373" s="60" t="n"/>
      <c r="G373" s="60" t="n"/>
      <c r="H373" s="56">
        <f>IF(OR($C373="",$A373=""),"",IF(COUNTIFS('Promo Calendar'!$A$6:$A$400,$C373,'Promo Calendar'!$D$6:$D$400,IF($G373="","All",$G373),'Promo Calendar'!$I$6:$I$400,"&lt;="&amp;$A373,'Promo Calendar'!$J$6:$J$400,"&gt;="&amp;$A373,'Promo Calendar'!$G$6:$G$400,"&gt;0")&gt;0,_xlfn.MINIFS('Promo Calendar'!$G$6:$G$400,'Promo Calendar'!$A$6:$A$400,$C373,'Promo Calendar'!$D$6:$D$400,IF($G373="","All",$G373),'Promo Calendar'!$I$6:$I$400,"&lt;="&amp;$A373,'Promo Calendar'!$J$6:$J$400,"&gt;="&amp;$A373,'Promo Calendar'!$G$6:$G$400,"&gt;0"),IF(COUNTIFS('Promo Calendar'!$A$6:$A$400,$C373,'Promo Calendar'!$D$6:$D$400,"All",'Promo Calendar'!$I$6:$I$400,"&lt;="&amp;$A373,'Promo Calendar'!$J$6:$J$400,"&gt;="&amp;$A373,'Promo Calendar'!$G$6:$G$400,"&gt;0")&gt;0,_xlfn.MINIFS('Promo Calendar'!$G$6:$G$400,'Promo Calendar'!$A$6:$A$400,$C373,'Promo Calendar'!$D$6:$D$400,"All",'Promo Calendar'!$I$6:$I$400,"&lt;="&amp;$A373,'Promo Calendar'!$J$6:$J$400,"&gt;="&amp;$A373,'Promo Calendar'!$G$6:$G$400,"&gt;0"),IFERROR(IF(INDEX('Chain Program'!$M$6:$M$120,MATCH($C373,'Chain Program'!$A$6:$A$120,0))="","Not set",INDEX('Chain Program'!$M$6:$M$120,MATCH($C373,'Chain Program'!$A$6:$A$120,0))),"Not set"))))</f>
        <v/>
      </c>
      <c r="I373" s="61" t="n"/>
      <c r="J373" s="45">
        <f>IF($I373="","",IF(NOT(ISNUMBER($H373)),"No plan price",IF(ABS($I373-$H373)&lt;0.005,"Match",IF($I373&gt;$H373,"Over plan","Under plan"))))</f>
        <v/>
      </c>
      <c r="K373" s="60" t="n"/>
      <c r="L373" s="60" t="n"/>
      <c r="M373" s="60" t="n"/>
      <c r="N373" s="60" t="n"/>
      <c r="O373" s="60" t="n"/>
      <c r="P373" s="62" t="n"/>
      <c r="Q373" s="62" t="n"/>
      <c r="R373" s="60" t="n"/>
      <c r="S373" s="59" t="n"/>
      <c r="T373" s="60" t="n"/>
      <c r="U373" s="59" t="n"/>
      <c r="V373" s="45">
        <f>IF(OR($A373="",$T373="",$T373="No Issue"),"",IF($T373="Resolved",IF($U373="","",$U373-$A373),TODAY()-$A373))</f>
        <v/>
      </c>
      <c r="W373" s="47">
        <f>IF(AND($C373&lt;&gt;"",$C373='Store History'!$C$4,OR('Store History'!$C$5="",$F373='Store History'!$C$5)),1,0)</f>
        <v/>
      </c>
      <c r="X373" s="47">
        <f>IF($W373=1,SUM($W373:$W$1005),"")</f>
        <v/>
      </c>
    </row>
    <row r="374">
      <c r="A374" s="59" t="n"/>
      <c r="B374" s="60" t="n"/>
      <c r="C374" s="60" t="n"/>
      <c r="D374" s="45">
        <f>IF($C374="","",IFERROR(INDEX('Chain Program'!$B$6:$B$120,MATCH($C374,'Chain Program'!$A$6:$A$120,0)),"Unknown ID"))</f>
        <v/>
      </c>
      <c r="E374" s="45">
        <f>IF($C374="","",IFERROR(INDEX('Chain Program'!$D$6:$D$120,MATCH($C374,'Chain Program'!$A$6:$A$120,0)),"Unknown ID"))</f>
        <v/>
      </c>
      <c r="F374" s="60" t="n"/>
      <c r="G374" s="60" t="n"/>
      <c r="H374" s="56">
        <f>IF(OR($C374="",$A374=""),"",IF(COUNTIFS('Promo Calendar'!$A$6:$A$400,$C374,'Promo Calendar'!$D$6:$D$400,IF($G374="","All",$G374),'Promo Calendar'!$I$6:$I$400,"&lt;="&amp;$A374,'Promo Calendar'!$J$6:$J$400,"&gt;="&amp;$A374,'Promo Calendar'!$G$6:$G$400,"&gt;0")&gt;0,_xlfn.MINIFS('Promo Calendar'!$G$6:$G$400,'Promo Calendar'!$A$6:$A$400,$C374,'Promo Calendar'!$D$6:$D$400,IF($G374="","All",$G374),'Promo Calendar'!$I$6:$I$400,"&lt;="&amp;$A374,'Promo Calendar'!$J$6:$J$400,"&gt;="&amp;$A374,'Promo Calendar'!$G$6:$G$400,"&gt;0"),IF(COUNTIFS('Promo Calendar'!$A$6:$A$400,$C374,'Promo Calendar'!$D$6:$D$400,"All",'Promo Calendar'!$I$6:$I$400,"&lt;="&amp;$A374,'Promo Calendar'!$J$6:$J$400,"&gt;="&amp;$A374,'Promo Calendar'!$G$6:$G$400,"&gt;0")&gt;0,_xlfn.MINIFS('Promo Calendar'!$G$6:$G$400,'Promo Calendar'!$A$6:$A$400,$C374,'Promo Calendar'!$D$6:$D$400,"All",'Promo Calendar'!$I$6:$I$400,"&lt;="&amp;$A374,'Promo Calendar'!$J$6:$J$400,"&gt;="&amp;$A374,'Promo Calendar'!$G$6:$G$400,"&gt;0"),IFERROR(IF(INDEX('Chain Program'!$M$6:$M$120,MATCH($C374,'Chain Program'!$A$6:$A$120,0))="","Not set",INDEX('Chain Program'!$M$6:$M$120,MATCH($C374,'Chain Program'!$A$6:$A$120,0))),"Not set"))))</f>
        <v/>
      </c>
      <c r="I374" s="61" t="n"/>
      <c r="J374" s="45">
        <f>IF($I374="","",IF(NOT(ISNUMBER($H374)),"No plan price",IF(ABS($I374-$H374)&lt;0.005,"Match",IF($I374&gt;$H374,"Over plan","Under plan"))))</f>
        <v/>
      </c>
      <c r="K374" s="60" t="n"/>
      <c r="L374" s="60" t="n"/>
      <c r="M374" s="60" t="n"/>
      <c r="N374" s="60" t="n"/>
      <c r="O374" s="60" t="n"/>
      <c r="P374" s="62" t="n"/>
      <c r="Q374" s="62" t="n"/>
      <c r="R374" s="60" t="n"/>
      <c r="S374" s="59" t="n"/>
      <c r="T374" s="60" t="n"/>
      <c r="U374" s="59" t="n"/>
      <c r="V374" s="45">
        <f>IF(OR($A374="",$T374="",$T374="No Issue"),"",IF($T374="Resolved",IF($U374="","",$U374-$A374),TODAY()-$A374))</f>
        <v/>
      </c>
      <c r="W374" s="47">
        <f>IF(AND($C374&lt;&gt;"",$C374='Store History'!$C$4,OR('Store History'!$C$5="",$F374='Store History'!$C$5)),1,0)</f>
        <v/>
      </c>
      <c r="X374" s="47">
        <f>IF($W374=1,SUM($W374:$W$1005),"")</f>
        <v/>
      </c>
    </row>
    <row r="375">
      <c r="A375" s="59" t="n"/>
      <c r="B375" s="60" t="n"/>
      <c r="C375" s="60" t="n"/>
      <c r="D375" s="45">
        <f>IF($C375="","",IFERROR(INDEX('Chain Program'!$B$6:$B$120,MATCH($C375,'Chain Program'!$A$6:$A$120,0)),"Unknown ID"))</f>
        <v/>
      </c>
      <c r="E375" s="45">
        <f>IF($C375="","",IFERROR(INDEX('Chain Program'!$D$6:$D$120,MATCH($C375,'Chain Program'!$A$6:$A$120,0)),"Unknown ID"))</f>
        <v/>
      </c>
      <c r="F375" s="60" t="n"/>
      <c r="G375" s="60" t="n"/>
      <c r="H375" s="56">
        <f>IF(OR($C375="",$A375=""),"",IF(COUNTIFS('Promo Calendar'!$A$6:$A$400,$C375,'Promo Calendar'!$D$6:$D$400,IF($G375="","All",$G375),'Promo Calendar'!$I$6:$I$400,"&lt;="&amp;$A375,'Promo Calendar'!$J$6:$J$400,"&gt;="&amp;$A375,'Promo Calendar'!$G$6:$G$400,"&gt;0")&gt;0,_xlfn.MINIFS('Promo Calendar'!$G$6:$G$400,'Promo Calendar'!$A$6:$A$400,$C375,'Promo Calendar'!$D$6:$D$400,IF($G375="","All",$G375),'Promo Calendar'!$I$6:$I$400,"&lt;="&amp;$A375,'Promo Calendar'!$J$6:$J$400,"&gt;="&amp;$A375,'Promo Calendar'!$G$6:$G$400,"&gt;0"),IF(COUNTIFS('Promo Calendar'!$A$6:$A$400,$C375,'Promo Calendar'!$D$6:$D$400,"All",'Promo Calendar'!$I$6:$I$400,"&lt;="&amp;$A375,'Promo Calendar'!$J$6:$J$400,"&gt;="&amp;$A375,'Promo Calendar'!$G$6:$G$400,"&gt;0")&gt;0,_xlfn.MINIFS('Promo Calendar'!$G$6:$G$400,'Promo Calendar'!$A$6:$A$400,$C375,'Promo Calendar'!$D$6:$D$400,"All",'Promo Calendar'!$I$6:$I$400,"&lt;="&amp;$A375,'Promo Calendar'!$J$6:$J$400,"&gt;="&amp;$A375,'Promo Calendar'!$G$6:$G$400,"&gt;0"),IFERROR(IF(INDEX('Chain Program'!$M$6:$M$120,MATCH($C375,'Chain Program'!$A$6:$A$120,0))="","Not set",INDEX('Chain Program'!$M$6:$M$120,MATCH($C375,'Chain Program'!$A$6:$A$120,0))),"Not set"))))</f>
        <v/>
      </c>
      <c r="I375" s="61" t="n"/>
      <c r="J375" s="45">
        <f>IF($I375="","",IF(NOT(ISNUMBER($H375)),"No plan price",IF(ABS($I375-$H375)&lt;0.005,"Match",IF($I375&gt;$H375,"Over plan","Under plan"))))</f>
        <v/>
      </c>
      <c r="K375" s="60" t="n"/>
      <c r="L375" s="60" t="n"/>
      <c r="M375" s="60" t="n"/>
      <c r="N375" s="60" t="n"/>
      <c r="O375" s="60" t="n"/>
      <c r="P375" s="62" t="n"/>
      <c r="Q375" s="62" t="n"/>
      <c r="R375" s="60" t="n"/>
      <c r="S375" s="59" t="n"/>
      <c r="T375" s="60" t="n"/>
      <c r="U375" s="59" t="n"/>
      <c r="V375" s="45">
        <f>IF(OR($A375="",$T375="",$T375="No Issue"),"",IF($T375="Resolved",IF($U375="","",$U375-$A375),TODAY()-$A375))</f>
        <v/>
      </c>
      <c r="W375" s="47">
        <f>IF(AND($C375&lt;&gt;"",$C375='Store History'!$C$4,OR('Store History'!$C$5="",$F375='Store History'!$C$5)),1,0)</f>
        <v/>
      </c>
      <c r="X375" s="47">
        <f>IF($W375=1,SUM($W375:$W$1005),"")</f>
        <v/>
      </c>
    </row>
    <row r="376">
      <c r="A376" s="59" t="n"/>
      <c r="B376" s="60" t="n"/>
      <c r="C376" s="60" t="n"/>
      <c r="D376" s="45">
        <f>IF($C376="","",IFERROR(INDEX('Chain Program'!$B$6:$B$120,MATCH($C376,'Chain Program'!$A$6:$A$120,0)),"Unknown ID"))</f>
        <v/>
      </c>
      <c r="E376" s="45">
        <f>IF($C376="","",IFERROR(INDEX('Chain Program'!$D$6:$D$120,MATCH($C376,'Chain Program'!$A$6:$A$120,0)),"Unknown ID"))</f>
        <v/>
      </c>
      <c r="F376" s="60" t="n"/>
      <c r="G376" s="60" t="n"/>
      <c r="H376" s="56">
        <f>IF(OR($C376="",$A376=""),"",IF(COUNTIFS('Promo Calendar'!$A$6:$A$400,$C376,'Promo Calendar'!$D$6:$D$400,IF($G376="","All",$G376),'Promo Calendar'!$I$6:$I$400,"&lt;="&amp;$A376,'Promo Calendar'!$J$6:$J$400,"&gt;="&amp;$A376,'Promo Calendar'!$G$6:$G$400,"&gt;0")&gt;0,_xlfn.MINIFS('Promo Calendar'!$G$6:$G$400,'Promo Calendar'!$A$6:$A$400,$C376,'Promo Calendar'!$D$6:$D$400,IF($G376="","All",$G376),'Promo Calendar'!$I$6:$I$400,"&lt;="&amp;$A376,'Promo Calendar'!$J$6:$J$400,"&gt;="&amp;$A376,'Promo Calendar'!$G$6:$G$400,"&gt;0"),IF(COUNTIFS('Promo Calendar'!$A$6:$A$400,$C376,'Promo Calendar'!$D$6:$D$400,"All",'Promo Calendar'!$I$6:$I$400,"&lt;="&amp;$A376,'Promo Calendar'!$J$6:$J$400,"&gt;="&amp;$A376,'Promo Calendar'!$G$6:$G$400,"&gt;0")&gt;0,_xlfn.MINIFS('Promo Calendar'!$G$6:$G$400,'Promo Calendar'!$A$6:$A$400,$C376,'Promo Calendar'!$D$6:$D$400,"All",'Promo Calendar'!$I$6:$I$400,"&lt;="&amp;$A376,'Promo Calendar'!$J$6:$J$400,"&gt;="&amp;$A376,'Promo Calendar'!$G$6:$G$400,"&gt;0"),IFERROR(IF(INDEX('Chain Program'!$M$6:$M$120,MATCH($C376,'Chain Program'!$A$6:$A$120,0))="","Not set",INDEX('Chain Program'!$M$6:$M$120,MATCH($C376,'Chain Program'!$A$6:$A$120,0))),"Not set"))))</f>
        <v/>
      </c>
      <c r="I376" s="61" t="n"/>
      <c r="J376" s="45">
        <f>IF($I376="","",IF(NOT(ISNUMBER($H376)),"No plan price",IF(ABS($I376-$H376)&lt;0.005,"Match",IF($I376&gt;$H376,"Over plan","Under plan"))))</f>
        <v/>
      </c>
      <c r="K376" s="60" t="n"/>
      <c r="L376" s="60" t="n"/>
      <c r="M376" s="60" t="n"/>
      <c r="N376" s="60" t="n"/>
      <c r="O376" s="60" t="n"/>
      <c r="P376" s="62" t="n"/>
      <c r="Q376" s="62" t="n"/>
      <c r="R376" s="60" t="n"/>
      <c r="S376" s="59" t="n"/>
      <c r="T376" s="60" t="n"/>
      <c r="U376" s="59" t="n"/>
      <c r="V376" s="45">
        <f>IF(OR($A376="",$T376="",$T376="No Issue"),"",IF($T376="Resolved",IF($U376="","",$U376-$A376),TODAY()-$A376))</f>
        <v/>
      </c>
      <c r="W376" s="47">
        <f>IF(AND($C376&lt;&gt;"",$C376='Store History'!$C$4,OR('Store History'!$C$5="",$F376='Store History'!$C$5)),1,0)</f>
        <v/>
      </c>
      <c r="X376" s="47">
        <f>IF($W376=1,SUM($W376:$W$1005),"")</f>
        <v/>
      </c>
    </row>
    <row r="377">
      <c r="A377" s="59" t="n"/>
      <c r="B377" s="60" t="n"/>
      <c r="C377" s="60" t="n"/>
      <c r="D377" s="45">
        <f>IF($C377="","",IFERROR(INDEX('Chain Program'!$B$6:$B$120,MATCH($C377,'Chain Program'!$A$6:$A$120,0)),"Unknown ID"))</f>
        <v/>
      </c>
      <c r="E377" s="45">
        <f>IF($C377="","",IFERROR(INDEX('Chain Program'!$D$6:$D$120,MATCH($C377,'Chain Program'!$A$6:$A$120,0)),"Unknown ID"))</f>
        <v/>
      </c>
      <c r="F377" s="60" t="n"/>
      <c r="G377" s="60" t="n"/>
      <c r="H377" s="56">
        <f>IF(OR($C377="",$A377=""),"",IF(COUNTIFS('Promo Calendar'!$A$6:$A$400,$C377,'Promo Calendar'!$D$6:$D$400,IF($G377="","All",$G377),'Promo Calendar'!$I$6:$I$400,"&lt;="&amp;$A377,'Promo Calendar'!$J$6:$J$400,"&gt;="&amp;$A377,'Promo Calendar'!$G$6:$G$400,"&gt;0")&gt;0,_xlfn.MINIFS('Promo Calendar'!$G$6:$G$400,'Promo Calendar'!$A$6:$A$400,$C377,'Promo Calendar'!$D$6:$D$400,IF($G377="","All",$G377),'Promo Calendar'!$I$6:$I$400,"&lt;="&amp;$A377,'Promo Calendar'!$J$6:$J$400,"&gt;="&amp;$A377,'Promo Calendar'!$G$6:$G$400,"&gt;0"),IF(COUNTIFS('Promo Calendar'!$A$6:$A$400,$C377,'Promo Calendar'!$D$6:$D$400,"All",'Promo Calendar'!$I$6:$I$400,"&lt;="&amp;$A377,'Promo Calendar'!$J$6:$J$400,"&gt;="&amp;$A377,'Promo Calendar'!$G$6:$G$400,"&gt;0")&gt;0,_xlfn.MINIFS('Promo Calendar'!$G$6:$G$400,'Promo Calendar'!$A$6:$A$400,$C377,'Promo Calendar'!$D$6:$D$400,"All",'Promo Calendar'!$I$6:$I$400,"&lt;="&amp;$A377,'Promo Calendar'!$J$6:$J$400,"&gt;="&amp;$A377,'Promo Calendar'!$G$6:$G$400,"&gt;0"),IFERROR(IF(INDEX('Chain Program'!$M$6:$M$120,MATCH($C377,'Chain Program'!$A$6:$A$120,0))="","Not set",INDEX('Chain Program'!$M$6:$M$120,MATCH($C377,'Chain Program'!$A$6:$A$120,0))),"Not set"))))</f>
        <v/>
      </c>
      <c r="I377" s="61" t="n"/>
      <c r="J377" s="45">
        <f>IF($I377="","",IF(NOT(ISNUMBER($H377)),"No plan price",IF(ABS($I377-$H377)&lt;0.005,"Match",IF($I377&gt;$H377,"Over plan","Under plan"))))</f>
        <v/>
      </c>
      <c r="K377" s="60" t="n"/>
      <c r="L377" s="60" t="n"/>
      <c r="M377" s="60" t="n"/>
      <c r="N377" s="60" t="n"/>
      <c r="O377" s="60" t="n"/>
      <c r="P377" s="62" t="n"/>
      <c r="Q377" s="62" t="n"/>
      <c r="R377" s="60" t="n"/>
      <c r="S377" s="59" t="n"/>
      <c r="T377" s="60" t="n"/>
      <c r="U377" s="59" t="n"/>
      <c r="V377" s="45">
        <f>IF(OR($A377="",$T377="",$T377="No Issue"),"",IF($T377="Resolved",IF($U377="","",$U377-$A377),TODAY()-$A377))</f>
        <v/>
      </c>
      <c r="W377" s="47">
        <f>IF(AND($C377&lt;&gt;"",$C377='Store History'!$C$4,OR('Store History'!$C$5="",$F377='Store History'!$C$5)),1,0)</f>
        <v/>
      </c>
      <c r="X377" s="47">
        <f>IF($W377=1,SUM($W377:$W$1005),"")</f>
        <v/>
      </c>
    </row>
    <row r="378">
      <c r="A378" s="59" t="n"/>
      <c r="B378" s="60" t="n"/>
      <c r="C378" s="60" t="n"/>
      <c r="D378" s="45">
        <f>IF($C378="","",IFERROR(INDEX('Chain Program'!$B$6:$B$120,MATCH($C378,'Chain Program'!$A$6:$A$120,0)),"Unknown ID"))</f>
        <v/>
      </c>
      <c r="E378" s="45">
        <f>IF($C378="","",IFERROR(INDEX('Chain Program'!$D$6:$D$120,MATCH($C378,'Chain Program'!$A$6:$A$120,0)),"Unknown ID"))</f>
        <v/>
      </c>
      <c r="F378" s="60" t="n"/>
      <c r="G378" s="60" t="n"/>
      <c r="H378" s="56">
        <f>IF(OR($C378="",$A378=""),"",IF(COUNTIFS('Promo Calendar'!$A$6:$A$400,$C378,'Promo Calendar'!$D$6:$D$400,IF($G378="","All",$G378),'Promo Calendar'!$I$6:$I$400,"&lt;="&amp;$A378,'Promo Calendar'!$J$6:$J$400,"&gt;="&amp;$A378,'Promo Calendar'!$G$6:$G$400,"&gt;0")&gt;0,_xlfn.MINIFS('Promo Calendar'!$G$6:$G$400,'Promo Calendar'!$A$6:$A$400,$C378,'Promo Calendar'!$D$6:$D$400,IF($G378="","All",$G378),'Promo Calendar'!$I$6:$I$400,"&lt;="&amp;$A378,'Promo Calendar'!$J$6:$J$400,"&gt;="&amp;$A378,'Promo Calendar'!$G$6:$G$400,"&gt;0"),IF(COUNTIFS('Promo Calendar'!$A$6:$A$400,$C378,'Promo Calendar'!$D$6:$D$400,"All",'Promo Calendar'!$I$6:$I$400,"&lt;="&amp;$A378,'Promo Calendar'!$J$6:$J$400,"&gt;="&amp;$A378,'Promo Calendar'!$G$6:$G$400,"&gt;0")&gt;0,_xlfn.MINIFS('Promo Calendar'!$G$6:$G$400,'Promo Calendar'!$A$6:$A$400,$C378,'Promo Calendar'!$D$6:$D$400,"All",'Promo Calendar'!$I$6:$I$400,"&lt;="&amp;$A378,'Promo Calendar'!$J$6:$J$400,"&gt;="&amp;$A378,'Promo Calendar'!$G$6:$G$400,"&gt;0"),IFERROR(IF(INDEX('Chain Program'!$M$6:$M$120,MATCH($C378,'Chain Program'!$A$6:$A$120,0))="","Not set",INDEX('Chain Program'!$M$6:$M$120,MATCH($C378,'Chain Program'!$A$6:$A$120,0))),"Not set"))))</f>
        <v/>
      </c>
      <c r="I378" s="61" t="n"/>
      <c r="J378" s="45">
        <f>IF($I378="","",IF(NOT(ISNUMBER($H378)),"No plan price",IF(ABS($I378-$H378)&lt;0.005,"Match",IF($I378&gt;$H378,"Over plan","Under plan"))))</f>
        <v/>
      </c>
      <c r="K378" s="60" t="n"/>
      <c r="L378" s="60" t="n"/>
      <c r="M378" s="60" t="n"/>
      <c r="N378" s="60" t="n"/>
      <c r="O378" s="60" t="n"/>
      <c r="P378" s="62" t="n"/>
      <c r="Q378" s="62" t="n"/>
      <c r="R378" s="60" t="n"/>
      <c r="S378" s="59" t="n"/>
      <c r="T378" s="60" t="n"/>
      <c r="U378" s="59" t="n"/>
      <c r="V378" s="45">
        <f>IF(OR($A378="",$T378="",$T378="No Issue"),"",IF($T378="Resolved",IF($U378="","",$U378-$A378),TODAY()-$A378))</f>
        <v/>
      </c>
      <c r="W378" s="47">
        <f>IF(AND($C378&lt;&gt;"",$C378='Store History'!$C$4,OR('Store History'!$C$5="",$F378='Store History'!$C$5)),1,0)</f>
        <v/>
      </c>
      <c r="X378" s="47">
        <f>IF($W378=1,SUM($W378:$W$1005),"")</f>
        <v/>
      </c>
    </row>
    <row r="379">
      <c r="A379" s="59" t="n"/>
      <c r="B379" s="60" t="n"/>
      <c r="C379" s="60" t="n"/>
      <c r="D379" s="45">
        <f>IF($C379="","",IFERROR(INDEX('Chain Program'!$B$6:$B$120,MATCH($C379,'Chain Program'!$A$6:$A$120,0)),"Unknown ID"))</f>
        <v/>
      </c>
      <c r="E379" s="45">
        <f>IF($C379="","",IFERROR(INDEX('Chain Program'!$D$6:$D$120,MATCH($C379,'Chain Program'!$A$6:$A$120,0)),"Unknown ID"))</f>
        <v/>
      </c>
      <c r="F379" s="60" t="n"/>
      <c r="G379" s="60" t="n"/>
      <c r="H379" s="56">
        <f>IF(OR($C379="",$A379=""),"",IF(COUNTIFS('Promo Calendar'!$A$6:$A$400,$C379,'Promo Calendar'!$D$6:$D$400,IF($G379="","All",$G379),'Promo Calendar'!$I$6:$I$400,"&lt;="&amp;$A379,'Promo Calendar'!$J$6:$J$400,"&gt;="&amp;$A379,'Promo Calendar'!$G$6:$G$400,"&gt;0")&gt;0,_xlfn.MINIFS('Promo Calendar'!$G$6:$G$400,'Promo Calendar'!$A$6:$A$400,$C379,'Promo Calendar'!$D$6:$D$400,IF($G379="","All",$G379),'Promo Calendar'!$I$6:$I$400,"&lt;="&amp;$A379,'Promo Calendar'!$J$6:$J$400,"&gt;="&amp;$A379,'Promo Calendar'!$G$6:$G$400,"&gt;0"),IF(COUNTIFS('Promo Calendar'!$A$6:$A$400,$C379,'Promo Calendar'!$D$6:$D$400,"All",'Promo Calendar'!$I$6:$I$400,"&lt;="&amp;$A379,'Promo Calendar'!$J$6:$J$400,"&gt;="&amp;$A379,'Promo Calendar'!$G$6:$G$400,"&gt;0")&gt;0,_xlfn.MINIFS('Promo Calendar'!$G$6:$G$400,'Promo Calendar'!$A$6:$A$400,$C379,'Promo Calendar'!$D$6:$D$400,"All",'Promo Calendar'!$I$6:$I$400,"&lt;="&amp;$A379,'Promo Calendar'!$J$6:$J$400,"&gt;="&amp;$A379,'Promo Calendar'!$G$6:$G$400,"&gt;0"),IFERROR(IF(INDEX('Chain Program'!$M$6:$M$120,MATCH($C379,'Chain Program'!$A$6:$A$120,0))="","Not set",INDEX('Chain Program'!$M$6:$M$120,MATCH($C379,'Chain Program'!$A$6:$A$120,0))),"Not set"))))</f>
        <v/>
      </c>
      <c r="I379" s="61" t="n"/>
      <c r="J379" s="45">
        <f>IF($I379="","",IF(NOT(ISNUMBER($H379)),"No plan price",IF(ABS($I379-$H379)&lt;0.005,"Match",IF($I379&gt;$H379,"Over plan","Under plan"))))</f>
        <v/>
      </c>
      <c r="K379" s="60" t="n"/>
      <c r="L379" s="60" t="n"/>
      <c r="M379" s="60" t="n"/>
      <c r="N379" s="60" t="n"/>
      <c r="O379" s="60" t="n"/>
      <c r="P379" s="62" t="n"/>
      <c r="Q379" s="62" t="n"/>
      <c r="R379" s="60" t="n"/>
      <c r="S379" s="59" t="n"/>
      <c r="T379" s="60" t="n"/>
      <c r="U379" s="59" t="n"/>
      <c r="V379" s="45">
        <f>IF(OR($A379="",$T379="",$T379="No Issue"),"",IF($T379="Resolved",IF($U379="","",$U379-$A379),TODAY()-$A379))</f>
        <v/>
      </c>
      <c r="W379" s="47">
        <f>IF(AND($C379&lt;&gt;"",$C379='Store History'!$C$4,OR('Store History'!$C$5="",$F379='Store History'!$C$5)),1,0)</f>
        <v/>
      </c>
      <c r="X379" s="47">
        <f>IF($W379=1,SUM($W379:$W$1005),"")</f>
        <v/>
      </c>
    </row>
    <row r="380">
      <c r="A380" s="59" t="n"/>
      <c r="B380" s="60" t="n"/>
      <c r="C380" s="60" t="n"/>
      <c r="D380" s="45">
        <f>IF($C380="","",IFERROR(INDEX('Chain Program'!$B$6:$B$120,MATCH($C380,'Chain Program'!$A$6:$A$120,0)),"Unknown ID"))</f>
        <v/>
      </c>
      <c r="E380" s="45">
        <f>IF($C380="","",IFERROR(INDEX('Chain Program'!$D$6:$D$120,MATCH($C380,'Chain Program'!$A$6:$A$120,0)),"Unknown ID"))</f>
        <v/>
      </c>
      <c r="F380" s="60" t="n"/>
      <c r="G380" s="60" t="n"/>
      <c r="H380" s="56">
        <f>IF(OR($C380="",$A380=""),"",IF(COUNTIFS('Promo Calendar'!$A$6:$A$400,$C380,'Promo Calendar'!$D$6:$D$400,IF($G380="","All",$G380),'Promo Calendar'!$I$6:$I$400,"&lt;="&amp;$A380,'Promo Calendar'!$J$6:$J$400,"&gt;="&amp;$A380,'Promo Calendar'!$G$6:$G$400,"&gt;0")&gt;0,_xlfn.MINIFS('Promo Calendar'!$G$6:$G$400,'Promo Calendar'!$A$6:$A$400,$C380,'Promo Calendar'!$D$6:$D$400,IF($G380="","All",$G380),'Promo Calendar'!$I$6:$I$400,"&lt;="&amp;$A380,'Promo Calendar'!$J$6:$J$400,"&gt;="&amp;$A380,'Promo Calendar'!$G$6:$G$400,"&gt;0"),IF(COUNTIFS('Promo Calendar'!$A$6:$A$400,$C380,'Promo Calendar'!$D$6:$D$400,"All",'Promo Calendar'!$I$6:$I$400,"&lt;="&amp;$A380,'Promo Calendar'!$J$6:$J$400,"&gt;="&amp;$A380,'Promo Calendar'!$G$6:$G$400,"&gt;0")&gt;0,_xlfn.MINIFS('Promo Calendar'!$G$6:$G$400,'Promo Calendar'!$A$6:$A$400,$C380,'Promo Calendar'!$D$6:$D$400,"All",'Promo Calendar'!$I$6:$I$400,"&lt;="&amp;$A380,'Promo Calendar'!$J$6:$J$400,"&gt;="&amp;$A380,'Promo Calendar'!$G$6:$G$400,"&gt;0"),IFERROR(IF(INDEX('Chain Program'!$M$6:$M$120,MATCH($C380,'Chain Program'!$A$6:$A$120,0))="","Not set",INDEX('Chain Program'!$M$6:$M$120,MATCH($C380,'Chain Program'!$A$6:$A$120,0))),"Not set"))))</f>
        <v/>
      </c>
      <c r="I380" s="61" t="n"/>
      <c r="J380" s="45">
        <f>IF($I380="","",IF(NOT(ISNUMBER($H380)),"No plan price",IF(ABS($I380-$H380)&lt;0.005,"Match",IF($I380&gt;$H380,"Over plan","Under plan"))))</f>
        <v/>
      </c>
      <c r="K380" s="60" t="n"/>
      <c r="L380" s="60" t="n"/>
      <c r="M380" s="60" t="n"/>
      <c r="N380" s="60" t="n"/>
      <c r="O380" s="60" t="n"/>
      <c r="P380" s="62" t="n"/>
      <c r="Q380" s="62" t="n"/>
      <c r="R380" s="60" t="n"/>
      <c r="S380" s="59" t="n"/>
      <c r="T380" s="60" t="n"/>
      <c r="U380" s="59" t="n"/>
      <c r="V380" s="45">
        <f>IF(OR($A380="",$T380="",$T380="No Issue"),"",IF($T380="Resolved",IF($U380="","",$U380-$A380),TODAY()-$A380))</f>
        <v/>
      </c>
      <c r="W380" s="47">
        <f>IF(AND($C380&lt;&gt;"",$C380='Store History'!$C$4,OR('Store History'!$C$5="",$F380='Store History'!$C$5)),1,0)</f>
        <v/>
      </c>
      <c r="X380" s="47">
        <f>IF($W380=1,SUM($W380:$W$1005),"")</f>
        <v/>
      </c>
    </row>
    <row r="381">
      <c r="A381" s="59" t="n"/>
      <c r="B381" s="60" t="n"/>
      <c r="C381" s="60" t="n"/>
      <c r="D381" s="45">
        <f>IF($C381="","",IFERROR(INDEX('Chain Program'!$B$6:$B$120,MATCH($C381,'Chain Program'!$A$6:$A$120,0)),"Unknown ID"))</f>
        <v/>
      </c>
      <c r="E381" s="45">
        <f>IF($C381="","",IFERROR(INDEX('Chain Program'!$D$6:$D$120,MATCH($C381,'Chain Program'!$A$6:$A$120,0)),"Unknown ID"))</f>
        <v/>
      </c>
      <c r="F381" s="60" t="n"/>
      <c r="G381" s="60" t="n"/>
      <c r="H381" s="56">
        <f>IF(OR($C381="",$A381=""),"",IF(COUNTIFS('Promo Calendar'!$A$6:$A$400,$C381,'Promo Calendar'!$D$6:$D$400,IF($G381="","All",$G381),'Promo Calendar'!$I$6:$I$400,"&lt;="&amp;$A381,'Promo Calendar'!$J$6:$J$400,"&gt;="&amp;$A381,'Promo Calendar'!$G$6:$G$400,"&gt;0")&gt;0,_xlfn.MINIFS('Promo Calendar'!$G$6:$G$400,'Promo Calendar'!$A$6:$A$400,$C381,'Promo Calendar'!$D$6:$D$400,IF($G381="","All",$G381),'Promo Calendar'!$I$6:$I$400,"&lt;="&amp;$A381,'Promo Calendar'!$J$6:$J$400,"&gt;="&amp;$A381,'Promo Calendar'!$G$6:$G$400,"&gt;0"),IF(COUNTIFS('Promo Calendar'!$A$6:$A$400,$C381,'Promo Calendar'!$D$6:$D$400,"All",'Promo Calendar'!$I$6:$I$400,"&lt;="&amp;$A381,'Promo Calendar'!$J$6:$J$400,"&gt;="&amp;$A381,'Promo Calendar'!$G$6:$G$400,"&gt;0")&gt;0,_xlfn.MINIFS('Promo Calendar'!$G$6:$G$400,'Promo Calendar'!$A$6:$A$400,$C381,'Promo Calendar'!$D$6:$D$400,"All",'Promo Calendar'!$I$6:$I$400,"&lt;="&amp;$A381,'Promo Calendar'!$J$6:$J$400,"&gt;="&amp;$A381,'Promo Calendar'!$G$6:$G$400,"&gt;0"),IFERROR(IF(INDEX('Chain Program'!$M$6:$M$120,MATCH($C381,'Chain Program'!$A$6:$A$120,0))="","Not set",INDEX('Chain Program'!$M$6:$M$120,MATCH($C381,'Chain Program'!$A$6:$A$120,0))),"Not set"))))</f>
        <v/>
      </c>
      <c r="I381" s="61" t="n"/>
      <c r="J381" s="45">
        <f>IF($I381="","",IF(NOT(ISNUMBER($H381)),"No plan price",IF(ABS($I381-$H381)&lt;0.005,"Match",IF($I381&gt;$H381,"Over plan","Under plan"))))</f>
        <v/>
      </c>
      <c r="K381" s="60" t="n"/>
      <c r="L381" s="60" t="n"/>
      <c r="M381" s="60" t="n"/>
      <c r="N381" s="60" t="n"/>
      <c r="O381" s="60" t="n"/>
      <c r="P381" s="62" t="n"/>
      <c r="Q381" s="62" t="n"/>
      <c r="R381" s="60" t="n"/>
      <c r="S381" s="59" t="n"/>
      <c r="T381" s="60" t="n"/>
      <c r="U381" s="59" t="n"/>
      <c r="V381" s="45">
        <f>IF(OR($A381="",$T381="",$T381="No Issue"),"",IF($T381="Resolved",IF($U381="","",$U381-$A381),TODAY()-$A381))</f>
        <v/>
      </c>
      <c r="W381" s="47">
        <f>IF(AND($C381&lt;&gt;"",$C381='Store History'!$C$4,OR('Store History'!$C$5="",$F381='Store History'!$C$5)),1,0)</f>
        <v/>
      </c>
      <c r="X381" s="47">
        <f>IF($W381=1,SUM($W381:$W$1005),"")</f>
        <v/>
      </c>
    </row>
    <row r="382">
      <c r="A382" s="59" t="n"/>
      <c r="B382" s="60" t="n"/>
      <c r="C382" s="60" t="n"/>
      <c r="D382" s="45">
        <f>IF($C382="","",IFERROR(INDEX('Chain Program'!$B$6:$B$120,MATCH($C382,'Chain Program'!$A$6:$A$120,0)),"Unknown ID"))</f>
        <v/>
      </c>
      <c r="E382" s="45">
        <f>IF($C382="","",IFERROR(INDEX('Chain Program'!$D$6:$D$120,MATCH($C382,'Chain Program'!$A$6:$A$120,0)),"Unknown ID"))</f>
        <v/>
      </c>
      <c r="F382" s="60" t="n"/>
      <c r="G382" s="60" t="n"/>
      <c r="H382" s="56">
        <f>IF(OR($C382="",$A382=""),"",IF(COUNTIFS('Promo Calendar'!$A$6:$A$400,$C382,'Promo Calendar'!$D$6:$D$400,IF($G382="","All",$G382),'Promo Calendar'!$I$6:$I$400,"&lt;="&amp;$A382,'Promo Calendar'!$J$6:$J$400,"&gt;="&amp;$A382,'Promo Calendar'!$G$6:$G$400,"&gt;0")&gt;0,_xlfn.MINIFS('Promo Calendar'!$G$6:$G$400,'Promo Calendar'!$A$6:$A$400,$C382,'Promo Calendar'!$D$6:$D$400,IF($G382="","All",$G382),'Promo Calendar'!$I$6:$I$400,"&lt;="&amp;$A382,'Promo Calendar'!$J$6:$J$400,"&gt;="&amp;$A382,'Promo Calendar'!$G$6:$G$400,"&gt;0"),IF(COUNTIFS('Promo Calendar'!$A$6:$A$400,$C382,'Promo Calendar'!$D$6:$D$400,"All",'Promo Calendar'!$I$6:$I$400,"&lt;="&amp;$A382,'Promo Calendar'!$J$6:$J$400,"&gt;="&amp;$A382,'Promo Calendar'!$G$6:$G$400,"&gt;0")&gt;0,_xlfn.MINIFS('Promo Calendar'!$G$6:$G$400,'Promo Calendar'!$A$6:$A$400,$C382,'Promo Calendar'!$D$6:$D$400,"All",'Promo Calendar'!$I$6:$I$400,"&lt;="&amp;$A382,'Promo Calendar'!$J$6:$J$400,"&gt;="&amp;$A382,'Promo Calendar'!$G$6:$G$400,"&gt;0"),IFERROR(IF(INDEX('Chain Program'!$M$6:$M$120,MATCH($C382,'Chain Program'!$A$6:$A$120,0))="","Not set",INDEX('Chain Program'!$M$6:$M$120,MATCH($C382,'Chain Program'!$A$6:$A$120,0))),"Not set"))))</f>
        <v/>
      </c>
      <c r="I382" s="61" t="n"/>
      <c r="J382" s="45">
        <f>IF($I382="","",IF(NOT(ISNUMBER($H382)),"No plan price",IF(ABS($I382-$H382)&lt;0.005,"Match",IF($I382&gt;$H382,"Over plan","Under plan"))))</f>
        <v/>
      </c>
      <c r="K382" s="60" t="n"/>
      <c r="L382" s="60" t="n"/>
      <c r="M382" s="60" t="n"/>
      <c r="N382" s="60" t="n"/>
      <c r="O382" s="60" t="n"/>
      <c r="P382" s="62" t="n"/>
      <c r="Q382" s="62" t="n"/>
      <c r="R382" s="60" t="n"/>
      <c r="S382" s="59" t="n"/>
      <c r="T382" s="60" t="n"/>
      <c r="U382" s="59" t="n"/>
      <c r="V382" s="45">
        <f>IF(OR($A382="",$T382="",$T382="No Issue"),"",IF($T382="Resolved",IF($U382="","",$U382-$A382),TODAY()-$A382))</f>
        <v/>
      </c>
      <c r="W382" s="47">
        <f>IF(AND($C382&lt;&gt;"",$C382='Store History'!$C$4,OR('Store History'!$C$5="",$F382='Store History'!$C$5)),1,0)</f>
        <v/>
      </c>
      <c r="X382" s="47">
        <f>IF($W382=1,SUM($W382:$W$1005),"")</f>
        <v/>
      </c>
    </row>
    <row r="383">
      <c r="A383" s="59" t="n"/>
      <c r="B383" s="60" t="n"/>
      <c r="C383" s="60" t="n"/>
      <c r="D383" s="45">
        <f>IF($C383="","",IFERROR(INDEX('Chain Program'!$B$6:$B$120,MATCH($C383,'Chain Program'!$A$6:$A$120,0)),"Unknown ID"))</f>
        <v/>
      </c>
      <c r="E383" s="45">
        <f>IF($C383="","",IFERROR(INDEX('Chain Program'!$D$6:$D$120,MATCH($C383,'Chain Program'!$A$6:$A$120,0)),"Unknown ID"))</f>
        <v/>
      </c>
      <c r="F383" s="60" t="n"/>
      <c r="G383" s="60" t="n"/>
      <c r="H383" s="56">
        <f>IF(OR($C383="",$A383=""),"",IF(COUNTIFS('Promo Calendar'!$A$6:$A$400,$C383,'Promo Calendar'!$D$6:$D$400,IF($G383="","All",$G383),'Promo Calendar'!$I$6:$I$400,"&lt;="&amp;$A383,'Promo Calendar'!$J$6:$J$400,"&gt;="&amp;$A383,'Promo Calendar'!$G$6:$G$400,"&gt;0")&gt;0,_xlfn.MINIFS('Promo Calendar'!$G$6:$G$400,'Promo Calendar'!$A$6:$A$400,$C383,'Promo Calendar'!$D$6:$D$400,IF($G383="","All",$G383),'Promo Calendar'!$I$6:$I$400,"&lt;="&amp;$A383,'Promo Calendar'!$J$6:$J$400,"&gt;="&amp;$A383,'Promo Calendar'!$G$6:$G$400,"&gt;0"),IF(COUNTIFS('Promo Calendar'!$A$6:$A$400,$C383,'Promo Calendar'!$D$6:$D$400,"All",'Promo Calendar'!$I$6:$I$400,"&lt;="&amp;$A383,'Promo Calendar'!$J$6:$J$400,"&gt;="&amp;$A383,'Promo Calendar'!$G$6:$G$400,"&gt;0")&gt;0,_xlfn.MINIFS('Promo Calendar'!$G$6:$G$400,'Promo Calendar'!$A$6:$A$400,$C383,'Promo Calendar'!$D$6:$D$400,"All",'Promo Calendar'!$I$6:$I$400,"&lt;="&amp;$A383,'Promo Calendar'!$J$6:$J$400,"&gt;="&amp;$A383,'Promo Calendar'!$G$6:$G$400,"&gt;0"),IFERROR(IF(INDEX('Chain Program'!$M$6:$M$120,MATCH($C383,'Chain Program'!$A$6:$A$120,0))="","Not set",INDEX('Chain Program'!$M$6:$M$120,MATCH($C383,'Chain Program'!$A$6:$A$120,0))),"Not set"))))</f>
        <v/>
      </c>
      <c r="I383" s="61" t="n"/>
      <c r="J383" s="45">
        <f>IF($I383="","",IF(NOT(ISNUMBER($H383)),"No plan price",IF(ABS($I383-$H383)&lt;0.005,"Match",IF($I383&gt;$H383,"Over plan","Under plan"))))</f>
        <v/>
      </c>
      <c r="K383" s="60" t="n"/>
      <c r="L383" s="60" t="n"/>
      <c r="M383" s="60" t="n"/>
      <c r="N383" s="60" t="n"/>
      <c r="O383" s="60" t="n"/>
      <c r="P383" s="62" t="n"/>
      <c r="Q383" s="62" t="n"/>
      <c r="R383" s="60" t="n"/>
      <c r="S383" s="59" t="n"/>
      <c r="T383" s="60" t="n"/>
      <c r="U383" s="59" t="n"/>
      <c r="V383" s="45">
        <f>IF(OR($A383="",$T383="",$T383="No Issue"),"",IF($T383="Resolved",IF($U383="","",$U383-$A383),TODAY()-$A383))</f>
        <v/>
      </c>
      <c r="W383" s="47">
        <f>IF(AND($C383&lt;&gt;"",$C383='Store History'!$C$4,OR('Store History'!$C$5="",$F383='Store History'!$C$5)),1,0)</f>
        <v/>
      </c>
      <c r="X383" s="47">
        <f>IF($W383=1,SUM($W383:$W$1005),"")</f>
        <v/>
      </c>
    </row>
    <row r="384">
      <c r="A384" s="59" t="n"/>
      <c r="B384" s="60" t="n"/>
      <c r="C384" s="60" t="n"/>
      <c r="D384" s="45">
        <f>IF($C384="","",IFERROR(INDEX('Chain Program'!$B$6:$B$120,MATCH($C384,'Chain Program'!$A$6:$A$120,0)),"Unknown ID"))</f>
        <v/>
      </c>
      <c r="E384" s="45">
        <f>IF($C384="","",IFERROR(INDEX('Chain Program'!$D$6:$D$120,MATCH($C384,'Chain Program'!$A$6:$A$120,0)),"Unknown ID"))</f>
        <v/>
      </c>
      <c r="F384" s="60" t="n"/>
      <c r="G384" s="60" t="n"/>
      <c r="H384" s="56">
        <f>IF(OR($C384="",$A384=""),"",IF(COUNTIFS('Promo Calendar'!$A$6:$A$400,$C384,'Promo Calendar'!$D$6:$D$400,IF($G384="","All",$G384),'Promo Calendar'!$I$6:$I$400,"&lt;="&amp;$A384,'Promo Calendar'!$J$6:$J$400,"&gt;="&amp;$A384,'Promo Calendar'!$G$6:$G$400,"&gt;0")&gt;0,_xlfn.MINIFS('Promo Calendar'!$G$6:$G$400,'Promo Calendar'!$A$6:$A$400,$C384,'Promo Calendar'!$D$6:$D$400,IF($G384="","All",$G384),'Promo Calendar'!$I$6:$I$400,"&lt;="&amp;$A384,'Promo Calendar'!$J$6:$J$400,"&gt;="&amp;$A384,'Promo Calendar'!$G$6:$G$400,"&gt;0"),IF(COUNTIFS('Promo Calendar'!$A$6:$A$400,$C384,'Promo Calendar'!$D$6:$D$400,"All",'Promo Calendar'!$I$6:$I$400,"&lt;="&amp;$A384,'Promo Calendar'!$J$6:$J$400,"&gt;="&amp;$A384,'Promo Calendar'!$G$6:$G$400,"&gt;0")&gt;0,_xlfn.MINIFS('Promo Calendar'!$G$6:$G$400,'Promo Calendar'!$A$6:$A$400,$C384,'Promo Calendar'!$D$6:$D$400,"All",'Promo Calendar'!$I$6:$I$400,"&lt;="&amp;$A384,'Promo Calendar'!$J$6:$J$400,"&gt;="&amp;$A384,'Promo Calendar'!$G$6:$G$400,"&gt;0"),IFERROR(IF(INDEX('Chain Program'!$M$6:$M$120,MATCH($C384,'Chain Program'!$A$6:$A$120,0))="","Not set",INDEX('Chain Program'!$M$6:$M$120,MATCH($C384,'Chain Program'!$A$6:$A$120,0))),"Not set"))))</f>
        <v/>
      </c>
      <c r="I384" s="61" t="n"/>
      <c r="J384" s="45">
        <f>IF($I384="","",IF(NOT(ISNUMBER($H384)),"No plan price",IF(ABS($I384-$H384)&lt;0.005,"Match",IF($I384&gt;$H384,"Over plan","Under plan"))))</f>
        <v/>
      </c>
      <c r="K384" s="60" t="n"/>
      <c r="L384" s="60" t="n"/>
      <c r="M384" s="60" t="n"/>
      <c r="N384" s="60" t="n"/>
      <c r="O384" s="60" t="n"/>
      <c r="P384" s="62" t="n"/>
      <c r="Q384" s="62" t="n"/>
      <c r="R384" s="60" t="n"/>
      <c r="S384" s="59" t="n"/>
      <c r="T384" s="60" t="n"/>
      <c r="U384" s="59" t="n"/>
      <c r="V384" s="45">
        <f>IF(OR($A384="",$T384="",$T384="No Issue"),"",IF($T384="Resolved",IF($U384="","",$U384-$A384),TODAY()-$A384))</f>
        <v/>
      </c>
      <c r="W384" s="47">
        <f>IF(AND($C384&lt;&gt;"",$C384='Store History'!$C$4,OR('Store History'!$C$5="",$F384='Store History'!$C$5)),1,0)</f>
        <v/>
      </c>
      <c r="X384" s="47">
        <f>IF($W384=1,SUM($W384:$W$1005),"")</f>
        <v/>
      </c>
    </row>
    <row r="385">
      <c r="A385" s="59" t="n"/>
      <c r="B385" s="60" t="n"/>
      <c r="C385" s="60" t="n"/>
      <c r="D385" s="45">
        <f>IF($C385="","",IFERROR(INDEX('Chain Program'!$B$6:$B$120,MATCH($C385,'Chain Program'!$A$6:$A$120,0)),"Unknown ID"))</f>
        <v/>
      </c>
      <c r="E385" s="45">
        <f>IF($C385="","",IFERROR(INDEX('Chain Program'!$D$6:$D$120,MATCH($C385,'Chain Program'!$A$6:$A$120,0)),"Unknown ID"))</f>
        <v/>
      </c>
      <c r="F385" s="60" t="n"/>
      <c r="G385" s="60" t="n"/>
      <c r="H385" s="56">
        <f>IF(OR($C385="",$A385=""),"",IF(COUNTIFS('Promo Calendar'!$A$6:$A$400,$C385,'Promo Calendar'!$D$6:$D$400,IF($G385="","All",$G385),'Promo Calendar'!$I$6:$I$400,"&lt;="&amp;$A385,'Promo Calendar'!$J$6:$J$400,"&gt;="&amp;$A385,'Promo Calendar'!$G$6:$G$400,"&gt;0")&gt;0,_xlfn.MINIFS('Promo Calendar'!$G$6:$G$400,'Promo Calendar'!$A$6:$A$400,$C385,'Promo Calendar'!$D$6:$D$400,IF($G385="","All",$G385),'Promo Calendar'!$I$6:$I$400,"&lt;="&amp;$A385,'Promo Calendar'!$J$6:$J$400,"&gt;="&amp;$A385,'Promo Calendar'!$G$6:$G$400,"&gt;0"),IF(COUNTIFS('Promo Calendar'!$A$6:$A$400,$C385,'Promo Calendar'!$D$6:$D$400,"All",'Promo Calendar'!$I$6:$I$400,"&lt;="&amp;$A385,'Promo Calendar'!$J$6:$J$400,"&gt;="&amp;$A385,'Promo Calendar'!$G$6:$G$400,"&gt;0")&gt;0,_xlfn.MINIFS('Promo Calendar'!$G$6:$G$400,'Promo Calendar'!$A$6:$A$400,$C385,'Promo Calendar'!$D$6:$D$400,"All",'Promo Calendar'!$I$6:$I$400,"&lt;="&amp;$A385,'Promo Calendar'!$J$6:$J$400,"&gt;="&amp;$A385,'Promo Calendar'!$G$6:$G$400,"&gt;0"),IFERROR(IF(INDEX('Chain Program'!$M$6:$M$120,MATCH($C385,'Chain Program'!$A$6:$A$120,0))="","Not set",INDEX('Chain Program'!$M$6:$M$120,MATCH($C385,'Chain Program'!$A$6:$A$120,0))),"Not set"))))</f>
        <v/>
      </c>
      <c r="I385" s="61" t="n"/>
      <c r="J385" s="45">
        <f>IF($I385="","",IF(NOT(ISNUMBER($H385)),"No plan price",IF(ABS($I385-$H385)&lt;0.005,"Match",IF($I385&gt;$H385,"Over plan","Under plan"))))</f>
        <v/>
      </c>
      <c r="K385" s="60" t="n"/>
      <c r="L385" s="60" t="n"/>
      <c r="M385" s="60" t="n"/>
      <c r="N385" s="60" t="n"/>
      <c r="O385" s="60" t="n"/>
      <c r="P385" s="62" t="n"/>
      <c r="Q385" s="62" t="n"/>
      <c r="R385" s="60" t="n"/>
      <c r="S385" s="59" t="n"/>
      <c r="T385" s="60" t="n"/>
      <c r="U385" s="59" t="n"/>
      <c r="V385" s="45">
        <f>IF(OR($A385="",$T385="",$T385="No Issue"),"",IF($T385="Resolved",IF($U385="","",$U385-$A385),TODAY()-$A385))</f>
        <v/>
      </c>
      <c r="W385" s="47">
        <f>IF(AND($C385&lt;&gt;"",$C385='Store History'!$C$4,OR('Store History'!$C$5="",$F385='Store History'!$C$5)),1,0)</f>
        <v/>
      </c>
      <c r="X385" s="47">
        <f>IF($W385=1,SUM($W385:$W$1005),"")</f>
        <v/>
      </c>
    </row>
    <row r="386">
      <c r="A386" s="59" t="n"/>
      <c r="B386" s="60" t="n"/>
      <c r="C386" s="60" t="n"/>
      <c r="D386" s="45">
        <f>IF($C386="","",IFERROR(INDEX('Chain Program'!$B$6:$B$120,MATCH($C386,'Chain Program'!$A$6:$A$120,0)),"Unknown ID"))</f>
        <v/>
      </c>
      <c r="E386" s="45">
        <f>IF($C386="","",IFERROR(INDEX('Chain Program'!$D$6:$D$120,MATCH($C386,'Chain Program'!$A$6:$A$120,0)),"Unknown ID"))</f>
        <v/>
      </c>
      <c r="F386" s="60" t="n"/>
      <c r="G386" s="60" t="n"/>
      <c r="H386" s="56">
        <f>IF(OR($C386="",$A386=""),"",IF(COUNTIFS('Promo Calendar'!$A$6:$A$400,$C386,'Promo Calendar'!$D$6:$D$400,IF($G386="","All",$G386),'Promo Calendar'!$I$6:$I$400,"&lt;="&amp;$A386,'Promo Calendar'!$J$6:$J$400,"&gt;="&amp;$A386,'Promo Calendar'!$G$6:$G$400,"&gt;0")&gt;0,_xlfn.MINIFS('Promo Calendar'!$G$6:$G$400,'Promo Calendar'!$A$6:$A$400,$C386,'Promo Calendar'!$D$6:$D$400,IF($G386="","All",$G386),'Promo Calendar'!$I$6:$I$400,"&lt;="&amp;$A386,'Promo Calendar'!$J$6:$J$400,"&gt;="&amp;$A386,'Promo Calendar'!$G$6:$G$400,"&gt;0"),IF(COUNTIFS('Promo Calendar'!$A$6:$A$400,$C386,'Promo Calendar'!$D$6:$D$400,"All",'Promo Calendar'!$I$6:$I$400,"&lt;="&amp;$A386,'Promo Calendar'!$J$6:$J$400,"&gt;="&amp;$A386,'Promo Calendar'!$G$6:$G$400,"&gt;0")&gt;0,_xlfn.MINIFS('Promo Calendar'!$G$6:$G$400,'Promo Calendar'!$A$6:$A$400,$C386,'Promo Calendar'!$D$6:$D$400,"All",'Promo Calendar'!$I$6:$I$400,"&lt;="&amp;$A386,'Promo Calendar'!$J$6:$J$400,"&gt;="&amp;$A386,'Promo Calendar'!$G$6:$G$400,"&gt;0"),IFERROR(IF(INDEX('Chain Program'!$M$6:$M$120,MATCH($C386,'Chain Program'!$A$6:$A$120,0))="","Not set",INDEX('Chain Program'!$M$6:$M$120,MATCH($C386,'Chain Program'!$A$6:$A$120,0))),"Not set"))))</f>
        <v/>
      </c>
      <c r="I386" s="61" t="n"/>
      <c r="J386" s="45">
        <f>IF($I386="","",IF(NOT(ISNUMBER($H386)),"No plan price",IF(ABS($I386-$H386)&lt;0.005,"Match",IF($I386&gt;$H386,"Over plan","Under plan"))))</f>
        <v/>
      </c>
      <c r="K386" s="60" t="n"/>
      <c r="L386" s="60" t="n"/>
      <c r="M386" s="60" t="n"/>
      <c r="N386" s="60" t="n"/>
      <c r="O386" s="60" t="n"/>
      <c r="P386" s="62" t="n"/>
      <c r="Q386" s="62" t="n"/>
      <c r="R386" s="60" t="n"/>
      <c r="S386" s="59" t="n"/>
      <c r="T386" s="60" t="n"/>
      <c r="U386" s="59" t="n"/>
      <c r="V386" s="45">
        <f>IF(OR($A386="",$T386="",$T386="No Issue"),"",IF($T386="Resolved",IF($U386="","",$U386-$A386),TODAY()-$A386))</f>
        <v/>
      </c>
      <c r="W386" s="47">
        <f>IF(AND($C386&lt;&gt;"",$C386='Store History'!$C$4,OR('Store History'!$C$5="",$F386='Store History'!$C$5)),1,0)</f>
        <v/>
      </c>
      <c r="X386" s="47">
        <f>IF($W386=1,SUM($W386:$W$1005),"")</f>
        <v/>
      </c>
    </row>
    <row r="387">
      <c r="A387" s="59" t="n"/>
      <c r="B387" s="60" t="n"/>
      <c r="C387" s="60" t="n"/>
      <c r="D387" s="45">
        <f>IF($C387="","",IFERROR(INDEX('Chain Program'!$B$6:$B$120,MATCH($C387,'Chain Program'!$A$6:$A$120,0)),"Unknown ID"))</f>
        <v/>
      </c>
      <c r="E387" s="45">
        <f>IF($C387="","",IFERROR(INDEX('Chain Program'!$D$6:$D$120,MATCH($C387,'Chain Program'!$A$6:$A$120,0)),"Unknown ID"))</f>
        <v/>
      </c>
      <c r="F387" s="60" t="n"/>
      <c r="G387" s="60" t="n"/>
      <c r="H387" s="56">
        <f>IF(OR($C387="",$A387=""),"",IF(COUNTIFS('Promo Calendar'!$A$6:$A$400,$C387,'Promo Calendar'!$D$6:$D$400,IF($G387="","All",$G387),'Promo Calendar'!$I$6:$I$400,"&lt;="&amp;$A387,'Promo Calendar'!$J$6:$J$400,"&gt;="&amp;$A387,'Promo Calendar'!$G$6:$G$400,"&gt;0")&gt;0,_xlfn.MINIFS('Promo Calendar'!$G$6:$G$400,'Promo Calendar'!$A$6:$A$400,$C387,'Promo Calendar'!$D$6:$D$400,IF($G387="","All",$G387),'Promo Calendar'!$I$6:$I$400,"&lt;="&amp;$A387,'Promo Calendar'!$J$6:$J$400,"&gt;="&amp;$A387,'Promo Calendar'!$G$6:$G$400,"&gt;0"),IF(COUNTIFS('Promo Calendar'!$A$6:$A$400,$C387,'Promo Calendar'!$D$6:$D$400,"All",'Promo Calendar'!$I$6:$I$400,"&lt;="&amp;$A387,'Promo Calendar'!$J$6:$J$400,"&gt;="&amp;$A387,'Promo Calendar'!$G$6:$G$400,"&gt;0")&gt;0,_xlfn.MINIFS('Promo Calendar'!$G$6:$G$400,'Promo Calendar'!$A$6:$A$400,$C387,'Promo Calendar'!$D$6:$D$400,"All",'Promo Calendar'!$I$6:$I$400,"&lt;="&amp;$A387,'Promo Calendar'!$J$6:$J$400,"&gt;="&amp;$A387,'Promo Calendar'!$G$6:$G$400,"&gt;0"),IFERROR(IF(INDEX('Chain Program'!$M$6:$M$120,MATCH($C387,'Chain Program'!$A$6:$A$120,0))="","Not set",INDEX('Chain Program'!$M$6:$M$120,MATCH($C387,'Chain Program'!$A$6:$A$120,0))),"Not set"))))</f>
        <v/>
      </c>
      <c r="I387" s="61" t="n"/>
      <c r="J387" s="45">
        <f>IF($I387="","",IF(NOT(ISNUMBER($H387)),"No plan price",IF(ABS($I387-$H387)&lt;0.005,"Match",IF($I387&gt;$H387,"Over plan","Under plan"))))</f>
        <v/>
      </c>
      <c r="K387" s="60" t="n"/>
      <c r="L387" s="60" t="n"/>
      <c r="M387" s="60" t="n"/>
      <c r="N387" s="60" t="n"/>
      <c r="O387" s="60" t="n"/>
      <c r="P387" s="62" t="n"/>
      <c r="Q387" s="62" t="n"/>
      <c r="R387" s="60" t="n"/>
      <c r="S387" s="59" t="n"/>
      <c r="T387" s="60" t="n"/>
      <c r="U387" s="59" t="n"/>
      <c r="V387" s="45">
        <f>IF(OR($A387="",$T387="",$T387="No Issue"),"",IF($T387="Resolved",IF($U387="","",$U387-$A387),TODAY()-$A387))</f>
        <v/>
      </c>
      <c r="W387" s="47">
        <f>IF(AND($C387&lt;&gt;"",$C387='Store History'!$C$4,OR('Store History'!$C$5="",$F387='Store History'!$C$5)),1,0)</f>
        <v/>
      </c>
      <c r="X387" s="47">
        <f>IF($W387=1,SUM($W387:$W$1005),"")</f>
        <v/>
      </c>
    </row>
    <row r="388">
      <c r="A388" s="59" t="n"/>
      <c r="B388" s="60" t="n"/>
      <c r="C388" s="60" t="n"/>
      <c r="D388" s="45">
        <f>IF($C388="","",IFERROR(INDEX('Chain Program'!$B$6:$B$120,MATCH($C388,'Chain Program'!$A$6:$A$120,0)),"Unknown ID"))</f>
        <v/>
      </c>
      <c r="E388" s="45">
        <f>IF($C388="","",IFERROR(INDEX('Chain Program'!$D$6:$D$120,MATCH($C388,'Chain Program'!$A$6:$A$120,0)),"Unknown ID"))</f>
        <v/>
      </c>
      <c r="F388" s="60" t="n"/>
      <c r="G388" s="60" t="n"/>
      <c r="H388" s="56">
        <f>IF(OR($C388="",$A388=""),"",IF(COUNTIFS('Promo Calendar'!$A$6:$A$400,$C388,'Promo Calendar'!$D$6:$D$400,IF($G388="","All",$G388),'Promo Calendar'!$I$6:$I$400,"&lt;="&amp;$A388,'Promo Calendar'!$J$6:$J$400,"&gt;="&amp;$A388,'Promo Calendar'!$G$6:$G$400,"&gt;0")&gt;0,_xlfn.MINIFS('Promo Calendar'!$G$6:$G$400,'Promo Calendar'!$A$6:$A$400,$C388,'Promo Calendar'!$D$6:$D$400,IF($G388="","All",$G388),'Promo Calendar'!$I$6:$I$400,"&lt;="&amp;$A388,'Promo Calendar'!$J$6:$J$400,"&gt;="&amp;$A388,'Promo Calendar'!$G$6:$G$400,"&gt;0"),IF(COUNTIFS('Promo Calendar'!$A$6:$A$400,$C388,'Promo Calendar'!$D$6:$D$400,"All",'Promo Calendar'!$I$6:$I$400,"&lt;="&amp;$A388,'Promo Calendar'!$J$6:$J$400,"&gt;="&amp;$A388,'Promo Calendar'!$G$6:$G$400,"&gt;0")&gt;0,_xlfn.MINIFS('Promo Calendar'!$G$6:$G$400,'Promo Calendar'!$A$6:$A$400,$C388,'Promo Calendar'!$D$6:$D$400,"All",'Promo Calendar'!$I$6:$I$400,"&lt;="&amp;$A388,'Promo Calendar'!$J$6:$J$400,"&gt;="&amp;$A388,'Promo Calendar'!$G$6:$G$400,"&gt;0"),IFERROR(IF(INDEX('Chain Program'!$M$6:$M$120,MATCH($C388,'Chain Program'!$A$6:$A$120,0))="","Not set",INDEX('Chain Program'!$M$6:$M$120,MATCH($C388,'Chain Program'!$A$6:$A$120,0))),"Not set"))))</f>
        <v/>
      </c>
      <c r="I388" s="61" t="n"/>
      <c r="J388" s="45">
        <f>IF($I388="","",IF(NOT(ISNUMBER($H388)),"No plan price",IF(ABS($I388-$H388)&lt;0.005,"Match",IF($I388&gt;$H388,"Over plan","Under plan"))))</f>
        <v/>
      </c>
      <c r="K388" s="60" t="n"/>
      <c r="L388" s="60" t="n"/>
      <c r="M388" s="60" t="n"/>
      <c r="N388" s="60" t="n"/>
      <c r="O388" s="60" t="n"/>
      <c r="P388" s="62" t="n"/>
      <c r="Q388" s="62" t="n"/>
      <c r="R388" s="60" t="n"/>
      <c r="S388" s="59" t="n"/>
      <c r="T388" s="60" t="n"/>
      <c r="U388" s="59" t="n"/>
      <c r="V388" s="45">
        <f>IF(OR($A388="",$T388="",$T388="No Issue"),"",IF($T388="Resolved",IF($U388="","",$U388-$A388),TODAY()-$A388))</f>
        <v/>
      </c>
      <c r="W388" s="47">
        <f>IF(AND($C388&lt;&gt;"",$C388='Store History'!$C$4,OR('Store History'!$C$5="",$F388='Store History'!$C$5)),1,0)</f>
        <v/>
      </c>
      <c r="X388" s="47">
        <f>IF($W388=1,SUM($W388:$W$1005),"")</f>
        <v/>
      </c>
    </row>
    <row r="389">
      <c r="A389" s="59" t="n"/>
      <c r="B389" s="60" t="n"/>
      <c r="C389" s="60" t="n"/>
      <c r="D389" s="45">
        <f>IF($C389="","",IFERROR(INDEX('Chain Program'!$B$6:$B$120,MATCH($C389,'Chain Program'!$A$6:$A$120,0)),"Unknown ID"))</f>
        <v/>
      </c>
      <c r="E389" s="45">
        <f>IF($C389="","",IFERROR(INDEX('Chain Program'!$D$6:$D$120,MATCH($C389,'Chain Program'!$A$6:$A$120,0)),"Unknown ID"))</f>
        <v/>
      </c>
      <c r="F389" s="60" t="n"/>
      <c r="G389" s="60" t="n"/>
      <c r="H389" s="56">
        <f>IF(OR($C389="",$A389=""),"",IF(COUNTIFS('Promo Calendar'!$A$6:$A$400,$C389,'Promo Calendar'!$D$6:$D$400,IF($G389="","All",$G389),'Promo Calendar'!$I$6:$I$400,"&lt;="&amp;$A389,'Promo Calendar'!$J$6:$J$400,"&gt;="&amp;$A389,'Promo Calendar'!$G$6:$G$400,"&gt;0")&gt;0,_xlfn.MINIFS('Promo Calendar'!$G$6:$G$400,'Promo Calendar'!$A$6:$A$400,$C389,'Promo Calendar'!$D$6:$D$400,IF($G389="","All",$G389),'Promo Calendar'!$I$6:$I$400,"&lt;="&amp;$A389,'Promo Calendar'!$J$6:$J$400,"&gt;="&amp;$A389,'Promo Calendar'!$G$6:$G$400,"&gt;0"),IF(COUNTIFS('Promo Calendar'!$A$6:$A$400,$C389,'Promo Calendar'!$D$6:$D$400,"All",'Promo Calendar'!$I$6:$I$400,"&lt;="&amp;$A389,'Promo Calendar'!$J$6:$J$400,"&gt;="&amp;$A389,'Promo Calendar'!$G$6:$G$400,"&gt;0")&gt;0,_xlfn.MINIFS('Promo Calendar'!$G$6:$G$400,'Promo Calendar'!$A$6:$A$400,$C389,'Promo Calendar'!$D$6:$D$400,"All",'Promo Calendar'!$I$6:$I$400,"&lt;="&amp;$A389,'Promo Calendar'!$J$6:$J$400,"&gt;="&amp;$A389,'Promo Calendar'!$G$6:$G$400,"&gt;0"),IFERROR(IF(INDEX('Chain Program'!$M$6:$M$120,MATCH($C389,'Chain Program'!$A$6:$A$120,0))="","Not set",INDEX('Chain Program'!$M$6:$M$120,MATCH($C389,'Chain Program'!$A$6:$A$120,0))),"Not set"))))</f>
        <v/>
      </c>
      <c r="I389" s="61" t="n"/>
      <c r="J389" s="45">
        <f>IF($I389="","",IF(NOT(ISNUMBER($H389)),"No plan price",IF(ABS($I389-$H389)&lt;0.005,"Match",IF($I389&gt;$H389,"Over plan","Under plan"))))</f>
        <v/>
      </c>
      <c r="K389" s="60" t="n"/>
      <c r="L389" s="60" t="n"/>
      <c r="M389" s="60" t="n"/>
      <c r="N389" s="60" t="n"/>
      <c r="O389" s="60" t="n"/>
      <c r="P389" s="62" t="n"/>
      <c r="Q389" s="62" t="n"/>
      <c r="R389" s="60" t="n"/>
      <c r="S389" s="59" t="n"/>
      <c r="T389" s="60" t="n"/>
      <c r="U389" s="59" t="n"/>
      <c r="V389" s="45">
        <f>IF(OR($A389="",$T389="",$T389="No Issue"),"",IF($T389="Resolved",IF($U389="","",$U389-$A389),TODAY()-$A389))</f>
        <v/>
      </c>
      <c r="W389" s="47">
        <f>IF(AND($C389&lt;&gt;"",$C389='Store History'!$C$4,OR('Store History'!$C$5="",$F389='Store History'!$C$5)),1,0)</f>
        <v/>
      </c>
      <c r="X389" s="47">
        <f>IF($W389=1,SUM($W389:$W$1005),"")</f>
        <v/>
      </c>
    </row>
    <row r="390">
      <c r="A390" s="59" t="n"/>
      <c r="B390" s="60" t="n"/>
      <c r="C390" s="60" t="n"/>
      <c r="D390" s="45">
        <f>IF($C390="","",IFERROR(INDEX('Chain Program'!$B$6:$B$120,MATCH($C390,'Chain Program'!$A$6:$A$120,0)),"Unknown ID"))</f>
        <v/>
      </c>
      <c r="E390" s="45">
        <f>IF($C390="","",IFERROR(INDEX('Chain Program'!$D$6:$D$120,MATCH($C390,'Chain Program'!$A$6:$A$120,0)),"Unknown ID"))</f>
        <v/>
      </c>
      <c r="F390" s="60" t="n"/>
      <c r="G390" s="60" t="n"/>
      <c r="H390" s="56">
        <f>IF(OR($C390="",$A390=""),"",IF(COUNTIFS('Promo Calendar'!$A$6:$A$400,$C390,'Promo Calendar'!$D$6:$D$400,IF($G390="","All",$G390),'Promo Calendar'!$I$6:$I$400,"&lt;="&amp;$A390,'Promo Calendar'!$J$6:$J$400,"&gt;="&amp;$A390,'Promo Calendar'!$G$6:$G$400,"&gt;0")&gt;0,_xlfn.MINIFS('Promo Calendar'!$G$6:$G$400,'Promo Calendar'!$A$6:$A$400,$C390,'Promo Calendar'!$D$6:$D$400,IF($G390="","All",$G390),'Promo Calendar'!$I$6:$I$400,"&lt;="&amp;$A390,'Promo Calendar'!$J$6:$J$400,"&gt;="&amp;$A390,'Promo Calendar'!$G$6:$G$400,"&gt;0"),IF(COUNTIFS('Promo Calendar'!$A$6:$A$400,$C390,'Promo Calendar'!$D$6:$D$400,"All",'Promo Calendar'!$I$6:$I$400,"&lt;="&amp;$A390,'Promo Calendar'!$J$6:$J$400,"&gt;="&amp;$A390,'Promo Calendar'!$G$6:$G$400,"&gt;0")&gt;0,_xlfn.MINIFS('Promo Calendar'!$G$6:$G$400,'Promo Calendar'!$A$6:$A$400,$C390,'Promo Calendar'!$D$6:$D$400,"All",'Promo Calendar'!$I$6:$I$400,"&lt;="&amp;$A390,'Promo Calendar'!$J$6:$J$400,"&gt;="&amp;$A390,'Promo Calendar'!$G$6:$G$400,"&gt;0"),IFERROR(IF(INDEX('Chain Program'!$M$6:$M$120,MATCH($C390,'Chain Program'!$A$6:$A$120,0))="","Not set",INDEX('Chain Program'!$M$6:$M$120,MATCH($C390,'Chain Program'!$A$6:$A$120,0))),"Not set"))))</f>
        <v/>
      </c>
      <c r="I390" s="61" t="n"/>
      <c r="J390" s="45">
        <f>IF($I390="","",IF(NOT(ISNUMBER($H390)),"No plan price",IF(ABS($I390-$H390)&lt;0.005,"Match",IF($I390&gt;$H390,"Over plan","Under plan"))))</f>
        <v/>
      </c>
      <c r="K390" s="60" t="n"/>
      <c r="L390" s="60" t="n"/>
      <c r="M390" s="60" t="n"/>
      <c r="N390" s="60" t="n"/>
      <c r="O390" s="60" t="n"/>
      <c r="P390" s="62" t="n"/>
      <c r="Q390" s="62" t="n"/>
      <c r="R390" s="60" t="n"/>
      <c r="S390" s="59" t="n"/>
      <c r="T390" s="60" t="n"/>
      <c r="U390" s="59" t="n"/>
      <c r="V390" s="45">
        <f>IF(OR($A390="",$T390="",$T390="No Issue"),"",IF($T390="Resolved",IF($U390="","",$U390-$A390),TODAY()-$A390))</f>
        <v/>
      </c>
      <c r="W390" s="47">
        <f>IF(AND($C390&lt;&gt;"",$C390='Store History'!$C$4,OR('Store History'!$C$5="",$F390='Store History'!$C$5)),1,0)</f>
        <v/>
      </c>
      <c r="X390" s="47">
        <f>IF($W390=1,SUM($W390:$W$1005),"")</f>
        <v/>
      </c>
    </row>
    <row r="391">
      <c r="A391" s="59" t="n"/>
      <c r="B391" s="60" t="n"/>
      <c r="C391" s="60" t="n"/>
      <c r="D391" s="45">
        <f>IF($C391="","",IFERROR(INDEX('Chain Program'!$B$6:$B$120,MATCH($C391,'Chain Program'!$A$6:$A$120,0)),"Unknown ID"))</f>
        <v/>
      </c>
      <c r="E391" s="45">
        <f>IF($C391="","",IFERROR(INDEX('Chain Program'!$D$6:$D$120,MATCH($C391,'Chain Program'!$A$6:$A$120,0)),"Unknown ID"))</f>
        <v/>
      </c>
      <c r="F391" s="60" t="n"/>
      <c r="G391" s="60" t="n"/>
      <c r="H391" s="56">
        <f>IF(OR($C391="",$A391=""),"",IF(COUNTIFS('Promo Calendar'!$A$6:$A$400,$C391,'Promo Calendar'!$D$6:$D$400,IF($G391="","All",$G391),'Promo Calendar'!$I$6:$I$400,"&lt;="&amp;$A391,'Promo Calendar'!$J$6:$J$400,"&gt;="&amp;$A391,'Promo Calendar'!$G$6:$G$400,"&gt;0")&gt;0,_xlfn.MINIFS('Promo Calendar'!$G$6:$G$400,'Promo Calendar'!$A$6:$A$400,$C391,'Promo Calendar'!$D$6:$D$400,IF($G391="","All",$G391),'Promo Calendar'!$I$6:$I$400,"&lt;="&amp;$A391,'Promo Calendar'!$J$6:$J$400,"&gt;="&amp;$A391,'Promo Calendar'!$G$6:$G$400,"&gt;0"),IF(COUNTIFS('Promo Calendar'!$A$6:$A$400,$C391,'Promo Calendar'!$D$6:$D$400,"All",'Promo Calendar'!$I$6:$I$400,"&lt;="&amp;$A391,'Promo Calendar'!$J$6:$J$400,"&gt;="&amp;$A391,'Promo Calendar'!$G$6:$G$400,"&gt;0")&gt;0,_xlfn.MINIFS('Promo Calendar'!$G$6:$G$400,'Promo Calendar'!$A$6:$A$400,$C391,'Promo Calendar'!$D$6:$D$400,"All",'Promo Calendar'!$I$6:$I$400,"&lt;="&amp;$A391,'Promo Calendar'!$J$6:$J$400,"&gt;="&amp;$A391,'Promo Calendar'!$G$6:$G$400,"&gt;0"),IFERROR(IF(INDEX('Chain Program'!$M$6:$M$120,MATCH($C391,'Chain Program'!$A$6:$A$120,0))="","Not set",INDEX('Chain Program'!$M$6:$M$120,MATCH($C391,'Chain Program'!$A$6:$A$120,0))),"Not set"))))</f>
        <v/>
      </c>
      <c r="I391" s="61" t="n"/>
      <c r="J391" s="45">
        <f>IF($I391="","",IF(NOT(ISNUMBER($H391)),"No plan price",IF(ABS($I391-$H391)&lt;0.005,"Match",IF($I391&gt;$H391,"Over plan","Under plan"))))</f>
        <v/>
      </c>
      <c r="K391" s="60" t="n"/>
      <c r="L391" s="60" t="n"/>
      <c r="M391" s="60" t="n"/>
      <c r="N391" s="60" t="n"/>
      <c r="O391" s="60" t="n"/>
      <c r="P391" s="62" t="n"/>
      <c r="Q391" s="62" t="n"/>
      <c r="R391" s="60" t="n"/>
      <c r="S391" s="59" t="n"/>
      <c r="T391" s="60" t="n"/>
      <c r="U391" s="59" t="n"/>
      <c r="V391" s="45">
        <f>IF(OR($A391="",$T391="",$T391="No Issue"),"",IF($T391="Resolved",IF($U391="","",$U391-$A391),TODAY()-$A391))</f>
        <v/>
      </c>
      <c r="W391" s="47">
        <f>IF(AND($C391&lt;&gt;"",$C391='Store History'!$C$4,OR('Store History'!$C$5="",$F391='Store History'!$C$5)),1,0)</f>
        <v/>
      </c>
      <c r="X391" s="47">
        <f>IF($W391=1,SUM($W391:$W$1005),"")</f>
        <v/>
      </c>
    </row>
    <row r="392">
      <c r="A392" s="59" t="n"/>
      <c r="B392" s="60" t="n"/>
      <c r="C392" s="60" t="n"/>
      <c r="D392" s="45">
        <f>IF($C392="","",IFERROR(INDEX('Chain Program'!$B$6:$B$120,MATCH($C392,'Chain Program'!$A$6:$A$120,0)),"Unknown ID"))</f>
        <v/>
      </c>
      <c r="E392" s="45">
        <f>IF($C392="","",IFERROR(INDEX('Chain Program'!$D$6:$D$120,MATCH($C392,'Chain Program'!$A$6:$A$120,0)),"Unknown ID"))</f>
        <v/>
      </c>
      <c r="F392" s="60" t="n"/>
      <c r="G392" s="60" t="n"/>
      <c r="H392" s="56">
        <f>IF(OR($C392="",$A392=""),"",IF(COUNTIFS('Promo Calendar'!$A$6:$A$400,$C392,'Promo Calendar'!$D$6:$D$400,IF($G392="","All",$G392),'Promo Calendar'!$I$6:$I$400,"&lt;="&amp;$A392,'Promo Calendar'!$J$6:$J$400,"&gt;="&amp;$A392,'Promo Calendar'!$G$6:$G$400,"&gt;0")&gt;0,_xlfn.MINIFS('Promo Calendar'!$G$6:$G$400,'Promo Calendar'!$A$6:$A$400,$C392,'Promo Calendar'!$D$6:$D$400,IF($G392="","All",$G392),'Promo Calendar'!$I$6:$I$400,"&lt;="&amp;$A392,'Promo Calendar'!$J$6:$J$400,"&gt;="&amp;$A392,'Promo Calendar'!$G$6:$G$400,"&gt;0"),IF(COUNTIFS('Promo Calendar'!$A$6:$A$400,$C392,'Promo Calendar'!$D$6:$D$400,"All",'Promo Calendar'!$I$6:$I$400,"&lt;="&amp;$A392,'Promo Calendar'!$J$6:$J$400,"&gt;="&amp;$A392,'Promo Calendar'!$G$6:$G$400,"&gt;0")&gt;0,_xlfn.MINIFS('Promo Calendar'!$G$6:$G$400,'Promo Calendar'!$A$6:$A$400,$C392,'Promo Calendar'!$D$6:$D$400,"All",'Promo Calendar'!$I$6:$I$400,"&lt;="&amp;$A392,'Promo Calendar'!$J$6:$J$400,"&gt;="&amp;$A392,'Promo Calendar'!$G$6:$G$400,"&gt;0"),IFERROR(IF(INDEX('Chain Program'!$M$6:$M$120,MATCH($C392,'Chain Program'!$A$6:$A$120,0))="","Not set",INDEX('Chain Program'!$M$6:$M$120,MATCH($C392,'Chain Program'!$A$6:$A$120,0))),"Not set"))))</f>
        <v/>
      </c>
      <c r="I392" s="61" t="n"/>
      <c r="J392" s="45">
        <f>IF($I392="","",IF(NOT(ISNUMBER($H392)),"No plan price",IF(ABS($I392-$H392)&lt;0.005,"Match",IF($I392&gt;$H392,"Over plan","Under plan"))))</f>
        <v/>
      </c>
      <c r="K392" s="60" t="n"/>
      <c r="L392" s="60" t="n"/>
      <c r="M392" s="60" t="n"/>
      <c r="N392" s="60" t="n"/>
      <c r="O392" s="60" t="n"/>
      <c r="P392" s="62" t="n"/>
      <c r="Q392" s="62" t="n"/>
      <c r="R392" s="60" t="n"/>
      <c r="S392" s="59" t="n"/>
      <c r="T392" s="60" t="n"/>
      <c r="U392" s="59" t="n"/>
      <c r="V392" s="45">
        <f>IF(OR($A392="",$T392="",$T392="No Issue"),"",IF($T392="Resolved",IF($U392="","",$U392-$A392),TODAY()-$A392))</f>
        <v/>
      </c>
      <c r="W392" s="47">
        <f>IF(AND($C392&lt;&gt;"",$C392='Store History'!$C$4,OR('Store History'!$C$5="",$F392='Store History'!$C$5)),1,0)</f>
        <v/>
      </c>
      <c r="X392" s="47">
        <f>IF($W392=1,SUM($W392:$W$1005),"")</f>
        <v/>
      </c>
    </row>
    <row r="393">
      <c r="A393" s="59" t="n"/>
      <c r="B393" s="60" t="n"/>
      <c r="C393" s="60" t="n"/>
      <c r="D393" s="45">
        <f>IF($C393="","",IFERROR(INDEX('Chain Program'!$B$6:$B$120,MATCH($C393,'Chain Program'!$A$6:$A$120,0)),"Unknown ID"))</f>
        <v/>
      </c>
      <c r="E393" s="45">
        <f>IF($C393="","",IFERROR(INDEX('Chain Program'!$D$6:$D$120,MATCH($C393,'Chain Program'!$A$6:$A$120,0)),"Unknown ID"))</f>
        <v/>
      </c>
      <c r="F393" s="60" t="n"/>
      <c r="G393" s="60" t="n"/>
      <c r="H393" s="56">
        <f>IF(OR($C393="",$A393=""),"",IF(COUNTIFS('Promo Calendar'!$A$6:$A$400,$C393,'Promo Calendar'!$D$6:$D$400,IF($G393="","All",$G393),'Promo Calendar'!$I$6:$I$400,"&lt;="&amp;$A393,'Promo Calendar'!$J$6:$J$400,"&gt;="&amp;$A393,'Promo Calendar'!$G$6:$G$400,"&gt;0")&gt;0,_xlfn.MINIFS('Promo Calendar'!$G$6:$G$400,'Promo Calendar'!$A$6:$A$400,$C393,'Promo Calendar'!$D$6:$D$400,IF($G393="","All",$G393),'Promo Calendar'!$I$6:$I$400,"&lt;="&amp;$A393,'Promo Calendar'!$J$6:$J$400,"&gt;="&amp;$A393,'Promo Calendar'!$G$6:$G$400,"&gt;0"),IF(COUNTIFS('Promo Calendar'!$A$6:$A$400,$C393,'Promo Calendar'!$D$6:$D$400,"All",'Promo Calendar'!$I$6:$I$400,"&lt;="&amp;$A393,'Promo Calendar'!$J$6:$J$400,"&gt;="&amp;$A393,'Promo Calendar'!$G$6:$G$400,"&gt;0")&gt;0,_xlfn.MINIFS('Promo Calendar'!$G$6:$G$400,'Promo Calendar'!$A$6:$A$400,$C393,'Promo Calendar'!$D$6:$D$400,"All",'Promo Calendar'!$I$6:$I$400,"&lt;="&amp;$A393,'Promo Calendar'!$J$6:$J$400,"&gt;="&amp;$A393,'Promo Calendar'!$G$6:$G$400,"&gt;0"),IFERROR(IF(INDEX('Chain Program'!$M$6:$M$120,MATCH($C393,'Chain Program'!$A$6:$A$120,0))="","Not set",INDEX('Chain Program'!$M$6:$M$120,MATCH($C393,'Chain Program'!$A$6:$A$120,0))),"Not set"))))</f>
        <v/>
      </c>
      <c r="I393" s="61" t="n"/>
      <c r="J393" s="45">
        <f>IF($I393="","",IF(NOT(ISNUMBER($H393)),"No plan price",IF(ABS($I393-$H393)&lt;0.005,"Match",IF($I393&gt;$H393,"Over plan","Under plan"))))</f>
        <v/>
      </c>
      <c r="K393" s="60" t="n"/>
      <c r="L393" s="60" t="n"/>
      <c r="M393" s="60" t="n"/>
      <c r="N393" s="60" t="n"/>
      <c r="O393" s="60" t="n"/>
      <c r="P393" s="62" t="n"/>
      <c r="Q393" s="62" t="n"/>
      <c r="R393" s="60" t="n"/>
      <c r="S393" s="59" t="n"/>
      <c r="T393" s="60" t="n"/>
      <c r="U393" s="59" t="n"/>
      <c r="V393" s="45">
        <f>IF(OR($A393="",$T393="",$T393="No Issue"),"",IF($T393="Resolved",IF($U393="","",$U393-$A393),TODAY()-$A393))</f>
        <v/>
      </c>
      <c r="W393" s="47">
        <f>IF(AND($C393&lt;&gt;"",$C393='Store History'!$C$4,OR('Store History'!$C$5="",$F393='Store History'!$C$5)),1,0)</f>
        <v/>
      </c>
      <c r="X393" s="47">
        <f>IF($W393=1,SUM($W393:$W$1005),"")</f>
        <v/>
      </c>
    </row>
    <row r="394">
      <c r="A394" s="59" t="n"/>
      <c r="B394" s="60" t="n"/>
      <c r="C394" s="60" t="n"/>
      <c r="D394" s="45">
        <f>IF($C394="","",IFERROR(INDEX('Chain Program'!$B$6:$B$120,MATCH($C394,'Chain Program'!$A$6:$A$120,0)),"Unknown ID"))</f>
        <v/>
      </c>
      <c r="E394" s="45">
        <f>IF($C394="","",IFERROR(INDEX('Chain Program'!$D$6:$D$120,MATCH($C394,'Chain Program'!$A$6:$A$120,0)),"Unknown ID"))</f>
        <v/>
      </c>
      <c r="F394" s="60" t="n"/>
      <c r="G394" s="60" t="n"/>
      <c r="H394" s="56">
        <f>IF(OR($C394="",$A394=""),"",IF(COUNTIFS('Promo Calendar'!$A$6:$A$400,$C394,'Promo Calendar'!$D$6:$D$400,IF($G394="","All",$G394),'Promo Calendar'!$I$6:$I$400,"&lt;="&amp;$A394,'Promo Calendar'!$J$6:$J$400,"&gt;="&amp;$A394,'Promo Calendar'!$G$6:$G$400,"&gt;0")&gt;0,_xlfn.MINIFS('Promo Calendar'!$G$6:$G$400,'Promo Calendar'!$A$6:$A$400,$C394,'Promo Calendar'!$D$6:$D$400,IF($G394="","All",$G394),'Promo Calendar'!$I$6:$I$400,"&lt;="&amp;$A394,'Promo Calendar'!$J$6:$J$400,"&gt;="&amp;$A394,'Promo Calendar'!$G$6:$G$400,"&gt;0"),IF(COUNTIFS('Promo Calendar'!$A$6:$A$400,$C394,'Promo Calendar'!$D$6:$D$400,"All",'Promo Calendar'!$I$6:$I$400,"&lt;="&amp;$A394,'Promo Calendar'!$J$6:$J$400,"&gt;="&amp;$A394,'Promo Calendar'!$G$6:$G$400,"&gt;0")&gt;0,_xlfn.MINIFS('Promo Calendar'!$G$6:$G$400,'Promo Calendar'!$A$6:$A$400,$C394,'Promo Calendar'!$D$6:$D$400,"All",'Promo Calendar'!$I$6:$I$400,"&lt;="&amp;$A394,'Promo Calendar'!$J$6:$J$400,"&gt;="&amp;$A394,'Promo Calendar'!$G$6:$G$400,"&gt;0"),IFERROR(IF(INDEX('Chain Program'!$M$6:$M$120,MATCH($C394,'Chain Program'!$A$6:$A$120,0))="","Not set",INDEX('Chain Program'!$M$6:$M$120,MATCH($C394,'Chain Program'!$A$6:$A$120,0))),"Not set"))))</f>
        <v/>
      </c>
      <c r="I394" s="61" t="n"/>
      <c r="J394" s="45">
        <f>IF($I394="","",IF(NOT(ISNUMBER($H394)),"No plan price",IF(ABS($I394-$H394)&lt;0.005,"Match",IF($I394&gt;$H394,"Over plan","Under plan"))))</f>
        <v/>
      </c>
      <c r="K394" s="60" t="n"/>
      <c r="L394" s="60" t="n"/>
      <c r="M394" s="60" t="n"/>
      <c r="N394" s="60" t="n"/>
      <c r="O394" s="60" t="n"/>
      <c r="P394" s="62" t="n"/>
      <c r="Q394" s="62" t="n"/>
      <c r="R394" s="60" t="n"/>
      <c r="S394" s="59" t="n"/>
      <c r="T394" s="60" t="n"/>
      <c r="U394" s="59" t="n"/>
      <c r="V394" s="45">
        <f>IF(OR($A394="",$T394="",$T394="No Issue"),"",IF($T394="Resolved",IF($U394="","",$U394-$A394),TODAY()-$A394))</f>
        <v/>
      </c>
      <c r="W394" s="47">
        <f>IF(AND($C394&lt;&gt;"",$C394='Store History'!$C$4,OR('Store History'!$C$5="",$F394='Store History'!$C$5)),1,0)</f>
        <v/>
      </c>
      <c r="X394" s="47">
        <f>IF($W394=1,SUM($W394:$W$1005),"")</f>
        <v/>
      </c>
    </row>
    <row r="395">
      <c r="A395" s="59" t="n"/>
      <c r="B395" s="60" t="n"/>
      <c r="C395" s="60" t="n"/>
      <c r="D395" s="45">
        <f>IF($C395="","",IFERROR(INDEX('Chain Program'!$B$6:$B$120,MATCH($C395,'Chain Program'!$A$6:$A$120,0)),"Unknown ID"))</f>
        <v/>
      </c>
      <c r="E395" s="45">
        <f>IF($C395="","",IFERROR(INDEX('Chain Program'!$D$6:$D$120,MATCH($C395,'Chain Program'!$A$6:$A$120,0)),"Unknown ID"))</f>
        <v/>
      </c>
      <c r="F395" s="60" t="n"/>
      <c r="G395" s="60" t="n"/>
      <c r="H395" s="56">
        <f>IF(OR($C395="",$A395=""),"",IF(COUNTIFS('Promo Calendar'!$A$6:$A$400,$C395,'Promo Calendar'!$D$6:$D$400,IF($G395="","All",$G395),'Promo Calendar'!$I$6:$I$400,"&lt;="&amp;$A395,'Promo Calendar'!$J$6:$J$400,"&gt;="&amp;$A395,'Promo Calendar'!$G$6:$G$400,"&gt;0")&gt;0,_xlfn.MINIFS('Promo Calendar'!$G$6:$G$400,'Promo Calendar'!$A$6:$A$400,$C395,'Promo Calendar'!$D$6:$D$400,IF($G395="","All",$G395),'Promo Calendar'!$I$6:$I$400,"&lt;="&amp;$A395,'Promo Calendar'!$J$6:$J$400,"&gt;="&amp;$A395,'Promo Calendar'!$G$6:$G$400,"&gt;0"),IF(COUNTIFS('Promo Calendar'!$A$6:$A$400,$C395,'Promo Calendar'!$D$6:$D$400,"All",'Promo Calendar'!$I$6:$I$400,"&lt;="&amp;$A395,'Promo Calendar'!$J$6:$J$400,"&gt;="&amp;$A395,'Promo Calendar'!$G$6:$G$400,"&gt;0")&gt;0,_xlfn.MINIFS('Promo Calendar'!$G$6:$G$400,'Promo Calendar'!$A$6:$A$400,$C395,'Promo Calendar'!$D$6:$D$400,"All",'Promo Calendar'!$I$6:$I$400,"&lt;="&amp;$A395,'Promo Calendar'!$J$6:$J$400,"&gt;="&amp;$A395,'Promo Calendar'!$G$6:$G$400,"&gt;0"),IFERROR(IF(INDEX('Chain Program'!$M$6:$M$120,MATCH($C395,'Chain Program'!$A$6:$A$120,0))="","Not set",INDEX('Chain Program'!$M$6:$M$120,MATCH($C395,'Chain Program'!$A$6:$A$120,0))),"Not set"))))</f>
        <v/>
      </c>
      <c r="I395" s="61" t="n"/>
      <c r="J395" s="45">
        <f>IF($I395="","",IF(NOT(ISNUMBER($H395)),"No plan price",IF(ABS($I395-$H395)&lt;0.005,"Match",IF($I395&gt;$H395,"Over plan","Under plan"))))</f>
        <v/>
      </c>
      <c r="K395" s="60" t="n"/>
      <c r="L395" s="60" t="n"/>
      <c r="M395" s="60" t="n"/>
      <c r="N395" s="60" t="n"/>
      <c r="O395" s="60" t="n"/>
      <c r="P395" s="62" t="n"/>
      <c r="Q395" s="62" t="n"/>
      <c r="R395" s="60" t="n"/>
      <c r="S395" s="59" t="n"/>
      <c r="T395" s="60" t="n"/>
      <c r="U395" s="59" t="n"/>
      <c r="V395" s="45">
        <f>IF(OR($A395="",$T395="",$T395="No Issue"),"",IF($T395="Resolved",IF($U395="","",$U395-$A395),TODAY()-$A395))</f>
        <v/>
      </c>
      <c r="W395" s="47">
        <f>IF(AND($C395&lt;&gt;"",$C395='Store History'!$C$4,OR('Store History'!$C$5="",$F395='Store History'!$C$5)),1,0)</f>
        <v/>
      </c>
      <c r="X395" s="47">
        <f>IF($W395=1,SUM($W395:$W$1005),"")</f>
        <v/>
      </c>
    </row>
    <row r="396">
      <c r="A396" s="59" t="n"/>
      <c r="B396" s="60" t="n"/>
      <c r="C396" s="60" t="n"/>
      <c r="D396" s="45">
        <f>IF($C396="","",IFERROR(INDEX('Chain Program'!$B$6:$B$120,MATCH($C396,'Chain Program'!$A$6:$A$120,0)),"Unknown ID"))</f>
        <v/>
      </c>
      <c r="E396" s="45">
        <f>IF($C396="","",IFERROR(INDEX('Chain Program'!$D$6:$D$120,MATCH($C396,'Chain Program'!$A$6:$A$120,0)),"Unknown ID"))</f>
        <v/>
      </c>
      <c r="F396" s="60" t="n"/>
      <c r="G396" s="60" t="n"/>
      <c r="H396" s="56">
        <f>IF(OR($C396="",$A396=""),"",IF(COUNTIFS('Promo Calendar'!$A$6:$A$400,$C396,'Promo Calendar'!$D$6:$D$400,IF($G396="","All",$G396),'Promo Calendar'!$I$6:$I$400,"&lt;="&amp;$A396,'Promo Calendar'!$J$6:$J$400,"&gt;="&amp;$A396,'Promo Calendar'!$G$6:$G$400,"&gt;0")&gt;0,_xlfn.MINIFS('Promo Calendar'!$G$6:$G$400,'Promo Calendar'!$A$6:$A$400,$C396,'Promo Calendar'!$D$6:$D$400,IF($G396="","All",$G396),'Promo Calendar'!$I$6:$I$400,"&lt;="&amp;$A396,'Promo Calendar'!$J$6:$J$400,"&gt;="&amp;$A396,'Promo Calendar'!$G$6:$G$400,"&gt;0"),IF(COUNTIFS('Promo Calendar'!$A$6:$A$400,$C396,'Promo Calendar'!$D$6:$D$400,"All",'Promo Calendar'!$I$6:$I$400,"&lt;="&amp;$A396,'Promo Calendar'!$J$6:$J$400,"&gt;="&amp;$A396,'Promo Calendar'!$G$6:$G$400,"&gt;0")&gt;0,_xlfn.MINIFS('Promo Calendar'!$G$6:$G$400,'Promo Calendar'!$A$6:$A$400,$C396,'Promo Calendar'!$D$6:$D$400,"All",'Promo Calendar'!$I$6:$I$400,"&lt;="&amp;$A396,'Promo Calendar'!$J$6:$J$400,"&gt;="&amp;$A396,'Promo Calendar'!$G$6:$G$400,"&gt;0"),IFERROR(IF(INDEX('Chain Program'!$M$6:$M$120,MATCH($C396,'Chain Program'!$A$6:$A$120,0))="","Not set",INDEX('Chain Program'!$M$6:$M$120,MATCH($C396,'Chain Program'!$A$6:$A$120,0))),"Not set"))))</f>
        <v/>
      </c>
      <c r="I396" s="61" t="n"/>
      <c r="J396" s="45">
        <f>IF($I396="","",IF(NOT(ISNUMBER($H396)),"No plan price",IF(ABS($I396-$H396)&lt;0.005,"Match",IF($I396&gt;$H396,"Over plan","Under plan"))))</f>
        <v/>
      </c>
      <c r="K396" s="60" t="n"/>
      <c r="L396" s="60" t="n"/>
      <c r="M396" s="60" t="n"/>
      <c r="N396" s="60" t="n"/>
      <c r="O396" s="60" t="n"/>
      <c r="P396" s="62" t="n"/>
      <c r="Q396" s="62" t="n"/>
      <c r="R396" s="60" t="n"/>
      <c r="S396" s="59" t="n"/>
      <c r="T396" s="60" t="n"/>
      <c r="U396" s="59" t="n"/>
      <c r="V396" s="45">
        <f>IF(OR($A396="",$T396="",$T396="No Issue"),"",IF($T396="Resolved",IF($U396="","",$U396-$A396),TODAY()-$A396))</f>
        <v/>
      </c>
      <c r="W396" s="47">
        <f>IF(AND($C396&lt;&gt;"",$C396='Store History'!$C$4,OR('Store History'!$C$5="",$F396='Store History'!$C$5)),1,0)</f>
        <v/>
      </c>
      <c r="X396" s="47">
        <f>IF($W396=1,SUM($W396:$W$1005),"")</f>
        <v/>
      </c>
    </row>
    <row r="397">
      <c r="A397" s="59" t="n"/>
      <c r="B397" s="60" t="n"/>
      <c r="C397" s="60" t="n"/>
      <c r="D397" s="45">
        <f>IF($C397="","",IFERROR(INDEX('Chain Program'!$B$6:$B$120,MATCH($C397,'Chain Program'!$A$6:$A$120,0)),"Unknown ID"))</f>
        <v/>
      </c>
      <c r="E397" s="45">
        <f>IF($C397="","",IFERROR(INDEX('Chain Program'!$D$6:$D$120,MATCH($C397,'Chain Program'!$A$6:$A$120,0)),"Unknown ID"))</f>
        <v/>
      </c>
      <c r="F397" s="60" t="n"/>
      <c r="G397" s="60" t="n"/>
      <c r="H397" s="56">
        <f>IF(OR($C397="",$A397=""),"",IF(COUNTIFS('Promo Calendar'!$A$6:$A$400,$C397,'Promo Calendar'!$D$6:$D$400,IF($G397="","All",$G397),'Promo Calendar'!$I$6:$I$400,"&lt;="&amp;$A397,'Promo Calendar'!$J$6:$J$400,"&gt;="&amp;$A397,'Promo Calendar'!$G$6:$G$400,"&gt;0")&gt;0,_xlfn.MINIFS('Promo Calendar'!$G$6:$G$400,'Promo Calendar'!$A$6:$A$400,$C397,'Promo Calendar'!$D$6:$D$400,IF($G397="","All",$G397),'Promo Calendar'!$I$6:$I$400,"&lt;="&amp;$A397,'Promo Calendar'!$J$6:$J$400,"&gt;="&amp;$A397,'Promo Calendar'!$G$6:$G$400,"&gt;0"),IF(COUNTIFS('Promo Calendar'!$A$6:$A$400,$C397,'Promo Calendar'!$D$6:$D$400,"All",'Promo Calendar'!$I$6:$I$400,"&lt;="&amp;$A397,'Promo Calendar'!$J$6:$J$400,"&gt;="&amp;$A397,'Promo Calendar'!$G$6:$G$400,"&gt;0")&gt;0,_xlfn.MINIFS('Promo Calendar'!$G$6:$G$400,'Promo Calendar'!$A$6:$A$400,$C397,'Promo Calendar'!$D$6:$D$400,"All",'Promo Calendar'!$I$6:$I$400,"&lt;="&amp;$A397,'Promo Calendar'!$J$6:$J$400,"&gt;="&amp;$A397,'Promo Calendar'!$G$6:$G$400,"&gt;0"),IFERROR(IF(INDEX('Chain Program'!$M$6:$M$120,MATCH($C397,'Chain Program'!$A$6:$A$120,0))="","Not set",INDEX('Chain Program'!$M$6:$M$120,MATCH($C397,'Chain Program'!$A$6:$A$120,0))),"Not set"))))</f>
        <v/>
      </c>
      <c r="I397" s="61" t="n"/>
      <c r="J397" s="45">
        <f>IF($I397="","",IF(NOT(ISNUMBER($H397)),"No plan price",IF(ABS($I397-$H397)&lt;0.005,"Match",IF($I397&gt;$H397,"Over plan","Under plan"))))</f>
        <v/>
      </c>
      <c r="K397" s="60" t="n"/>
      <c r="L397" s="60" t="n"/>
      <c r="M397" s="60" t="n"/>
      <c r="N397" s="60" t="n"/>
      <c r="O397" s="60" t="n"/>
      <c r="P397" s="62" t="n"/>
      <c r="Q397" s="62" t="n"/>
      <c r="R397" s="60" t="n"/>
      <c r="S397" s="59" t="n"/>
      <c r="T397" s="60" t="n"/>
      <c r="U397" s="59" t="n"/>
      <c r="V397" s="45">
        <f>IF(OR($A397="",$T397="",$T397="No Issue"),"",IF($T397="Resolved",IF($U397="","",$U397-$A397),TODAY()-$A397))</f>
        <v/>
      </c>
      <c r="W397" s="47">
        <f>IF(AND($C397&lt;&gt;"",$C397='Store History'!$C$4,OR('Store History'!$C$5="",$F397='Store History'!$C$5)),1,0)</f>
        <v/>
      </c>
      <c r="X397" s="47">
        <f>IF($W397=1,SUM($W397:$W$1005),"")</f>
        <v/>
      </c>
    </row>
    <row r="398">
      <c r="A398" s="59" t="n"/>
      <c r="B398" s="60" t="n"/>
      <c r="C398" s="60" t="n"/>
      <c r="D398" s="45">
        <f>IF($C398="","",IFERROR(INDEX('Chain Program'!$B$6:$B$120,MATCH($C398,'Chain Program'!$A$6:$A$120,0)),"Unknown ID"))</f>
        <v/>
      </c>
      <c r="E398" s="45">
        <f>IF($C398="","",IFERROR(INDEX('Chain Program'!$D$6:$D$120,MATCH($C398,'Chain Program'!$A$6:$A$120,0)),"Unknown ID"))</f>
        <v/>
      </c>
      <c r="F398" s="60" t="n"/>
      <c r="G398" s="60" t="n"/>
      <c r="H398" s="56">
        <f>IF(OR($C398="",$A398=""),"",IF(COUNTIFS('Promo Calendar'!$A$6:$A$400,$C398,'Promo Calendar'!$D$6:$D$400,IF($G398="","All",$G398),'Promo Calendar'!$I$6:$I$400,"&lt;="&amp;$A398,'Promo Calendar'!$J$6:$J$400,"&gt;="&amp;$A398,'Promo Calendar'!$G$6:$G$400,"&gt;0")&gt;0,_xlfn.MINIFS('Promo Calendar'!$G$6:$G$400,'Promo Calendar'!$A$6:$A$400,$C398,'Promo Calendar'!$D$6:$D$400,IF($G398="","All",$G398),'Promo Calendar'!$I$6:$I$400,"&lt;="&amp;$A398,'Promo Calendar'!$J$6:$J$400,"&gt;="&amp;$A398,'Promo Calendar'!$G$6:$G$400,"&gt;0"),IF(COUNTIFS('Promo Calendar'!$A$6:$A$400,$C398,'Promo Calendar'!$D$6:$D$400,"All",'Promo Calendar'!$I$6:$I$400,"&lt;="&amp;$A398,'Promo Calendar'!$J$6:$J$400,"&gt;="&amp;$A398,'Promo Calendar'!$G$6:$G$400,"&gt;0")&gt;0,_xlfn.MINIFS('Promo Calendar'!$G$6:$G$400,'Promo Calendar'!$A$6:$A$400,$C398,'Promo Calendar'!$D$6:$D$400,"All",'Promo Calendar'!$I$6:$I$400,"&lt;="&amp;$A398,'Promo Calendar'!$J$6:$J$400,"&gt;="&amp;$A398,'Promo Calendar'!$G$6:$G$400,"&gt;0"),IFERROR(IF(INDEX('Chain Program'!$M$6:$M$120,MATCH($C398,'Chain Program'!$A$6:$A$120,0))="","Not set",INDEX('Chain Program'!$M$6:$M$120,MATCH($C398,'Chain Program'!$A$6:$A$120,0))),"Not set"))))</f>
        <v/>
      </c>
      <c r="I398" s="61" t="n"/>
      <c r="J398" s="45">
        <f>IF($I398="","",IF(NOT(ISNUMBER($H398)),"No plan price",IF(ABS($I398-$H398)&lt;0.005,"Match",IF($I398&gt;$H398,"Over plan","Under plan"))))</f>
        <v/>
      </c>
      <c r="K398" s="60" t="n"/>
      <c r="L398" s="60" t="n"/>
      <c r="M398" s="60" t="n"/>
      <c r="N398" s="60" t="n"/>
      <c r="O398" s="60" t="n"/>
      <c r="P398" s="62" t="n"/>
      <c r="Q398" s="62" t="n"/>
      <c r="R398" s="60" t="n"/>
      <c r="S398" s="59" t="n"/>
      <c r="T398" s="60" t="n"/>
      <c r="U398" s="59" t="n"/>
      <c r="V398" s="45">
        <f>IF(OR($A398="",$T398="",$T398="No Issue"),"",IF($T398="Resolved",IF($U398="","",$U398-$A398),TODAY()-$A398))</f>
        <v/>
      </c>
      <c r="W398" s="47">
        <f>IF(AND($C398&lt;&gt;"",$C398='Store History'!$C$4,OR('Store History'!$C$5="",$F398='Store History'!$C$5)),1,0)</f>
        <v/>
      </c>
      <c r="X398" s="47">
        <f>IF($W398=1,SUM($W398:$W$1005),"")</f>
        <v/>
      </c>
    </row>
    <row r="399">
      <c r="A399" s="59" t="n"/>
      <c r="B399" s="60" t="n"/>
      <c r="C399" s="60" t="n"/>
      <c r="D399" s="45">
        <f>IF($C399="","",IFERROR(INDEX('Chain Program'!$B$6:$B$120,MATCH($C399,'Chain Program'!$A$6:$A$120,0)),"Unknown ID"))</f>
        <v/>
      </c>
      <c r="E399" s="45">
        <f>IF($C399="","",IFERROR(INDEX('Chain Program'!$D$6:$D$120,MATCH($C399,'Chain Program'!$A$6:$A$120,0)),"Unknown ID"))</f>
        <v/>
      </c>
      <c r="F399" s="60" t="n"/>
      <c r="G399" s="60" t="n"/>
      <c r="H399" s="56">
        <f>IF(OR($C399="",$A399=""),"",IF(COUNTIFS('Promo Calendar'!$A$6:$A$400,$C399,'Promo Calendar'!$D$6:$D$400,IF($G399="","All",$G399),'Promo Calendar'!$I$6:$I$400,"&lt;="&amp;$A399,'Promo Calendar'!$J$6:$J$400,"&gt;="&amp;$A399,'Promo Calendar'!$G$6:$G$400,"&gt;0")&gt;0,_xlfn.MINIFS('Promo Calendar'!$G$6:$G$400,'Promo Calendar'!$A$6:$A$400,$C399,'Promo Calendar'!$D$6:$D$400,IF($G399="","All",$G399),'Promo Calendar'!$I$6:$I$400,"&lt;="&amp;$A399,'Promo Calendar'!$J$6:$J$400,"&gt;="&amp;$A399,'Promo Calendar'!$G$6:$G$400,"&gt;0"),IF(COUNTIFS('Promo Calendar'!$A$6:$A$400,$C399,'Promo Calendar'!$D$6:$D$400,"All",'Promo Calendar'!$I$6:$I$400,"&lt;="&amp;$A399,'Promo Calendar'!$J$6:$J$400,"&gt;="&amp;$A399,'Promo Calendar'!$G$6:$G$400,"&gt;0")&gt;0,_xlfn.MINIFS('Promo Calendar'!$G$6:$G$400,'Promo Calendar'!$A$6:$A$400,$C399,'Promo Calendar'!$D$6:$D$400,"All",'Promo Calendar'!$I$6:$I$400,"&lt;="&amp;$A399,'Promo Calendar'!$J$6:$J$400,"&gt;="&amp;$A399,'Promo Calendar'!$G$6:$G$400,"&gt;0"),IFERROR(IF(INDEX('Chain Program'!$M$6:$M$120,MATCH($C399,'Chain Program'!$A$6:$A$120,0))="","Not set",INDEX('Chain Program'!$M$6:$M$120,MATCH($C399,'Chain Program'!$A$6:$A$120,0))),"Not set"))))</f>
        <v/>
      </c>
      <c r="I399" s="61" t="n"/>
      <c r="J399" s="45">
        <f>IF($I399="","",IF(NOT(ISNUMBER($H399)),"No plan price",IF(ABS($I399-$H399)&lt;0.005,"Match",IF($I399&gt;$H399,"Over plan","Under plan"))))</f>
        <v/>
      </c>
      <c r="K399" s="60" t="n"/>
      <c r="L399" s="60" t="n"/>
      <c r="M399" s="60" t="n"/>
      <c r="N399" s="60" t="n"/>
      <c r="O399" s="60" t="n"/>
      <c r="P399" s="62" t="n"/>
      <c r="Q399" s="62" t="n"/>
      <c r="R399" s="60" t="n"/>
      <c r="S399" s="59" t="n"/>
      <c r="T399" s="60" t="n"/>
      <c r="U399" s="59" t="n"/>
      <c r="V399" s="45">
        <f>IF(OR($A399="",$T399="",$T399="No Issue"),"",IF($T399="Resolved",IF($U399="","",$U399-$A399),TODAY()-$A399))</f>
        <v/>
      </c>
      <c r="W399" s="47">
        <f>IF(AND($C399&lt;&gt;"",$C399='Store History'!$C$4,OR('Store History'!$C$5="",$F399='Store History'!$C$5)),1,0)</f>
        <v/>
      </c>
      <c r="X399" s="47">
        <f>IF($W399=1,SUM($W399:$W$1005),"")</f>
        <v/>
      </c>
    </row>
    <row r="400">
      <c r="A400" s="59" t="n"/>
      <c r="B400" s="60" t="n"/>
      <c r="C400" s="60" t="n"/>
      <c r="D400" s="45">
        <f>IF($C400="","",IFERROR(INDEX('Chain Program'!$B$6:$B$120,MATCH($C400,'Chain Program'!$A$6:$A$120,0)),"Unknown ID"))</f>
        <v/>
      </c>
      <c r="E400" s="45">
        <f>IF($C400="","",IFERROR(INDEX('Chain Program'!$D$6:$D$120,MATCH($C400,'Chain Program'!$A$6:$A$120,0)),"Unknown ID"))</f>
        <v/>
      </c>
      <c r="F400" s="60" t="n"/>
      <c r="G400" s="60" t="n"/>
      <c r="H400" s="56">
        <f>IF(OR($C400="",$A400=""),"",IF(COUNTIFS('Promo Calendar'!$A$6:$A$400,$C400,'Promo Calendar'!$D$6:$D$400,IF($G400="","All",$G400),'Promo Calendar'!$I$6:$I$400,"&lt;="&amp;$A400,'Promo Calendar'!$J$6:$J$400,"&gt;="&amp;$A400,'Promo Calendar'!$G$6:$G$400,"&gt;0")&gt;0,_xlfn.MINIFS('Promo Calendar'!$G$6:$G$400,'Promo Calendar'!$A$6:$A$400,$C400,'Promo Calendar'!$D$6:$D$400,IF($G400="","All",$G400),'Promo Calendar'!$I$6:$I$400,"&lt;="&amp;$A400,'Promo Calendar'!$J$6:$J$400,"&gt;="&amp;$A400,'Promo Calendar'!$G$6:$G$400,"&gt;0"),IF(COUNTIFS('Promo Calendar'!$A$6:$A$400,$C400,'Promo Calendar'!$D$6:$D$400,"All",'Promo Calendar'!$I$6:$I$400,"&lt;="&amp;$A400,'Promo Calendar'!$J$6:$J$400,"&gt;="&amp;$A400,'Promo Calendar'!$G$6:$G$400,"&gt;0")&gt;0,_xlfn.MINIFS('Promo Calendar'!$G$6:$G$400,'Promo Calendar'!$A$6:$A$400,$C400,'Promo Calendar'!$D$6:$D$400,"All",'Promo Calendar'!$I$6:$I$400,"&lt;="&amp;$A400,'Promo Calendar'!$J$6:$J$400,"&gt;="&amp;$A400,'Promo Calendar'!$G$6:$G$400,"&gt;0"),IFERROR(IF(INDEX('Chain Program'!$M$6:$M$120,MATCH($C400,'Chain Program'!$A$6:$A$120,0))="","Not set",INDEX('Chain Program'!$M$6:$M$120,MATCH($C400,'Chain Program'!$A$6:$A$120,0))),"Not set"))))</f>
        <v/>
      </c>
      <c r="I400" s="61" t="n"/>
      <c r="J400" s="45">
        <f>IF($I400="","",IF(NOT(ISNUMBER($H400)),"No plan price",IF(ABS($I400-$H400)&lt;0.005,"Match",IF($I400&gt;$H400,"Over plan","Under plan"))))</f>
        <v/>
      </c>
      <c r="K400" s="60" t="n"/>
      <c r="L400" s="60" t="n"/>
      <c r="M400" s="60" t="n"/>
      <c r="N400" s="60" t="n"/>
      <c r="O400" s="60" t="n"/>
      <c r="P400" s="62" t="n"/>
      <c r="Q400" s="62" t="n"/>
      <c r="R400" s="60" t="n"/>
      <c r="S400" s="59" t="n"/>
      <c r="T400" s="60" t="n"/>
      <c r="U400" s="59" t="n"/>
      <c r="V400" s="45">
        <f>IF(OR($A400="",$T400="",$T400="No Issue"),"",IF($T400="Resolved",IF($U400="","",$U400-$A400),TODAY()-$A400))</f>
        <v/>
      </c>
      <c r="W400" s="47">
        <f>IF(AND($C400&lt;&gt;"",$C400='Store History'!$C$4,OR('Store History'!$C$5="",$F400='Store History'!$C$5)),1,0)</f>
        <v/>
      </c>
      <c r="X400" s="47">
        <f>IF($W400=1,SUM($W400:$W$1005),"")</f>
        <v/>
      </c>
    </row>
    <row r="401">
      <c r="A401" s="59" t="n"/>
      <c r="B401" s="60" t="n"/>
      <c r="C401" s="60" t="n"/>
      <c r="D401" s="45">
        <f>IF($C401="","",IFERROR(INDEX('Chain Program'!$B$6:$B$120,MATCH($C401,'Chain Program'!$A$6:$A$120,0)),"Unknown ID"))</f>
        <v/>
      </c>
      <c r="E401" s="45">
        <f>IF($C401="","",IFERROR(INDEX('Chain Program'!$D$6:$D$120,MATCH($C401,'Chain Program'!$A$6:$A$120,0)),"Unknown ID"))</f>
        <v/>
      </c>
      <c r="F401" s="60" t="n"/>
      <c r="G401" s="60" t="n"/>
      <c r="H401" s="56">
        <f>IF(OR($C401="",$A401=""),"",IF(COUNTIFS('Promo Calendar'!$A$6:$A$400,$C401,'Promo Calendar'!$D$6:$D$400,IF($G401="","All",$G401),'Promo Calendar'!$I$6:$I$400,"&lt;="&amp;$A401,'Promo Calendar'!$J$6:$J$400,"&gt;="&amp;$A401,'Promo Calendar'!$G$6:$G$400,"&gt;0")&gt;0,_xlfn.MINIFS('Promo Calendar'!$G$6:$G$400,'Promo Calendar'!$A$6:$A$400,$C401,'Promo Calendar'!$D$6:$D$400,IF($G401="","All",$G401),'Promo Calendar'!$I$6:$I$400,"&lt;="&amp;$A401,'Promo Calendar'!$J$6:$J$400,"&gt;="&amp;$A401,'Promo Calendar'!$G$6:$G$400,"&gt;0"),IF(COUNTIFS('Promo Calendar'!$A$6:$A$400,$C401,'Promo Calendar'!$D$6:$D$400,"All",'Promo Calendar'!$I$6:$I$400,"&lt;="&amp;$A401,'Promo Calendar'!$J$6:$J$400,"&gt;="&amp;$A401,'Promo Calendar'!$G$6:$G$400,"&gt;0")&gt;0,_xlfn.MINIFS('Promo Calendar'!$G$6:$G$400,'Promo Calendar'!$A$6:$A$400,$C401,'Promo Calendar'!$D$6:$D$400,"All",'Promo Calendar'!$I$6:$I$400,"&lt;="&amp;$A401,'Promo Calendar'!$J$6:$J$400,"&gt;="&amp;$A401,'Promo Calendar'!$G$6:$G$400,"&gt;0"),IFERROR(IF(INDEX('Chain Program'!$M$6:$M$120,MATCH($C401,'Chain Program'!$A$6:$A$120,0))="","Not set",INDEX('Chain Program'!$M$6:$M$120,MATCH($C401,'Chain Program'!$A$6:$A$120,0))),"Not set"))))</f>
        <v/>
      </c>
      <c r="I401" s="61" t="n"/>
      <c r="J401" s="45">
        <f>IF($I401="","",IF(NOT(ISNUMBER($H401)),"No plan price",IF(ABS($I401-$H401)&lt;0.005,"Match",IF($I401&gt;$H401,"Over plan","Under plan"))))</f>
        <v/>
      </c>
      <c r="K401" s="60" t="n"/>
      <c r="L401" s="60" t="n"/>
      <c r="M401" s="60" t="n"/>
      <c r="N401" s="60" t="n"/>
      <c r="O401" s="60" t="n"/>
      <c r="P401" s="62" t="n"/>
      <c r="Q401" s="62" t="n"/>
      <c r="R401" s="60" t="n"/>
      <c r="S401" s="59" t="n"/>
      <c r="T401" s="60" t="n"/>
      <c r="U401" s="59" t="n"/>
      <c r="V401" s="45">
        <f>IF(OR($A401="",$T401="",$T401="No Issue"),"",IF($T401="Resolved",IF($U401="","",$U401-$A401),TODAY()-$A401))</f>
        <v/>
      </c>
      <c r="W401" s="47">
        <f>IF(AND($C401&lt;&gt;"",$C401='Store History'!$C$4,OR('Store History'!$C$5="",$F401='Store History'!$C$5)),1,0)</f>
        <v/>
      </c>
      <c r="X401" s="47">
        <f>IF($W401=1,SUM($W401:$W$1005),"")</f>
        <v/>
      </c>
    </row>
    <row r="402">
      <c r="A402" s="59" t="n"/>
      <c r="B402" s="60" t="n"/>
      <c r="C402" s="60" t="n"/>
      <c r="D402" s="45">
        <f>IF($C402="","",IFERROR(INDEX('Chain Program'!$B$6:$B$120,MATCH($C402,'Chain Program'!$A$6:$A$120,0)),"Unknown ID"))</f>
        <v/>
      </c>
      <c r="E402" s="45">
        <f>IF($C402="","",IFERROR(INDEX('Chain Program'!$D$6:$D$120,MATCH($C402,'Chain Program'!$A$6:$A$120,0)),"Unknown ID"))</f>
        <v/>
      </c>
      <c r="F402" s="60" t="n"/>
      <c r="G402" s="60" t="n"/>
      <c r="H402" s="56">
        <f>IF(OR($C402="",$A402=""),"",IF(COUNTIFS('Promo Calendar'!$A$6:$A$400,$C402,'Promo Calendar'!$D$6:$D$400,IF($G402="","All",$G402),'Promo Calendar'!$I$6:$I$400,"&lt;="&amp;$A402,'Promo Calendar'!$J$6:$J$400,"&gt;="&amp;$A402,'Promo Calendar'!$G$6:$G$400,"&gt;0")&gt;0,_xlfn.MINIFS('Promo Calendar'!$G$6:$G$400,'Promo Calendar'!$A$6:$A$400,$C402,'Promo Calendar'!$D$6:$D$400,IF($G402="","All",$G402),'Promo Calendar'!$I$6:$I$400,"&lt;="&amp;$A402,'Promo Calendar'!$J$6:$J$400,"&gt;="&amp;$A402,'Promo Calendar'!$G$6:$G$400,"&gt;0"),IF(COUNTIFS('Promo Calendar'!$A$6:$A$400,$C402,'Promo Calendar'!$D$6:$D$400,"All",'Promo Calendar'!$I$6:$I$400,"&lt;="&amp;$A402,'Promo Calendar'!$J$6:$J$400,"&gt;="&amp;$A402,'Promo Calendar'!$G$6:$G$400,"&gt;0")&gt;0,_xlfn.MINIFS('Promo Calendar'!$G$6:$G$400,'Promo Calendar'!$A$6:$A$400,$C402,'Promo Calendar'!$D$6:$D$400,"All",'Promo Calendar'!$I$6:$I$400,"&lt;="&amp;$A402,'Promo Calendar'!$J$6:$J$400,"&gt;="&amp;$A402,'Promo Calendar'!$G$6:$G$400,"&gt;0"),IFERROR(IF(INDEX('Chain Program'!$M$6:$M$120,MATCH($C402,'Chain Program'!$A$6:$A$120,0))="","Not set",INDEX('Chain Program'!$M$6:$M$120,MATCH($C402,'Chain Program'!$A$6:$A$120,0))),"Not set"))))</f>
        <v/>
      </c>
      <c r="I402" s="61" t="n"/>
      <c r="J402" s="45">
        <f>IF($I402="","",IF(NOT(ISNUMBER($H402)),"No plan price",IF(ABS($I402-$H402)&lt;0.005,"Match",IF($I402&gt;$H402,"Over plan","Under plan"))))</f>
        <v/>
      </c>
      <c r="K402" s="60" t="n"/>
      <c r="L402" s="60" t="n"/>
      <c r="M402" s="60" t="n"/>
      <c r="N402" s="60" t="n"/>
      <c r="O402" s="60" t="n"/>
      <c r="P402" s="62" t="n"/>
      <c r="Q402" s="62" t="n"/>
      <c r="R402" s="60" t="n"/>
      <c r="S402" s="59" t="n"/>
      <c r="T402" s="60" t="n"/>
      <c r="U402" s="59" t="n"/>
      <c r="V402" s="45">
        <f>IF(OR($A402="",$T402="",$T402="No Issue"),"",IF($T402="Resolved",IF($U402="","",$U402-$A402),TODAY()-$A402))</f>
        <v/>
      </c>
      <c r="W402" s="47">
        <f>IF(AND($C402&lt;&gt;"",$C402='Store History'!$C$4,OR('Store History'!$C$5="",$F402='Store History'!$C$5)),1,0)</f>
        <v/>
      </c>
      <c r="X402" s="47">
        <f>IF($W402=1,SUM($W402:$W$1005),"")</f>
        <v/>
      </c>
    </row>
    <row r="403">
      <c r="A403" s="59" t="n"/>
      <c r="B403" s="60" t="n"/>
      <c r="C403" s="60" t="n"/>
      <c r="D403" s="45">
        <f>IF($C403="","",IFERROR(INDEX('Chain Program'!$B$6:$B$120,MATCH($C403,'Chain Program'!$A$6:$A$120,0)),"Unknown ID"))</f>
        <v/>
      </c>
      <c r="E403" s="45">
        <f>IF($C403="","",IFERROR(INDEX('Chain Program'!$D$6:$D$120,MATCH($C403,'Chain Program'!$A$6:$A$120,0)),"Unknown ID"))</f>
        <v/>
      </c>
      <c r="F403" s="60" t="n"/>
      <c r="G403" s="60" t="n"/>
      <c r="H403" s="56">
        <f>IF(OR($C403="",$A403=""),"",IF(COUNTIFS('Promo Calendar'!$A$6:$A$400,$C403,'Promo Calendar'!$D$6:$D$400,IF($G403="","All",$G403),'Promo Calendar'!$I$6:$I$400,"&lt;="&amp;$A403,'Promo Calendar'!$J$6:$J$400,"&gt;="&amp;$A403,'Promo Calendar'!$G$6:$G$400,"&gt;0")&gt;0,_xlfn.MINIFS('Promo Calendar'!$G$6:$G$400,'Promo Calendar'!$A$6:$A$400,$C403,'Promo Calendar'!$D$6:$D$400,IF($G403="","All",$G403),'Promo Calendar'!$I$6:$I$400,"&lt;="&amp;$A403,'Promo Calendar'!$J$6:$J$400,"&gt;="&amp;$A403,'Promo Calendar'!$G$6:$G$400,"&gt;0"),IF(COUNTIFS('Promo Calendar'!$A$6:$A$400,$C403,'Promo Calendar'!$D$6:$D$400,"All",'Promo Calendar'!$I$6:$I$400,"&lt;="&amp;$A403,'Promo Calendar'!$J$6:$J$400,"&gt;="&amp;$A403,'Promo Calendar'!$G$6:$G$400,"&gt;0")&gt;0,_xlfn.MINIFS('Promo Calendar'!$G$6:$G$400,'Promo Calendar'!$A$6:$A$400,$C403,'Promo Calendar'!$D$6:$D$400,"All",'Promo Calendar'!$I$6:$I$400,"&lt;="&amp;$A403,'Promo Calendar'!$J$6:$J$400,"&gt;="&amp;$A403,'Promo Calendar'!$G$6:$G$400,"&gt;0"),IFERROR(IF(INDEX('Chain Program'!$M$6:$M$120,MATCH($C403,'Chain Program'!$A$6:$A$120,0))="","Not set",INDEX('Chain Program'!$M$6:$M$120,MATCH($C403,'Chain Program'!$A$6:$A$120,0))),"Not set"))))</f>
        <v/>
      </c>
      <c r="I403" s="61" t="n"/>
      <c r="J403" s="45">
        <f>IF($I403="","",IF(NOT(ISNUMBER($H403)),"No plan price",IF(ABS($I403-$H403)&lt;0.005,"Match",IF($I403&gt;$H403,"Over plan","Under plan"))))</f>
        <v/>
      </c>
      <c r="K403" s="60" t="n"/>
      <c r="L403" s="60" t="n"/>
      <c r="M403" s="60" t="n"/>
      <c r="N403" s="60" t="n"/>
      <c r="O403" s="60" t="n"/>
      <c r="P403" s="62" t="n"/>
      <c r="Q403" s="62" t="n"/>
      <c r="R403" s="60" t="n"/>
      <c r="S403" s="59" t="n"/>
      <c r="T403" s="60" t="n"/>
      <c r="U403" s="59" t="n"/>
      <c r="V403" s="45">
        <f>IF(OR($A403="",$T403="",$T403="No Issue"),"",IF($T403="Resolved",IF($U403="","",$U403-$A403),TODAY()-$A403))</f>
        <v/>
      </c>
      <c r="W403" s="47">
        <f>IF(AND($C403&lt;&gt;"",$C403='Store History'!$C$4,OR('Store History'!$C$5="",$F403='Store History'!$C$5)),1,0)</f>
        <v/>
      </c>
      <c r="X403" s="47">
        <f>IF($W403=1,SUM($W403:$W$1005),"")</f>
        <v/>
      </c>
    </row>
    <row r="404">
      <c r="A404" s="59" t="n"/>
      <c r="B404" s="60" t="n"/>
      <c r="C404" s="60" t="n"/>
      <c r="D404" s="45">
        <f>IF($C404="","",IFERROR(INDEX('Chain Program'!$B$6:$B$120,MATCH($C404,'Chain Program'!$A$6:$A$120,0)),"Unknown ID"))</f>
        <v/>
      </c>
      <c r="E404" s="45">
        <f>IF($C404="","",IFERROR(INDEX('Chain Program'!$D$6:$D$120,MATCH($C404,'Chain Program'!$A$6:$A$120,0)),"Unknown ID"))</f>
        <v/>
      </c>
      <c r="F404" s="60" t="n"/>
      <c r="G404" s="60" t="n"/>
      <c r="H404" s="56">
        <f>IF(OR($C404="",$A404=""),"",IF(COUNTIFS('Promo Calendar'!$A$6:$A$400,$C404,'Promo Calendar'!$D$6:$D$400,IF($G404="","All",$G404),'Promo Calendar'!$I$6:$I$400,"&lt;="&amp;$A404,'Promo Calendar'!$J$6:$J$400,"&gt;="&amp;$A404,'Promo Calendar'!$G$6:$G$400,"&gt;0")&gt;0,_xlfn.MINIFS('Promo Calendar'!$G$6:$G$400,'Promo Calendar'!$A$6:$A$400,$C404,'Promo Calendar'!$D$6:$D$400,IF($G404="","All",$G404),'Promo Calendar'!$I$6:$I$400,"&lt;="&amp;$A404,'Promo Calendar'!$J$6:$J$400,"&gt;="&amp;$A404,'Promo Calendar'!$G$6:$G$400,"&gt;0"),IF(COUNTIFS('Promo Calendar'!$A$6:$A$400,$C404,'Promo Calendar'!$D$6:$D$400,"All",'Promo Calendar'!$I$6:$I$400,"&lt;="&amp;$A404,'Promo Calendar'!$J$6:$J$400,"&gt;="&amp;$A404,'Promo Calendar'!$G$6:$G$400,"&gt;0")&gt;0,_xlfn.MINIFS('Promo Calendar'!$G$6:$G$400,'Promo Calendar'!$A$6:$A$400,$C404,'Promo Calendar'!$D$6:$D$400,"All",'Promo Calendar'!$I$6:$I$400,"&lt;="&amp;$A404,'Promo Calendar'!$J$6:$J$400,"&gt;="&amp;$A404,'Promo Calendar'!$G$6:$G$400,"&gt;0"),IFERROR(IF(INDEX('Chain Program'!$M$6:$M$120,MATCH($C404,'Chain Program'!$A$6:$A$120,0))="","Not set",INDEX('Chain Program'!$M$6:$M$120,MATCH($C404,'Chain Program'!$A$6:$A$120,0))),"Not set"))))</f>
        <v/>
      </c>
      <c r="I404" s="61" t="n"/>
      <c r="J404" s="45">
        <f>IF($I404="","",IF(NOT(ISNUMBER($H404)),"No plan price",IF(ABS($I404-$H404)&lt;0.005,"Match",IF($I404&gt;$H404,"Over plan","Under plan"))))</f>
        <v/>
      </c>
      <c r="K404" s="60" t="n"/>
      <c r="L404" s="60" t="n"/>
      <c r="M404" s="60" t="n"/>
      <c r="N404" s="60" t="n"/>
      <c r="O404" s="60" t="n"/>
      <c r="P404" s="62" t="n"/>
      <c r="Q404" s="62" t="n"/>
      <c r="R404" s="60" t="n"/>
      <c r="S404" s="59" t="n"/>
      <c r="T404" s="60" t="n"/>
      <c r="U404" s="59" t="n"/>
      <c r="V404" s="45">
        <f>IF(OR($A404="",$T404="",$T404="No Issue"),"",IF($T404="Resolved",IF($U404="","",$U404-$A404),TODAY()-$A404))</f>
        <v/>
      </c>
      <c r="W404" s="47">
        <f>IF(AND($C404&lt;&gt;"",$C404='Store History'!$C$4,OR('Store History'!$C$5="",$F404='Store History'!$C$5)),1,0)</f>
        <v/>
      </c>
      <c r="X404" s="47">
        <f>IF($W404=1,SUM($W404:$W$1005),"")</f>
        <v/>
      </c>
    </row>
    <row r="405">
      <c r="A405" s="59" t="n"/>
      <c r="B405" s="60" t="n"/>
      <c r="C405" s="60" t="n"/>
      <c r="D405" s="45">
        <f>IF($C405="","",IFERROR(INDEX('Chain Program'!$B$6:$B$120,MATCH($C405,'Chain Program'!$A$6:$A$120,0)),"Unknown ID"))</f>
        <v/>
      </c>
      <c r="E405" s="45">
        <f>IF($C405="","",IFERROR(INDEX('Chain Program'!$D$6:$D$120,MATCH($C405,'Chain Program'!$A$6:$A$120,0)),"Unknown ID"))</f>
        <v/>
      </c>
      <c r="F405" s="60" t="n"/>
      <c r="G405" s="60" t="n"/>
      <c r="H405" s="56">
        <f>IF(OR($C405="",$A405=""),"",IF(COUNTIFS('Promo Calendar'!$A$6:$A$400,$C405,'Promo Calendar'!$D$6:$D$400,IF($G405="","All",$G405),'Promo Calendar'!$I$6:$I$400,"&lt;="&amp;$A405,'Promo Calendar'!$J$6:$J$400,"&gt;="&amp;$A405,'Promo Calendar'!$G$6:$G$400,"&gt;0")&gt;0,_xlfn.MINIFS('Promo Calendar'!$G$6:$G$400,'Promo Calendar'!$A$6:$A$400,$C405,'Promo Calendar'!$D$6:$D$400,IF($G405="","All",$G405),'Promo Calendar'!$I$6:$I$400,"&lt;="&amp;$A405,'Promo Calendar'!$J$6:$J$400,"&gt;="&amp;$A405,'Promo Calendar'!$G$6:$G$400,"&gt;0"),IF(COUNTIFS('Promo Calendar'!$A$6:$A$400,$C405,'Promo Calendar'!$D$6:$D$400,"All",'Promo Calendar'!$I$6:$I$400,"&lt;="&amp;$A405,'Promo Calendar'!$J$6:$J$400,"&gt;="&amp;$A405,'Promo Calendar'!$G$6:$G$400,"&gt;0")&gt;0,_xlfn.MINIFS('Promo Calendar'!$G$6:$G$400,'Promo Calendar'!$A$6:$A$400,$C405,'Promo Calendar'!$D$6:$D$400,"All",'Promo Calendar'!$I$6:$I$400,"&lt;="&amp;$A405,'Promo Calendar'!$J$6:$J$400,"&gt;="&amp;$A405,'Promo Calendar'!$G$6:$G$400,"&gt;0"),IFERROR(IF(INDEX('Chain Program'!$M$6:$M$120,MATCH($C405,'Chain Program'!$A$6:$A$120,0))="","Not set",INDEX('Chain Program'!$M$6:$M$120,MATCH($C405,'Chain Program'!$A$6:$A$120,0))),"Not set"))))</f>
        <v/>
      </c>
      <c r="I405" s="61" t="n"/>
      <c r="J405" s="45">
        <f>IF($I405="","",IF(NOT(ISNUMBER($H405)),"No plan price",IF(ABS($I405-$H405)&lt;0.005,"Match",IF($I405&gt;$H405,"Over plan","Under plan"))))</f>
        <v/>
      </c>
      <c r="K405" s="60" t="n"/>
      <c r="L405" s="60" t="n"/>
      <c r="M405" s="60" t="n"/>
      <c r="N405" s="60" t="n"/>
      <c r="O405" s="60" t="n"/>
      <c r="P405" s="62" t="n"/>
      <c r="Q405" s="62" t="n"/>
      <c r="R405" s="60" t="n"/>
      <c r="S405" s="59" t="n"/>
      <c r="T405" s="60" t="n"/>
      <c r="U405" s="59" t="n"/>
      <c r="V405" s="45">
        <f>IF(OR($A405="",$T405="",$T405="No Issue"),"",IF($T405="Resolved",IF($U405="","",$U405-$A405),TODAY()-$A405))</f>
        <v/>
      </c>
      <c r="W405" s="47">
        <f>IF(AND($C405&lt;&gt;"",$C405='Store History'!$C$4,OR('Store History'!$C$5="",$F405='Store History'!$C$5)),1,0)</f>
        <v/>
      </c>
      <c r="X405" s="47">
        <f>IF($W405=1,SUM($W405:$W$1005),"")</f>
        <v/>
      </c>
    </row>
    <row r="406">
      <c r="A406" s="59" t="n"/>
      <c r="B406" s="60" t="n"/>
      <c r="C406" s="60" t="n"/>
      <c r="D406" s="45">
        <f>IF($C406="","",IFERROR(INDEX('Chain Program'!$B$6:$B$120,MATCH($C406,'Chain Program'!$A$6:$A$120,0)),"Unknown ID"))</f>
        <v/>
      </c>
      <c r="E406" s="45">
        <f>IF($C406="","",IFERROR(INDEX('Chain Program'!$D$6:$D$120,MATCH($C406,'Chain Program'!$A$6:$A$120,0)),"Unknown ID"))</f>
        <v/>
      </c>
      <c r="F406" s="60" t="n"/>
      <c r="G406" s="60" t="n"/>
      <c r="H406" s="56">
        <f>IF(OR($C406="",$A406=""),"",IF(COUNTIFS('Promo Calendar'!$A$6:$A$400,$C406,'Promo Calendar'!$D$6:$D$400,IF($G406="","All",$G406),'Promo Calendar'!$I$6:$I$400,"&lt;="&amp;$A406,'Promo Calendar'!$J$6:$J$400,"&gt;="&amp;$A406,'Promo Calendar'!$G$6:$G$400,"&gt;0")&gt;0,_xlfn.MINIFS('Promo Calendar'!$G$6:$G$400,'Promo Calendar'!$A$6:$A$400,$C406,'Promo Calendar'!$D$6:$D$400,IF($G406="","All",$G406),'Promo Calendar'!$I$6:$I$400,"&lt;="&amp;$A406,'Promo Calendar'!$J$6:$J$400,"&gt;="&amp;$A406,'Promo Calendar'!$G$6:$G$400,"&gt;0"),IF(COUNTIFS('Promo Calendar'!$A$6:$A$400,$C406,'Promo Calendar'!$D$6:$D$400,"All",'Promo Calendar'!$I$6:$I$400,"&lt;="&amp;$A406,'Promo Calendar'!$J$6:$J$400,"&gt;="&amp;$A406,'Promo Calendar'!$G$6:$G$400,"&gt;0")&gt;0,_xlfn.MINIFS('Promo Calendar'!$G$6:$G$400,'Promo Calendar'!$A$6:$A$400,$C406,'Promo Calendar'!$D$6:$D$400,"All",'Promo Calendar'!$I$6:$I$400,"&lt;="&amp;$A406,'Promo Calendar'!$J$6:$J$400,"&gt;="&amp;$A406,'Promo Calendar'!$G$6:$G$400,"&gt;0"),IFERROR(IF(INDEX('Chain Program'!$M$6:$M$120,MATCH($C406,'Chain Program'!$A$6:$A$120,0))="","Not set",INDEX('Chain Program'!$M$6:$M$120,MATCH($C406,'Chain Program'!$A$6:$A$120,0))),"Not set"))))</f>
        <v/>
      </c>
      <c r="I406" s="61" t="n"/>
      <c r="J406" s="45">
        <f>IF($I406="","",IF(NOT(ISNUMBER($H406)),"No plan price",IF(ABS($I406-$H406)&lt;0.005,"Match",IF($I406&gt;$H406,"Over plan","Under plan"))))</f>
        <v/>
      </c>
      <c r="K406" s="60" t="n"/>
      <c r="L406" s="60" t="n"/>
      <c r="M406" s="60" t="n"/>
      <c r="N406" s="60" t="n"/>
      <c r="O406" s="60" t="n"/>
      <c r="P406" s="62" t="n"/>
      <c r="Q406" s="62" t="n"/>
      <c r="R406" s="60" t="n"/>
      <c r="S406" s="59" t="n"/>
      <c r="T406" s="60" t="n"/>
      <c r="U406" s="59" t="n"/>
      <c r="V406" s="45">
        <f>IF(OR($A406="",$T406="",$T406="No Issue"),"",IF($T406="Resolved",IF($U406="","",$U406-$A406),TODAY()-$A406))</f>
        <v/>
      </c>
      <c r="W406" s="47">
        <f>IF(AND($C406&lt;&gt;"",$C406='Store History'!$C$4,OR('Store History'!$C$5="",$F406='Store History'!$C$5)),1,0)</f>
        <v/>
      </c>
      <c r="X406" s="47">
        <f>IF($W406=1,SUM($W406:$W$1005),"")</f>
        <v/>
      </c>
    </row>
    <row r="407">
      <c r="A407" s="59" t="n"/>
      <c r="B407" s="60" t="n"/>
      <c r="C407" s="60" t="n"/>
      <c r="D407" s="45">
        <f>IF($C407="","",IFERROR(INDEX('Chain Program'!$B$6:$B$120,MATCH($C407,'Chain Program'!$A$6:$A$120,0)),"Unknown ID"))</f>
        <v/>
      </c>
      <c r="E407" s="45">
        <f>IF($C407="","",IFERROR(INDEX('Chain Program'!$D$6:$D$120,MATCH($C407,'Chain Program'!$A$6:$A$120,0)),"Unknown ID"))</f>
        <v/>
      </c>
      <c r="F407" s="60" t="n"/>
      <c r="G407" s="60" t="n"/>
      <c r="H407" s="56">
        <f>IF(OR($C407="",$A407=""),"",IF(COUNTIFS('Promo Calendar'!$A$6:$A$400,$C407,'Promo Calendar'!$D$6:$D$400,IF($G407="","All",$G407),'Promo Calendar'!$I$6:$I$400,"&lt;="&amp;$A407,'Promo Calendar'!$J$6:$J$400,"&gt;="&amp;$A407,'Promo Calendar'!$G$6:$G$400,"&gt;0")&gt;0,_xlfn.MINIFS('Promo Calendar'!$G$6:$G$400,'Promo Calendar'!$A$6:$A$400,$C407,'Promo Calendar'!$D$6:$D$400,IF($G407="","All",$G407),'Promo Calendar'!$I$6:$I$400,"&lt;="&amp;$A407,'Promo Calendar'!$J$6:$J$400,"&gt;="&amp;$A407,'Promo Calendar'!$G$6:$G$400,"&gt;0"),IF(COUNTIFS('Promo Calendar'!$A$6:$A$400,$C407,'Promo Calendar'!$D$6:$D$400,"All",'Promo Calendar'!$I$6:$I$400,"&lt;="&amp;$A407,'Promo Calendar'!$J$6:$J$400,"&gt;="&amp;$A407,'Promo Calendar'!$G$6:$G$400,"&gt;0")&gt;0,_xlfn.MINIFS('Promo Calendar'!$G$6:$G$400,'Promo Calendar'!$A$6:$A$400,$C407,'Promo Calendar'!$D$6:$D$400,"All",'Promo Calendar'!$I$6:$I$400,"&lt;="&amp;$A407,'Promo Calendar'!$J$6:$J$400,"&gt;="&amp;$A407,'Promo Calendar'!$G$6:$G$400,"&gt;0"),IFERROR(IF(INDEX('Chain Program'!$M$6:$M$120,MATCH($C407,'Chain Program'!$A$6:$A$120,0))="","Not set",INDEX('Chain Program'!$M$6:$M$120,MATCH($C407,'Chain Program'!$A$6:$A$120,0))),"Not set"))))</f>
        <v/>
      </c>
      <c r="I407" s="61" t="n"/>
      <c r="J407" s="45">
        <f>IF($I407="","",IF(NOT(ISNUMBER($H407)),"No plan price",IF(ABS($I407-$H407)&lt;0.005,"Match",IF($I407&gt;$H407,"Over plan","Under plan"))))</f>
        <v/>
      </c>
      <c r="K407" s="60" t="n"/>
      <c r="L407" s="60" t="n"/>
      <c r="M407" s="60" t="n"/>
      <c r="N407" s="60" t="n"/>
      <c r="O407" s="60" t="n"/>
      <c r="P407" s="62" t="n"/>
      <c r="Q407" s="62" t="n"/>
      <c r="R407" s="60" t="n"/>
      <c r="S407" s="59" t="n"/>
      <c r="T407" s="60" t="n"/>
      <c r="U407" s="59" t="n"/>
      <c r="V407" s="45">
        <f>IF(OR($A407="",$T407="",$T407="No Issue"),"",IF($T407="Resolved",IF($U407="","",$U407-$A407),TODAY()-$A407))</f>
        <v/>
      </c>
      <c r="W407" s="47">
        <f>IF(AND($C407&lt;&gt;"",$C407='Store History'!$C$4,OR('Store History'!$C$5="",$F407='Store History'!$C$5)),1,0)</f>
        <v/>
      </c>
      <c r="X407" s="47">
        <f>IF($W407=1,SUM($W407:$W$1005),"")</f>
        <v/>
      </c>
    </row>
    <row r="408">
      <c r="A408" s="59" t="n"/>
      <c r="B408" s="60" t="n"/>
      <c r="C408" s="60" t="n"/>
      <c r="D408" s="45">
        <f>IF($C408="","",IFERROR(INDEX('Chain Program'!$B$6:$B$120,MATCH($C408,'Chain Program'!$A$6:$A$120,0)),"Unknown ID"))</f>
        <v/>
      </c>
      <c r="E408" s="45">
        <f>IF($C408="","",IFERROR(INDEX('Chain Program'!$D$6:$D$120,MATCH($C408,'Chain Program'!$A$6:$A$120,0)),"Unknown ID"))</f>
        <v/>
      </c>
      <c r="F408" s="60" t="n"/>
      <c r="G408" s="60" t="n"/>
      <c r="H408" s="56">
        <f>IF(OR($C408="",$A408=""),"",IF(COUNTIFS('Promo Calendar'!$A$6:$A$400,$C408,'Promo Calendar'!$D$6:$D$400,IF($G408="","All",$G408),'Promo Calendar'!$I$6:$I$400,"&lt;="&amp;$A408,'Promo Calendar'!$J$6:$J$400,"&gt;="&amp;$A408,'Promo Calendar'!$G$6:$G$400,"&gt;0")&gt;0,_xlfn.MINIFS('Promo Calendar'!$G$6:$G$400,'Promo Calendar'!$A$6:$A$400,$C408,'Promo Calendar'!$D$6:$D$400,IF($G408="","All",$G408),'Promo Calendar'!$I$6:$I$400,"&lt;="&amp;$A408,'Promo Calendar'!$J$6:$J$400,"&gt;="&amp;$A408,'Promo Calendar'!$G$6:$G$400,"&gt;0"),IF(COUNTIFS('Promo Calendar'!$A$6:$A$400,$C408,'Promo Calendar'!$D$6:$D$400,"All",'Promo Calendar'!$I$6:$I$400,"&lt;="&amp;$A408,'Promo Calendar'!$J$6:$J$400,"&gt;="&amp;$A408,'Promo Calendar'!$G$6:$G$400,"&gt;0")&gt;0,_xlfn.MINIFS('Promo Calendar'!$G$6:$G$400,'Promo Calendar'!$A$6:$A$400,$C408,'Promo Calendar'!$D$6:$D$400,"All",'Promo Calendar'!$I$6:$I$400,"&lt;="&amp;$A408,'Promo Calendar'!$J$6:$J$400,"&gt;="&amp;$A408,'Promo Calendar'!$G$6:$G$400,"&gt;0"),IFERROR(IF(INDEX('Chain Program'!$M$6:$M$120,MATCH($C408,'Chain Program'!$A$6:$A$120,0))="","Not set",INDEX('Chain Program'!$M$6:$M$120,MATCH($C408,'Chain Program'!$A$6:$A$120,0))),"Not set"))))</f>
        <v/>
      </c>
      <c r="I408" s="61" t="n"/>
      <c r="J408" s="45">
        <f>IF($I408="","",IF(NOT(ISNUMBER($H408)),"No plan price",IF(ABS($I408-$H408)&lt;0.005,"Match",IF($I408&gt;$H408,"Over plan","Under plan"))))</f>
        <v/>
      </c>
      <c r="K408" s="60" t="n"/>
      <c r="L408" s="60" t="n"/>
      <c r="M408" s="60" t="n"/>
      <c r="N408" s="60" t="n"/>
      <c r="O408" s="60" t="n"/>
      <c r="P408" s="62" t="n"/>
      <c r="Q408" s="62" t="n"/>
      <c r="R408" s="60" t="n"/>
      <c r="S408" s="59" t="n"/>
      <c r="T408" s="60" t="n"/>
      <c r="U408" s="59" t="n"/>
      <c r="V408" s="45">
        <f>IF(OR($A408="",$T408="",$T408="No Issue"),"",IF($T408="Resolved",IF($U408="","",$U408-$A408),TODAY()-$A408))</f>
        <v/>
      </c>
      <c r="W408" s="47">
        <f>IF(AND($C408&lt;&gt;"",$C408='Store History'!$C$4,OR('Store History'!$C$5="",$F408='Store History'!$C$5)),1,0)</f>
        <v/>
      </c>
      <c r="X408" s="47">
        <f>IF($W408=1,SUM($W408:$W$1005),"")</f>
        <v/>
      </c>
    </row>
    <row r="409">
      <c r="A409" s="59" t="n"/>
      <c r="B409" s="60" t="n"/>
      <c r="C409" s="60" t="n"/>
      <c r="D409" s="45">
        <f>IF($C409="","",IFERROR(INDEX('Chain Program'!$B$6:$B$120,MATCH($C409,'Chain Program'!$A$6:$A$120,0)),"Unknown ID"))</f>
        <v/>
      </c>
      <c r="E409" s="45">
        <f>IF($C409="","",IFERROR(INDEX('Chain Program'!$D$6:$D$120,MATCH($C409,'Chain Program'!$A$6:$A$120,0)),"Unknown ID"))</f>
        <v/>
      </c>
      <c r="F409" s="60" t="n"/>
      <c r="G409" s="60" t="n"/>
      <c r="H409" s="56">
        <f>IF(OR($C409="",$A409=""),"",IF(COUNTIFS('Promo Calendar'!$A$6:$A$400,$C409,'Promo Calendar'!$D$6:$D$400,IF($G409="","All",$G409),'Promo Calendar'!$I$6:$I$400,"&lt;="&amp;$A409,'Promo Calendar'!$J$6:$J$400,"&gt;="&amp;$A409,'Promo Calendar'!$G$6:$G$400,"&gt;0")&gt;0,_xlfn.MINIFS('Promo Calendar'!$G$6:$G$400,'Promo Calendar'!$A$6:$A$400,$C409,'Promo Calendar'!$D$6:$D$400,IF($G409="","All",$G409),'Promo Calendar'!$I$6:$I$400,"&lt;="&amp;$A409,'Promo Calendar'!$J$6:$J$400,"&gt;="&amp;$A409,'Promo Calendar'!$G$6:$G$400,"&gt;0"),IF(COUNTIFS('Promo Calendar'!$A$6:$A$400,$C409,'Promo Calendar'!$D$6:$D$400,"All",'Promo Calendar'!$I$6:$I$400,"&lt;="&amp;$A409,'Promo Calendar'!$J$6:$J$400,"&gt;="&amp;$A409,'Promo Calendar'!$G$6:$G$400,"&gt;0")&gt;0,_xlfn.MINIFS('Promo Calendar'!$G$6:$G$400,'Promo Calendar'!$A$6:$A$400,$C409,'Promo Calendar'!$D$6:$D$400,"All",'Promo Calendar'!$I$6:$I$400,"&lt;="&amp;$A409,'Promo Calendar'!$J$6:$J$400,"&gt;="&amp;$A409,'Promo Calendar'!$G$6:$G$400,"&gt;0"),IFERROR(IF(INDEX('Chain Program'!$M$6:$M$120,MATCH($C409,'Chain Program'!$A$6:$A$120,0))="","Not set",INDEX('Chain Program'!$M$6:$M$120,MATCH($C409,'Chain Program'!$A$6:$A$120,0))),"Not set"))))</f>
        <v/>
      </c>
      <c r="I409" s="61" t="n"/>
      <c r="J409" s="45">
        <f>IF($I409="","",IF(NOT(ISNUMBER($H409)),"No plan price",IF(ABS($I409-$H409)&lt;0.005,"Match",IF($I409&gt;$H409,"Over plan","Under plan"))))</f>
        <v/>
      </c>
      <c r="K409" s="60" t="n"/>
      <c r="L409" s="60" t="n"/>
      <c r="M409" s="60" t="n"/>
      <c r="N409" s="60" t="n"/>
      <c r="O409" s="60" t="n"/>
      <c r="P409" s="62" t="n"/>
      <c r="Q409" s="62" t="n"/>
      <c r="R409" s="60" t="n"/>
      <c r="S409" s="59" t="n"/>
      <c r="T409" s="60" t="n"/>
      <c r="U409" s="59" t="n"/>
      <c r="V409" s="45">
        <f>IF(OR($A409="",$T409="",$T409="No Issue"),"",IF($T409="Resolved",IF($U409="","",$U409-$A409),TODAY()-$A409))</f>
        <v/>
      </c>
      <c r="W409" s="47">
        <f>IF(AND($C409&lt;&gt;"",$C409='Store History'!$C$4,OR('Store History'!$C$5="",$F409='Store History'!$C$5)),1,0)</f>
        <v/>
      </c>
      <c r="X409" s="47">
        <f>IF($W409=1,SUM($W409:$W$1005),"")</f>
        <v/>
      </c>
    </row>
    <row r="410">
      <c r="A410" s="59" t="n"/>
      <c r="B410" s="60" t="n"/>
      <c r="C410" s="60" t="n"/>
      <c r="D410" s="45">
        <f>IF($C410="","",IFERROR(INDEX('Chain Program'!$B$6:$B$120,MATCH($C410,'Chain Program'!$A$6:$A$120,0)),"Unknown ID"))</f>
        <v/>
      </c>
      <c r="E410" s="45">
        <f>IF($C410="","",IFERROR(INDEX('Chain Program'!$D$6:$D$120,MATCH($C410,'Chain Program'!$A$6:$A$120,0)),"Unknown ID"))</f>
        <v/>
      </c>
      <c r="F410" s="60" t="n"/>
      <c r="G410" s="60" t="n"/>
      <c r="H410" s="56">
        <f>IF(OR($C410="",$A410=""),"",IF(COUNTIFS('Promo Calendar'!$A$6:$A$400,$C410,'Promo Calendar'!$D$6:$D$400,IF($G410="","All",$G410),'Promo Calendar'!$I$6:$I$400,"&lt;="&amp;$A410,'Promo Calendar'!$J$6:$J$400,"&gt;="&amp;$A410,'Promo Calendar'!$G$6:$G$400,"&gt;0")&gt;0,_xlfn.MINIFS('Promo Calendar'!$G$6:$G$400,'Promo Calendar'!$A$6:$A$400,$C410,'Promo Calendar'!$D$6:$D$400,IF($G410="","All",$G410),'Promo Calendar'!$I$6:$I$400,"&lt;="&amp;$A410,'Promo Calendar'!$J$6:$J$400,"&gt;="&amp;$A410,'Promo Calendar'!$G$6:$G$400,"&gt;0"),IF(COUNTIFS('Promo Calendar'!$A$6:$A$400,$C410,'Promo Calendar'!$D$6:$D$400,"All",'Promo Calendar'!$I$6:$I$400,"&lt;="&amp;$A410,'Promo Calendar'!$J$6:$J$400,"&gt;="&amp;$A410,'Promo Calendar'!$G$6:$G$400,"&gt;0")&gt;0,_xlfn.MINIFS('Promo Calendar'!$G$6:$G$400,'Promo Calendar'!$A$6:$A$400,$C410,'Promo Calendar'!$D$6:$D$400,"All",'Promo Calendar'!$I$6:$I$400,"&lt;="&amp;$A410,'Promo Calendar'!$J$6:$J$400,"&gt;="&amp;$A410,'Promo Calendar'!$G$6:$G$400,"&gt;0"),IFERROR(IF(INDEX('Chain Program'!$M$6:$M$120,MATCH($C410,'Chain Program'!$A$6:$A$120,0))="","Not set",INDEX('Chain Program'!$M$6:$M$120,MATCH($C410,'Chain Program'!$A$6:$A$120,0))),"Not set"))))</f>
        <v/>
      </c>
      <c r="I410" s="61" t="n"/>
      <c r="J410" s="45">
        <f>IF($I410="","",IF(NOT(ISNUMBER($H410)),"No plan price",IF(ABS($I410-$H410)&lt;0.005,"Match",IF($I410&gt;$H410,"Over plan","Under plan"))))</f>
        <v/>
      </c>
      <c r="K410" s="60" t="n"/>
      <c r="L410" s="60" t="n"/>
      <c r="M410" s="60" t="n"/>
      <c r="N410" s="60" t="n"/>
      <c r="O410" s="60" t="n"/>
      <c r="P410" s="62" t="n"/>
      <c r="Q410" s="62" t="n"/>
      <c r="R410" s="60" t="n"/>
      <c r="S410" s="59" t="n"/>
      <c r="T410" s="60" t="n"/>
      <c r="U410" s="59" t="n"/>
      <c r="V410" s="45">
        <f>IF(OR($A410="",$T410="",$T410="No Issue"),"",IF($T410="Resolved",IF($U410="","",$U410-$A410),TODAY()-$A410))</f>
        <v/>
      </c>
      <c r="W410" s="47">
        <f>IF(AND($C410&lt;&gt;"",$C410='Store History'!$C$4,OR('Store History'!$C$5="",$F410='Store History'!$C$5)),1,0)</f>
        <v/>
      </c>
      <c r="X410" s="47">
        <f>IF($W410=1,SUM($W410:$W$1005),"")</f>
        <v/>
      </c>
    </row>
    <row r="411">
      <c r="A411" s="59" t="n"/>
      <c r="B411" s="60" t="n"/>
      <c r="C411" s="60" t="n"/>
      <c r="D411" s="45">
        <f>IF($C411="","",IFERROR(INDEX('Chain Program'!$B$6:$B$120,MATCH($C411,'Chain Program'!$A$6:$A$120,0)),"Unknown ID"))</f>
        <v/>
      </c>
      <c r="E411" s="45">
        <f>IF($C411="","",IFERROR(INDEX('Chain Program'!$D$6:$D$120,MATCH($C411,'Chain Program'!$A$6:$A$120,0)),"Unknown ID"))</f>
        <v/>
      </c>
      <c r="F411" s="60" t="n"/>
      <c r="G411" s="60" t="n"/>
      <c r="H411" s="56">
        <f>IF(OR($C411="",$A411=""),"",IF(COUNTIFS('Promo Calendar'!$A$6:$A$400,$C411,'Promo Calendar'!$D$6:$D$400,IF($G411="","All",$G411),'Promo Calendar'!$I$6:$I$400,"&lt;="&amp;$A411,'Promo Calendar'!$J$6:$J$400,"&gt;="&amp;$A411,'Promo Calendar'!$G$6:$G$400,"&gt;0")&gt;0,_xlfn.MINIFS('Promo Calendar'!$G$6:$G$400,'Promo Calendar'!$A$6:$A$400,$C411,'Promo Calendar'!$D$6:$D$400,IF($G411="","All",$G411),'Promo Calendar'!$I$6:$I$400,"&lt;="&amp;$A411,'Promo Calendar'!$J$6:$J$400,"&gt;="&amp;$A411,'Promo Calendar'!$G$6:$G$400,"&gt;0"),IF(COUNTIFS('Promo Calendar'!$A$6:$A$400,$C411,'Promo Calendar'!$D$6:$D$400,"All",'Promo Calendar'!$I$6:$I$400,"&lt;="&amp;$A411,'Promo Calendar'!$J$6:$J$400,"&gt;="&amp;$A411,'Promo Calendar'!$G$6:$G$400,"&gt;0")&gt;0,_xlfn.MINIFS('Promo Calendar'!$G$6:$G$400,'Promo Calendar'!$A$6:$A$400,$C411,'Promo Calendar'!$D$6:$D$400,"All",'Promo Calendar'!$I$6:$I$400,"&lt;="&amp;$A411,'Promo Calendar'!$J$6:$J$400,"&gt;="&amp;$A411,'Promo Calendar'!$G$6:$G$400,"&gt;0"),IFERROR(IF(INDEX('Chain Program'!$M$6:$M$120,MATCH($C411,'Chain Program'!$A$6:$A$120,0))="","Not set",INDEX('Chain Program'!$M$6:$M$120,MATCH($C411,'Chain Program'!$A$6:$A$120,0))),"Not set"))))</f>
        <v/>
      </c>
      <c r="I411" s="61" t="n"/>
      <c r="J411" s="45">
        <f>IF($I411="","",IF(NOT(ISNUMBER($H411)),"No plan price",IF(ABS($I411-$H411)&lt;0.005,"Match",IF($I411&gt;$H411,"Over plan","Under plan"))))</f>
        <v/>
      </c>
      <c r="K411" s="60" t="n"/>
      <c r="L411" s="60" t="n"/>
      <c r="M411" s="60" t="n"/>
      <c r="N411" s="60" t="n"/>
      <c r="O411" s="60" t="n"/>
      <c r="P411" s="62" t="n"/>
      <c r="Q411" s="62" t="n"/>
      <c r="R411" s="60" t="n"/>
      <c r="S411" s="59" t="n"/>
      <c r="T411" s="60" t="n"/>
      <c r="U411" s="59" t="n"/>
      <c r="V411" s="45">
        <f>IF(OR($A411="",$T411="",$T411="No Issue"),"",IF($T411="Resolved",IF($U411="","",$U411-$A411),TODAY()-$A411))</f>
        <v/>
      </c>
      <c r="W411" s="47">
        <f>IF(AND($C411&lt;&gt;"",$C411='Store History'!$C$4,OR('Store History'!$C$5="",$F411='Store History'!$C$5)),1,0)</f>
        <v/>
      </c>
      <c r="X411" s="47">
        <f>IF($W411=1,SUM($W411:$W$1005),"")</f>
        <v/>
      </c>
    </row>
    <row r="412">
      <c r="A412" s="59" t="n"/>
      <c r="B412" s="60" t="n"/>
      <c r="C412" s="60" t="n"/>
      <c r="D412" s="45">
        <f>IF($C412="","",IFERROR(INDEX('Chain Program'!$B$6:$B$120,MATCH($C412,'Chain Program'!$A$6:$A$120,0)),"Unknown ID"))</f>
        <v/>
      </c>
      <c r="E412" s="45">
        <f>IF($C412="","",IFERROR(INDEX('Chain Program'!$D$6:$D$120,MATCH($C412,'Chain Program'!$A$6:$A$120,0)),"Unknown ID"))</f>
        <v/>
      </c>
      <c r="F412" s="60" t="n"/>
      <c r="G412" s="60" t="n"/>
      <c r="H412" s="56">
        <f>IF(OR($C412="",$A412=""),"",IF(COUNTIFS('Promo Calendar'!$A$6:$A$400,$C412,'Promo Calendar'!$D$6:$D$400,IF($G412="","All",$G412),'Promo Calendar'!$I$6:$I$400,"&lt;="&amp;$A412,'Promo Calendar'!$J$6:$J$400,"&gt;="&amp;$A412,'Promo Calendar'!$G$6:$G$400,"&gt;0")&gt;0,_xlfn.MINIFS('Promo Calendar'!$G$6:$G$400,'Promo Calendar'!$A$6:$A$400,$C412,'Promo Calendar'!$D$6:$D$400,IF($G412="","All",$G412),'Promo Calendar'!$I$6:$I$400,"&lt;="&amp;$A412,'Promo Calendar'!$J$6:$J$400,"&gt;="&amp;$A412,'Promo Calendar'!$G$6:$G$400,"&gt;0"),IF(COUNTIFS('Promo Calendar'!$A$6:$A$400,$C412,'Promo Calendar'!$D$6:$D$400,"All",'Promo Calendar'!$I$6:$I$400,"&lt;="&amp;$A412,'Promo Calendar'!$J$6:$J$400,"&gt;="&amp;$A412,'Promo Calendar'!$G$6:$G$400,"&gt;0")&gt;0,_xlfn.MINIFS('Promo Calendar'!$G$6:$G$400,'Promo Calendar'!$A$6:$A$400,$C412,'Promo Calendar'!$D$6:$D$400,"All",'Promo Calendar'!$I$6:$I$400,"&lt;="&amp;$A412,'Promo Calendar'!$J$6:$J$400,"&gt;="&amp;$A412,'Promo Calendar'!$G$6:$G$400,"&gt;0"),IFERROR(IF(INDEX('Chain Program'!$M$6:$M$120,MATCH($C412,'Chain Program'!$A$6:$A$120,0))="","Not set",INDEX('Chain Program'!$M$6:$M$120,MATCH($C412,'Chain Program'!$A$6:$A$120,0))),"Not set"))))</f>
        <v/>
      </c>
      <c r="I412" s="61" t="n"/>
      <c r="J412" s="45">
        <f>IF($I412="","",IF(NOT(ISNUMBER($H412)),"No plan price",IF(ABS($I412-$H412)&lt;0.005,"Match",IF($I412&gt;$H412,"Over plan","Under plan"))))</f>
        <v/>
      </c>
      <c r="K412" s="60" t="n"/>
      <c r="L412" s="60" t="n"/>
      <c r="M412" s="60" t="n"/>
      <c r="N412" s="60" t="n"/>
      <c r="O412" s="60" t="n"/>
      <c r="P412" s="62" t="n"/>
      <c r="Q412" s="62" t="n"/>
      <c r="R412" s="60" t="n"/>
      <c r="S412" s="59" t="n"/>
      <c r="T412" s="60" t="n"/>
      <c r="U412" s="59" t="n"/>
      <c r="V412" s="45">
        <f>IF(OR($A412="",$T412="",$T412="No Issue"),"",IF($T412="Resolved",IF($U412="","",$U412-$A412),TODAY()-$A412))</f>
        <v/>
      </c>
      <c r="W412" s="47">
        <f>IF(AND($C412&lt;&gt;"",$C412='Store History'!$C$4,OR('Store History'!$C$5="",$F412='Store History'!$C$5)),1,0)</f>
        <v/>
      </c>
      <c r="X412" s="47">
        <f>IF($W412=1,SUM($W412:$W$1005),"")</f>
        <v/>
      </c>
    </row>
    <row r="413">
      <c r="A413" s="59" t="n"/>
      <c r="B413" s="60" t="n"/>
      <c r="C413" s="60" t="n"/>
      <c r="D413" s="45">
        <f>IF($C413="","",IFERROR(INDEX('Chain Program'!$B$6:$B$120,MATCH($C413,'Chain Program'!$A$6:$A$120,0)),"Unknown ID"))</f>
        <v/>
      </c>
      <c r="E413" s="45">
        <f>IF($C413="","",IFERROR(INDEX('Chain Program'!$D$6:$D$120,MATCH($C413,'Chain Program'!$A$6:$A$120,0)),"Unknown ID"))</f>
        <v/>
      </c>
      <c r="F413" s="60" t="n"/>
      <c r="G413" s="60" t="n"/>
      <c r="H413" s="56">
        <f>IF(OR($C413="",$A413=""),"",IF(COUNTIFS('Promo Calendar'!$A$6:$A$400,$C413,'Promo Calendar'!$D$6:$D$400,IF($G413="","All",$G413),'Promo Calendar'!$I$6:$I$400,"&lt;="&amp;$A413,'Promo Calendar'!$J$6:$J$400,"&gt;="&amp;$A413,'Promo Calendar'!$G$6:$G$400,"&gt;0")&gt;0,_xlfn.MINIFS('Promo Calendar'!$G$6:$G$400,'Promo Calendar'!$A$6:$A$400,$C413,'Promo Calendar'!$D$6:$D$400,IF($G413="","All",$G413),'Promo Calendar'!$I$6:$I$400,"&lt;="&amp;$A413,'Promo Calendar'!$J$6:$J$400,"&gt;="&amp;$A413,'Promo Calendar'!$G$6:$G$400,"&gt;0"),IF(COUNTIFS('Promo Calendar'!$A$6:$A$400,$C413,'Promo Calendar'!$D$6:$D$400,"All",'Promo Calendar'!$I$6:$I$400,"&lt;="&amp;$A413,'Promo Calendar'!$J$6:$J$400,"&gt;="&amp;$A413,'Promo Calendar'!$G$6:$G$400,"&gt;0")&gt;0,_xlfn.MINIFS('Promo Calendar'!$G$6:$G$400,'Promo Calendar'!$A$6:$A$400,$C413,'Promo Calendar'!$D$6:$D$400,"All",'Promo Calendar'!$I$6:$I$400,"&lt;="&amp;$A413,'Promo Calendar'!$J$6:$J$400,"&gt;="&amp;$A413,'Promo Calendar'!$G$6:$G$400,"&gt;0"),IFERROR(IF(INDEX('Chain Program'!$M$6:$M$120,MATCH($C413,'Chain Program'!$A$6:$A$120,0))="","Not set",INDEX('Chain Program'!$M$6:$M$120,MATCH($C413,'Chain Program'!$A$6:$A$120,0))),"Not set"))))</f>
        <v/>
      </c>
      <c r="I413" s="61" t="n"/>
      <c r="J413" s="45">
        <f>IF($I413="","",IF(NOT(ISNUMBER($H413)),"No plan price",IF(ABS($I413-$H413)&lt;0.005,"Match",IF($I413&gt;$H413,"Over plan","Under plan"))))</f>
        <v/>
      </c>
      <c r="K413" s="60" t="n"/>
      <c r="L413" s="60" t="n"/>
      <c r="M413" s="60" t="n"/>
      <c r="N413" s="60" t="n"/>
      <c r="O413" s="60" t="n"/>
      <c r="P413" s="62" t="n"/>
      <c r="Q413" s="62" t="n"/>
      <c r="R413" s="60" t="n"/>
      <c r="S413" s="59" t="n"/>
      <c r="T413" s="60" t="n"/>
      <c r="U413" s="59" t="n"/>
      <c r="V413" s="45">
        <f>IF(OR($A413="",$T413="",$T413="No Issue"),"",IF($T413="Resolved",IF($U413="","",$U413-$A413),TODAY()-$A413))</f>
        <v/>
      </c>
      <c r="W413" s="47">
        <f>IF(AND($C413&lt;&gt;"",$C413='Store History'!$C$4,OR('Store History'!$C$5="",$F413='Store History'!$C$5)),1,0)</f>
        <v/>
      </c>
      <c r="X413" s="47">
        <f>IF($W413=1,SUM($W413:$W$1005),"")</f>
        <v/>
      </c>
    </row>
    <row r="414">
      <c r="A414" s="59" t="n"/>
      <c r="B414" s="60" t="n"/>
      <c r="C414" s="60" t="n"/>
      <c r="D414" s="45">
        <f>IF($C414="","",IFERROR(INDEX('Chain Program'!$B$6:$B$120,MATCH($C414,'Chain Program'!$A$6:$A$120,0)),"Unknown ID"))</f>
        <v/>
      </c>
      <c r="E414" s="45">
        <f>IF($C414="","",IFERROR(INDEX('Chain Program'!$D$6:$D$120,MATCH($C414,'Chain Program'!$A$6:$A$120,0)),"Unknown ID"))</f>
        <v/>
      </c>
      <c r="F414" s="60" t="n"/>
      <c r="G414" s="60" t="n"/>
      <c r="H414" s="56">
        <f>IF(OR($C414="",$A414=""),"",IF(COUNTIFS('Promo Calendar'!$A$6:$A$400,$C414,'Promo Calendar'!$D$6:$D$400,IF($G414="","All",$G414),'Promo Calendar'!$I$6:$I$400,"&lt;="&amp;$A414,'Promo Calendar'!$J$6:$J$400,"&gt;="&amp;$A414,'Promo Calendar'!$G$6:$G$400,"&gt;0")&gt;0,_xlfn.MINIFS('Promo Calendar'!$G$6:$G$400,'Promo Calendar'!$A$6:$A$400,$C414,'Promo Calendar'!$D$6:$D$400,IF($G414="","All",$G414),'Promo Calendar'!$I$6:$I$400,"&lt;="&amp;$A414,'Promo Calendar'!$J$6:$J$400,"&gt;="&amp;$A414,'Promo Calendar'!$G$6:$G$400,"&gt;0"),IF(COUNTIFS('Promo Calendar'!$A$6:$A$400,$C414,'Promo Calendar'!$D$6:$D$400,"All",'Promo Calendar'!$I$6:$I$400,"&lt;="&amp;$A414,'Promo Calendar'!$J$6:$J$400,"&gt;="&amp;$A414,'Promo Calendar'!$G$6:$G$400,"&gt;0")&gt;0,_xlfn.MINIFS('Promo Calendar'!$G$6:$G$400,'Promo Calendar'!$A$6:$A$400,$C414,'Promo Calendar'!$D$6:$D$400,"All",'Promo Calendar'!$I$6:$I$400,"&lt;="&amp;$A414,'Promo Calendar'!$J$6:$J$400,"&gt;="&amp;$A414,'Promo Calendar'!$G$6:$G$400,"&gt;0"),IFERROR(IF(INDEX('Chain Program'!$M$6:$M$120,MATCH($C414,'Chain Program'!$A$6:$A$120,0))="","Not set",INDEX('Chain Program'!$M$6:$M$120,MATCH($C414,'Chain Program'!$A$6:$A$120,0))),"Not set"))))</f>
        <v/>
      </c>
      <c r="I414" s="61" t="n"/>
      <c r="J414" s="45">
        <f>IF($I414="","",IF(NOT(ISNUMBER($H414)),"No plan price",IF(ABS($I414-$H414)&lt;0.005,"Match",IF($I414&gt;$H414,"Over plan","Under plan"))))</f>
        <v/>
      </c>
      <c r="K414" s="60" t="n"/>
      <c r="L414" s="60" t="n"/>
      <c r="M414" s="60" t="n"/>
      <c r="N414" s="60" t="n"/>
      <c r="O414" s="60" t="n"/>
      <c r="P414" s="62" t="n"/>
      <c r="Q414" s="62" t="n"/>
      <c r="R414" s="60" t="n"/>
      <c r="S414" s="59" t="n"/>
      <c r="T414" s="60" t="n"/>
      <c r="U414" s="59" t="n"/>
      <c r="V414" s="45">
        <f>IF(OR($A414="",$T414="",$T414="No Issue"),"",IF($T414="Resolved",IF($U414="","",$U414-$A414),TODAY()-$A414))</f>
        <v/>
      </c>
      <c r="W414" s="47">
        <f>IF(AND($C414&lt;&gt;"",$C414='Store History'!$C$4,OR('Store History'!$C$5="",$F414='Store History'!$C$5)),1,0)</f>
        <v/>
      </c>
      <c r="X414" s="47">
        <f>IF($W414=1,SUM($W414:$W$1005),"")</f>
        <v/>
      </c>
    </row>
    <row r="415">
      <c r="A415" s="59" t="n"/>
      <c r="B415" s="60" t="n"/>
      <c r="C415" s="60" t="n"/>
      <c r="D415" s="45">
        <f>IF($C415="","",IFERROR(INDEX('Chain Program'!$B$6:$B$120,MATCH($C415,'Chain Program'!$A$6:$A$120,0)),"Unknown ID"))</f>
        <v/>
      </c>
      <c r="E415" s="45">
        <f>IF($C415="","",IFERROR(INDEX('Chain Program'!$D$6:$D$120,MATCH($C415,'Chain Program'!$A$6:$A$120,0)),"Unknown ID"))</f>
        <v/>
      </c>
      <c r="F415" s="60" t="n"/>
      <c r="G415" s="60" t="n"/>
      <c r="H415" s="56">
        <f>IF(OR($C415="",$A415=""),"",IF(COUNTIFS('Promo Calendar'!$A$6:$A$400,$C415,'Promo Calendar'!$D$6:$D$400,IF($G415="","All",$G415),'Promo Calendar'!$I$6:$I$400,"&lt;="&amp;$A415,'Promo Calendar'!$J$6:$J$400,"&gt;="&amp;$A415,'Promo Calendar'!$G$6:$G$400,"&gt;0")&gt;0,_xlfn.MINIFS('Promo Calendar'!$G$6:$G$400,'Promo Calendar'!$A$6:$A$400,$C415,'Promo Calendar'!$D$6:$D$400,IF($G415="","All",$G415),'Promo Calendar'!$I$6:$I$400,"&lt;="&amp;$A415,'Promo Calendar'!$J$6:$J$400,"&gt;="&amp;$A415,'Promo Calendar'!$G$6:$G$400,"&gt;0"),IF(COUNTIFS('Promo Calendar'!$A$6:$A$400,$C415,'Promo Calendar'!$D$6:$D$400,"All",'Promo Calendar'!$I$6:$I$400,"&lt;="&amp;$A415,'Promo Calendar'!$J$6:$J$400,"&gt;="&amp;$A415,'Promo Calendar'!$G$6:$G$400,"&gt;0")&gt;0,_xlfn.MINIFS('Promo Calendar'!$G$6:$G$400,'Promo Calendar'!$A$6:$A$400,$C415,'Promo Calendar'!$D$6:$D$400,"All",'Promo Calendar'!$I$6:$I$400,"&lt;="&amp;$A415,'Promo Calendar'!$J$6:$J$400,"&gt;="&amp;$A415,'Promo Calendar'!$G$6:$G$400,"&gt;0"),IFERROR(IF(INDEX('Chain Program'!$M$6:$M$120,MATCH($C415,'Chain Program'!$A$6:$A$120,0))="","Not set",INDEX('Chain Program'!$M$6:$M$120,MATCH($C415,'Chain Program'!$A$6:$A$120,0))),"Not set"))))</f>
        <v/>
      </c>
      <c r="I415" s="61" t="n"/>
      <c r="J415" s="45">
        <f>IF($I415="","",IF(NOT(ISNUMBER($H415)),"No plan price",IF(ABS($I415-$H415)&lt;0.005,"Match",IF($I415&gt;$H415,"Over plan","Under plan"))))</f>
        <v/>
      </c>
      <c r="K415" s="60" t="n"/>
      <c r="L415" s="60" t="n"/>
      <c r="M415" s="60" t="n"/>
      <c r="N415" s="60" t="n"/>
      <c r="O415" s="60" t="n"/>
      <c r="P415" s="62" t="n"/>
      <c r="Q415" s="62" t="n"/>
      <c r="R415" s="60" t="n"/>
      <c r="S415" s="59" t="n"/>
      <c r="T415" s="60" t="n"/>
      <c r="U415" s="59" t="n"/>
      <c r="V415" s="45">
        <f>IF(OR($A415="",$T415="",$T415="No Issue"),"",IF($T415="Resolved",IF($U415="","",$U415-$A415),TODAY()-$A415))</f>
        <v/>
      </c>
      <c r="W415" s="47">
        <f>IF(AND($C415&lt;&gt;"",$C415='Store History'!$C$4,OR('Store History'!$C$5="",$F415='Store History'!$C$5)),1,0)</f>
        <v/>
      </c>
      <c r="X415" s="47">
        <f>IF($W415=1,SUM($W415:$W$1005),"")</f>
        <v/>
      </c>
    </row>
    <row r="416">
      <c r="A416" s="59" t="n"/>
      <c r="B416" s="60" t="n"/>
      <c r="C416" s="60" t="n"/>
      <c r="D416" s="45">
        <f>IF($C416="","",IFERROR(INDEX('Chain Program'!$B$6:$B$120,MATCH($C416,'Chain Program'!$A$6:$A$120,0)),"Unknown ID"))</f>
        <v/>
      </c>
      <c r="E416" s="45">
        <f>IF($C416="","",IFERROR(INDEX('Chain Program'!$D$6:$D$120,MATCH($C416,'Chain Program'!$A$6:$A$120,0)),"Unknown ID"))</f>
        <v/>
      </c>
      <c r="F416" s="60" t="n"/>
      <c r="G416" s="60" t="n"/>
      <c r="H416" s="56">
        <f>IF(OR($C416="",$A416=""),"",IF(COUNTIFS('Promo Calendar'!$A$6:$A$400,$C416,'Promo Calendar'!$D$6:$D$400,IF($G416="","All",$G416),'Promo Calendar'!$I$6:$I$400,"&lt;="&amp;$A416,'Promo Calendar'!$J$6:$J$400,"&gt;="&amp;$A416,'Promo Calendar'!$G$6:$G$400,"&gt;0")&gt;0,_xlfn.MINIFS('Promo Calendar'!$G$6:$G$400,'Promo Calendar'!$A$6:$A$400,$C416,'Promo Calendar'!$D$6:$D$400,IF($G416="","All",$G416),'Promo Calendar'!$I$6:$I$400,"&lt;="&amp;$A416,'Promo Calendar'!$J$6:$J$400,"&gt;="&amp;$A416,'Promo Calendar'!$G$6:$G$400,"&gt;0"),IF(COUNTIFS('Promo Calendar'!$A$6:$A$400,$C416,'Promo Calendar'!$D$6:$D$400,"All",'Promo Calendar'!$I$6:$I$400,"&lt;="&amp;$A416,'Promo Calendar'!$J$6:$J$400,"&gt;="&amp;$A416,'Promo Calendar'!$G$6:$G$400,"&gt;0")&gt;0,_xlfn.MINIFS('Promo Calendar'!$G$6:$G$400,'Promo Calendar'!$A$6:$A$400,$C416,'Promo Calendar'!$D$6:$D$400,"All",'Promo Calendar'!$I$6:$I$400,"&lt;="&amp;$A416,'Promo Calendar'!$J$6:$J$400,"&gt;="&amp;$A416,'Promo Calendar'!$G$6:$G$400,"&gt;0"),IFERROR(IF(INDEX('Chain Program'!$M$6:$M$120,MATCH($C416,'Chain Program'!$A$6:$A$120,0))="","Not set",INDEX('Chain Program'!$M$6:$M$120,MATCH($C416,'Chain Program'!$A$6:$A$120,0))),"Not set"))))</f>
        <v/>
      </c>
      <c r="I416" s="61" t="n"/>
      <c r="J416" s="45">
        <f>IF($I416="","",IF(NOT(ISNUMBER($H416)),"No plan price",IF(ABS($I416-$H416)&lt;0.005,"Match",IF($I416&gt;$H416,"Over plan","Under plan"))))</f>
        <v/>
      </c>
      <c r="K416" s="60" t="n"/>
      <c r="L416" s="60" t="n"/>
      <c r="M416" s="60" t="n"/>
      <c r="N416" s="60" t="n"/>
      <c r="O416" s="60" t="n"/>
      <c r="P416" s="62" t="n"/>
      <c r="Q416" s="62" t="n"/>
      <c r="R416" s="60" t="n"/>
      <c r="S416" s="59" t="n"/>
      <c r="T416" s="60" t="n"/>
      <c r="U416" s="59" t="n"/>
      <c r="V416" s="45">
        <f>IF(OR($A416="",$T416="",$T416="No Issue"),"",IF($T416="Resolved",IF($U416="","",$U416-$A416),TODAY()-$A416))</f>
        <v/>
      </c>
      <c r="W416" s="47">
        <f>IF(AND($C416&lt;&gt;"",$C416='Store History'!$C$4,OR('Store History'!$C$5="",$F416='Store History'!$C$5)),1,0)</f>
        <v/>
      </c>
      <c r="X416" s="47">
        <f>IF($W416=1,SUM($W416:$W$1005),"")</f>
        <v/>
      </c>
    </row>
    <row r="417">
      <c r="A417" s="59" t="n"/>
      <c r="B417" s="60" t="n"/>
      <c r="C417" s="60" t="n"/>
      <c r="D417" s="45">
        <f>IF($C417="","",IFERROR(INDEX('Chain Program'!$B$6:$B$120,MATCH($C417,'Chain Program'!$A$6:$A$120,0)),"Unknown ID"))</f>
        <v/>
      </c>
      <c r="E417" s="45">
        <f>IF($C417="","",IFERROR(INDEX('Chain Program'!$D$6:$D$120,MATCH($C417,'Chain Program'!$A$6:$A$120,0)),"Unknown ID"))</f>
        <v/>
      </c>
      <c r="F417" s="60" t="n"/>
      <c r="G417" s="60" t="n"/>
      <c r="H417" s="56">
        <f>IF(OR($C417="",$A417=""),"",IF(COUNTIFS('Promo Calendar'!$A$6:$A$400,$C417,'Promo Calendar'!$D$6:$D$400,IF($G417="","All",$G417),'Promo Calendar'!$I$6:$I$400,"&lt;="&amp;$A417,'Promo Calendar'!$J$6:$J$400,"&gt;="&amp;$A417,'Promo Calendar'!$G$6:$G$400,"&gt;0")&gt;0,_xlfn.MINIFS('Promo Calendar'!$G$6:$G$400,'Promo Calendar'!$A$6:$A$400,$C417,'Promo Calendar'!$D$6:$D$400,IF($G417="","All",$G417),'Promo Calendar'!$I$6:$I$400,"&lt;="&amp;$A417,'Promo Calendar'!$J$6:$J$400,"&gt;="&amp;$A417,'Promo Calendar'!$G$6:$G$400,"&gt;0"),IF(COUNTIFS('Promo Calendar'!$A$6:$A$400,$C417,'Promo Calendar'!$D$6:$D$400,"All",'Promo Calendar'!$I$6:$I$400,"&lt;="&amp;$A417,'Promo Calendar'!$J$6:$J$400,"&gt;="&amp;$A417,'Promo Calendar'!$G$6:$G$400,"&gt;0")&gt;0,_xlfn.MINIFS('Promo Calendar'!$G$6:$G$400,'Promo Calendar'!$A$6:$A$400,$C417,'Promo Calendar'!$D$6:$D$400,"All",'Promo Calendar'!$I$6:$I$400,"&lt;="&amp;$A417,'Promo Calendar'!$J$6:$J$400,"&gt;="&amp;$A417,'Promo Calendar'!$G$6:$G$400,"&gt;0"),IFERROR(IF(INDEX('Chain Program'!$M$6:$M$120,MATCH($C417,'Chain Program'!$A$6:$A$120,0))="","Not set",INDEX('Chain Program'!$M$6:$M$120,MATCH($C417,'Chain Program'!$A$6:$A$120,0))),"Not set"))))</f>
        <v/>
      </c>
      <c r="I417" s="61" t="n"/>
      <c r="J417" s="45">
        <f>IF($I417="","",IF(NOT(ISNUMBER($H417)),"No plan price",IF(ABS($I417-$H417)&lt;0.005,"Match",IF($I417&gt;$H417,"Over plan","Under plan"))))</f>
        <v/>
      </c>
      <c r="K417" s="60" t="n"/>
      <c r="L417" s="60" t="n"/>
      <c r="M417" s="60" t="n"/>
      <c r="N417" s="60" t="n"/>
      <c r="O417" s="60" t="n"/>
      <c r="P417" s="62" t="n"/>
      <c r="Q417" s="62" t="n"/>
      <c r="R417" s="60" t="n"/>
      <c r="S417" s="59" t="n"/>
      <c r="T417" s="60" t="n"/>
      <c r="U417" s="59" t="n"/>
      <c r="V417" s="45">
        <f>IF(OR($A417="",$T417="",$T417="No Issue"),"",IF($T417="Resolved",IF($U417="","",$U417-$A417),TODAY()-$A417))</f>
        <v/>
      </c>
      <c r="W417" s="47">
        <f>IF(AND($C417&lt;&gt;"",$C417='Store History'!$C$4,OR('Store History'!$C$5="",$F417='Store History'!$C$5)),1,0)</f>
        <v/>
      </c>
      <c r="X417" s="47">
        <f>IF($W417=1,SUM($W417:$W$1005),"")</f>
        <v/>
      </c>
    </row>
    <row r="418">
      <c r="A418" s="59" t="n"/>
      <c r="B418" s="60" t="n"/>
      <c r="C418" s="60" t="n"/>
      <c r="D418" s="45">
        <f>IF($C418="","",IFERROR(INDEX('Chain Program'!$B$6:$B$120,MATCH($C418,'Chain Program'!$A$6:$A$120,0)),"Unknown ID"))</f>
        <v/>
      </c>
      <c r="E418" s="45">
        <f>IF($C418="","",IFERROR(INDEX('Chain Program'!$D$6:$D$120,MATCH($C418,'Chain Program'!$A$6:$A$120,0)),"Unknown ID"))</f>
        <v/>
      </c>
      <c r="F418" s="60" t="n"/>
      <c r="G418" s="60" t="n"/>
      <c r="H418" s="56">
        <f>IF(OR($C418="",$A418=""),"",IF(COUNTIFS('Promo Calendar'!$A$6:$A$400,$C418,'Promo Calendar'!$D$6:$D$400,IF($G418="","All",$G418),'Promo Calendar'!$I$6:$I$400,"&lt;="&amp;$A418,'Promo Calendar'!$J$6:$J$400,"&gt;="&amp;$A418,'Promo Calendar'!$G$6:$G$400,"&gt;0")&gt;0,_xlfn.MINIFS('Promo Calendar'!$G$6:$G$400,'Promo Calendar'!$A$6:$A$400,$C418,'Promo Calendar'!$D$6:$D$400,IF($G418="","All",$G418),'Promo Calendar'!$I$6:$I$400,"&lt;="&amp;$A418,'Promo Calendar'!$J$6:$J$400,"&gt;="&amp;$A418,'Promo Calendar'!$G$6:$G$400,"&gt;0"),IF(COUNTIFS('Promo Calendar'!$A$6:$A$400,$C418,'Promo Calendar'!$D$6:$D$400,"All",'Promo Calendar'!$I$6:$I$400,"&lt;="&amp;$A418,'Promo Calendar'!$J$6:$J$400,"&gt;="&amp;$A418,'Promo Calendar'!$G$6:$G$400,"&gt;0")&gt;0,_xlfn.MINIFS('Promo Calendar'!$G$6:$G$400,'Promo Calendar'!$A$6:$A$400,$C418,'Promo Calendar'!$D$6:$D$400,"All",'Promo Calendar'!$I$6:$I$400,"&lt;="&amp;$A418,'Promo Calendar'!$J$6:$J$400,"&gt;="&amp;$A418,'Promo Calendar'!$G$6:$G$400,"&gt;0"),IFERROR(IF(INDEX('Chain Program'!$M$6:$M$120,MATCH($C418,'Chain Program'!$A$6:$A$120,0))="","Not set",INDEX('Chain Program'!$M$6:$M$120,MATCH($C418,'Chain Program'!$A$6:$A$120,0))),"Not set"))))</f>
        <v/>
      </c>
      <c r="I418" s="61" t="n"/>
      <c r="J418" s="45">
        <f>IF($I418="","",IF(NOT(ISNUMBER($H418)),"No plan price",IF(ABS($I418-$H418)&lt;0.005,"Match",IF($I418&gt;$H418,"Over plan","Under plan"))))</f>
        <v/>
      </c>
      <c r="K418" s="60" t="n"/>
      <c r="L418" s="60" t="n"/>
      <c r="M418" s="60" t="n"/>
      <c r="N418" s="60" t="n"/>
      <c r="O418" s="60" t="n"/>
      <c r="P418" s="62" t="n"/>
      <c r="Q418" s="62" t="n"/>
      <c r="R418" s="60" t="n"/>
      <c r="S418" s="59" t="n"/>
      <c r="T418" s="60" t="n"/>
      <c r="U418" s="59" t="n"/>
      <c r="V418" s="45">
        <f>IF(OR($A418="",$T418="",$T418="No Issue"),"",IF($T418="Resolved",IF($U418="","",$U418-$A418),TODAY()-$A418))</f>
        <v/>
      </c>
      <c r="W418" s="47">
        <f>IF(AND($C418&lt;&gt;"",$C418='Store History'!$C$4,OR('Store History'!$C$5="",$F418='Store History'!$C$5)),1,0)</f>
        <v/>
      </c>
      <c r="X418" s="47">
        <f>IF($W418=1,SUM($W418:$W$1005),"")</f>
        <v/>
      </c>
    </row>
    <row r="419">
      <c r="A419" s="59" t="n"/>
      <c r="B419" s="60" t="n"/>
      <c r="C419" s="60" t="n"/>
      <c r="D419" s="45">
        <f>IF($C419="","",IFERROR(INDEX('Chain Program'!$B$6:$B$120,MATCH($C419,'Chain Program'!$A$6:$A$120,0)),"Unknown ID"))</f>
        <v/>
      </c>
      <c r="E419" s="45">
        <f>IF($C419="","",IFERROR(INDEX('Chain Program'!$D$6:$D$120,MATCH($C419,'Chain Program'!$A$6:$A$120,0)),"Unknown ID"))</f>
        <v/>
      </c>
      <c r="F419" s="60" t="n"/>
      <c r="G419" s="60" t="n"/>
      <c r="H419" s="56">
        <f>IF(OR($C419="",$A419=""),"",IF(COUNTIFS('Promo Calendar'!$A$6:$A$400,$C419,'Promo Calendar'!$D$6:$D$400,IF($G419="","All",$G419),'Promo Calendar'!$I$6:$I$400,"&lt;="&amp;$A419,'Promo Calendar'!$J$6:$J$400,"&gt;="&amp;$A419,'Promo Calendar'!$G$6:$G$400,"&gt;0")&gt;0,_xlfn.MINIFS('Promo Calendar'!$G$6:$G$400,'Promo Calendar'!$A$6:$A$400,$C419,'Promo Calendar'!$D$6:$D$400,IF($G419="","All",$G419),'Promo Calendar'!$I$6:$I$400,"&lt;="&amp;$A419,'Promo Calendar'!$J$6:$J$400,"&gt;="&amp;$A419,'Promo Calendar'!$G$6:$G$400,"&gt;0"),IF(COUNTIFS('Promo Calendar'!$A$6:$A$400,$C419,'Promo Calendar'!$D$6:$D$400,"All",'Promo Calendar'!$I$6:$I$400,"&lt;="&amp;$A419,'Promo Calendar'!$J$6:$J$400,"&gt;="&amp;$A419,'Promo Calendar'!$G$6:$G$400,"&gt;0")&gt;0,_xlfn.MINIFS('Promo Calendar'!$G$6:$G$400,'Promo Calendar'!$A$6:$A$400,$C419,'Promo Calendar'!$D$6:$D$400,"All",'Promo Calendar'!$I$6:$I$400,"&lt;="&amp;$A419,'Promo Calendar'!$J$6:$J$400,"&gt;="&amp;$A419,'Promo Calendar'!$G$6:$G$400,"&gt;0"),IFERROR(IF(INDEX('Chain Program'!$M$6:$M$120,MATCH($C419,'Chain Program'!$A$6:$A$120,0))="","Not set",INDEX('Chain Program'!$M$6:$M$120,MATCH($C419,'Chain Program'!$A$6:$A$120,0))),"Not set"))))</f>
        <v/>
      </c>
      <c r="I419" s="61" t="n"/>
      <c r="J419" s="45">
        <f>IF($I419="","",IF(NOT(ISNUMBER($H419)),"No plan price",IF(ABS($I419-$H419)&lt;0.005,"Match",IF($I419&gt;$H419,"Over plan","Under plan"))))</f>
        <v/>
      </c>
      <c r="K419" s="60" t="n"/>
      <c r="L419" s="60" t="n"/>
      <c r="M419" s="60" t="n"/>
      <c r="N419" s="60" t="n"/>
      <c r="O419" s="60" t="n"/>
      <c r="P419" s="62" t="n"/>
      <c r="Q419" s="62" t="n"/>
      <c r="R419" s="60" t="n"/>
      <c r="S419" s="59" t="n"/>
      <c r="T419" s="60" t="n"/>
      <c r="U419" s="59" t="n"/>
      <c r="V419" s="45">
        <f>IF(OR($A419="",$T419="",$T419="No Issue"),"",IF($T419="Resolved",IF($U419="","",$U419-$A419),TODAY()-$A419))</f>
        <v/>
      </c>
      <c r="W419" s="47">
        <f>IF(AND($C419&lt;&gt;"",$C419='Store History'!$C$4,OR('Store History'!$C$5="",$F419='Store History'!$C$5)),1,0)</f>
        <v/>
      </c>
      <c r="X419" s="47">
        <f>IF($W419=1,SUM($W419:$W$1005),"")</f>
        <v/>
      </c>
    </row>
    <row r="420">
      <c r="A420" s="59" t="n"/>
      <c r="B420" s="60" t="n"/>
      <c r="C420" s="60" t="n"/>
      <c r="D420" s="45">
        <f>IF($C420="","",IFERROR(INDEX('Chain Program'!$B$6:$B$120,MATCH($C420,'Chain Program'!$A$6:$A$120,0)),"Unknown ID"))</f>
        <v/>
      </c>
      <c r="E420" s="45">
        <f>IF($C420="","",IFERROR(INDEX('Chain Program'!$D$6:$D$120,MATCH($C420,'Chain Program'!$A$6:$A$120,0)),"Unknown ID"))</f>
        <v/>
      </c>
      <c r="F420" s="60" t="n"/>
      <c r="G420" s="60" t="n"/>
      <c r="H420" s="56">
        <f>IF(OR($C420="",$A420=""),"",IF(COUNTIFS('Promo Calendar'!$A$6:$A$400,$C420,'Promo Calendar'!$D$6:$D$400,IF($G420="","All",$G420),'Promo Calendar'!$I$6:$I$400,"&lt;="&amp;$A420,'Promo Calendar'!$J$6:$J$400,"&gt;="&amp;$A420,'Promo Calendar'!$G$6:$G$400,"&gt;0")&gt;0,_xlfn.MINIFS('Promo Calendar'!$G$6:$G$400,'Promo Calendar'!$A$6:$A$400,$C420,'Promo Calendar'!$D$6:$D$400,IF($G420="","All",$G420),'Promo Calendar'!$I$6:$I$400,"&lt;="&amp;$A420,'Promo Calendar'!$J$6:$J$400,"&gt;="&amp;$A420,'Promo Calendar'!$G$6:$G$400,"&gt;0"),IF(COUNTIFS('Promo Calendar'!$A$6:$A$400,$C420,'Promo Calendar'!$D$6:$D$400,"All",'Promo Calendar'!$I$6:$I$400,"&lt;="&amp;$A420,'Promo Calendar'!$J$6:$J$400,"&gt;="&amp;$A420,'Promo Calendar'!$G$6:$G$400,"&gt;0")&gt;0,_xlfn.MINIFS('Promo Calendar'!$G$6:$G$400,'Promo Calendar'!$A$6:$A$400,$C420,'Promo Calendar'!$D$6:$D$400,"All",'Promo Calendar'!$I$6:$I$400,"&lt;="&amp;$A420,'Promo Calendar'!$J$6:$J$400,"&gt;="&amp;$A420,'Promo Calendar'!$G$6:$G$400,"&gt;0"),IFERROR(IF(INDEX('Chain Program'!$M$6:$M$120,MATCH($C420,'Chain Program'!$A$6:$A$120,0))="","Not set",INDEX('Chain Program'!$M$6:$M$120,MATCH($C420,'Chain Program'!$A$6:$A$120,0))),"Not set"))))</f>
        <v/>
      </c>
      <c r="I420" s="61" t="n"/>
      <c r="J420" s="45">
        <f>IF($I420="","",IF(NOT(ISNUMBER($H420)),"No plan price",IF(ABS($I420-$H420)&lt;0.005,"Match",IF($I420&gt;$H420,"Over plan","Under plan"))))</f>
        <v/>
      </c>
      <c r="K420" s="60" t="n"/>
      <c r="L420" s="60" t="n"/>
      <c r="M420" s="60" t="n"/>
      <c r="N420" s="60" t="n"/>
      <c r="O420" s="60" t="n"/>
      <c r="P420" s="62" t="n"/>
      <c r="Q420" s="62" t="n"/>
      <c r="R420" s="60" t="n"/>
      <c r="S420" s="59" t="n"/>
      <c r="T420" s="60" t="n"/>
      <c r="U420" s="59" t="n"/>
      <c r="V420" s="45">
        <f>IF(OR($A420="",$T420="",$T420="No Issue"),"",IF($T420="Resolved",IF($U420="","",$U420-$A420),TODAY()-$A420))</f>
        <v/>
      </c>
      <c r="W420" s="47">
        <f>IF(AND($C420&lt;&gt;"",$C420='Store History'!$C$4,OR('Store History'!$C$5="",$F420='Store History'!$C$5)),1,0)</f>
        <v/>
      </c>
      <c r="X420" s="47">
        <f>IF($W420=1,SUM($W420:$W$1005),"")</f>
        <v/>
      </c>
    </row>
    <row r="421">
      <c r="A421" s="59" t="n"/>
      <c r="B421" s="60" t="n"/>
      <c r="C421" s="60" t="n"/>
      <c r="D421" s="45">
        <f>IF($C421="","",IFERROR(INDEX('Chain Program'!$B$6:$B$120,MATCH($C421,'Chain Program'!$A$6:$A$120,0)),"Unknown ID"))</f>
        <v/>
      </c>
      <c r="E421" s="45">
        <f>IF($C421="","",IFERROR(INDEX('Chain Program'!$D$6:$D$120,MATCH($C421,'Chain Program'!$A$6:$A$120,0)),"Unknown ID"))</f>
        <v/>
      </c>
      <c r="F421" s="60" t="n"/>
      <c r="G421" s="60" t="n"/>
      <c r="H421" s="56">
        <f>IF(OR($C421="",$A421=""),"",IF(COUNTIFS('Promo Calendar'!$A$6:$A$400,$C421,'Promo Calendar'!$D$6:$D$400,IF($G421="","All",$G421),'Promo Calendar'!$I$6:$I$400,"&lt;="&amp;$A421,'Promo Calendar'!$J$6:$J$400,"&gt;="&amp;$A421,'Promo Calendar'!$G$6:$G$400,"&gt;0")&gt;0,_xlfn.MINIFS('Promo Calendar'!$G$6:$G$400,'Promo Calendar'!$A$6:$A$400,$C421,'Promo Calendar'!$D$6:$D$400,IF($G421="","All",$G421),'Promo Calendar'!$I$6:$I$400,"&lt;="&amp;$A421,'Promo Calendar'!$J$6:$J$400,"&gt;="&amp;$A421,'Promo Calendar'!$G$6:$G$400,"&gt;0"),IF(COUNTIFS('Promo Calendar'!$A$6:$A$400,$C421,'Promo Calendar'!$D$6:$D$400,"All",'Promo Calendar'!$I$6:$I$400,"&lt;="&amp;$A421,'Promo Calendar'!$J$6:$J$400,"&gt;="&amp;$A421,'Promo Calendar'!$G$6:$G$400,"&gt;0")&gt;0,_xlfn.MINIFS('Promo Calendar'!$G$6:$G$400,'Promo Calendar'!$A$6:$A$400,$C421,'Promo Calendar'!$D$6:$D$400,"All",'Promo Calendar'!$I$6:$I$400,"&lt;="&amp;$A421,'Promo Calendar'!$J$6:$J$400,"&gt;="&amp;$A421,'Promo Calendar'!$G$6:$G$400,"&gt;0"),IFERROR(IF(INDEX('Chain Program'!$M$6:$M$120,MATCH($C421,'Chain Program'!$A$6:$A$120,0))="","Not set",INDEX('Chain Program'!$M$6:$M$120,MATCH($C421,'Chain Program'!$A$6:$A$120,0))),"Not set"))))</f>
        <v/>
      </c>
      <c r="I421" s="61" t="n"/>
      <c r="J421" s="45">
        <f>IF($I421="","",IF(NOT(ISNUMBER($H421)),"No plan price",IF(ABS($I421-$H421)&lt;0.005,"Match",IF($I421&gt;$H421,"Over plan","Under plan"))))</f>
        <v/>
      </c>
      <c r="K421" s="60" t="n"/>
      <c r="L421" s="60" t="n"/>
      <c r="M421" s="60" t="n"/>
      <c r="N421" s="60" t="n"/>
      <c r="O421" s="60" t="n"/>
      <c r="P421" s="62" t="n"/>
      <c r="Q421" s="62" t="n"/>
      <c r="R421" s="60" t="n"/>
      <c r="S421" s="59" t="n"/>
      <c r="T421" s="60" t="n"/>
      <c r="U421" s="59" t="n"/>
      <c r="V421" s="45">
        <f>IF(OR($A421="",$T421="",$T421="No Issue"),"",IF($T421="Resolved",IF($U421="","",$U421-$A421),TODAY()-$A421))</f>
        <v/>
      </c>
      <c r="W421" s="47">
        <f>IF(AND($C421&lt;&gt;"",$C421='Store History'!$C$4,OR('Store History'!$C$5="",$F421='Store History'!$C$5)),1,0)</f>
        <v/>
      </c>
      <c r="X421" s="47">
        <f>IF($W421=1,SUM($W421:$W$1005),"")</f>
        <v/>
      </c>
    </row>
    <row r="422">
      <c r="A422" s="59" t="n"/>
      <c r="B422" s="60" t="n"/>
      <c r="C422" s="60" t="n"/>
      <c r="D422" s="45">
        <f>IF($C422="","",IFERROR(INDEX('Chain Program'!$B$6:$B$120,MATCH($C422,'Chain Program'!$A$6:$A$120,0)),"Unknown ID"))</f>
        <v/>
      </c>
      <c r="E422" s="45">
        <f>IF($C422="","",IFERROR(INDEX('Chain Program'!$D$6:$D$120,MATCH($C422,'Chain Program'!$A$6:$A$120,0)),"Unknown ID"))</f>
        <v/>
      </c>
      <c r="F422" s="60" t="n"/>
      <c r="G422" s="60" t="n"/>
      <c r="H422" s="56">
        <f>IF(OR($C422="",$A422=""),"",IF(COUNTIFS('Promo Calendar'!$A$6:$A$400,$C422,'Promo Calendar'!$D$6:$D$400,IF($G422="","All",$G422),'Promo Calendar'!$I$6:$I$400,"&lt;="&amp;$A422,'Promo Calendar'!$J$6:$J$400,"&gt;="&amp;$A422,'Promo Calendar'!$G$6:$G$400,"&gt;0")&gt;0,_xlfn.MINIFS('Promo Calendar'!$G$6:$G$400,'Promo Calendar'!$A$6:$A$400,$C422,'Promo Calendar'!$D$6:$D$400,IF($G422="","All",$G422),'Promo Calendar'!$I$6:$I$400,"&lt;="&amp;$A422,'Promo Calendar'!$J$6:$J$400,"&gt;="&amp;$A422,'Promo Calendar'!$G$6:$G$400,"&gt;0"),IF(COUNTIFS('Promo Calendar'!$A$6:$A$400,$C422,'Promo Calendar'!$D$6:$D$400,"All",'Promo Calendar'!$I$6:$I$400,"&lt;="&amp;$A422,'Promo Calendar'!$J$6:$J$400,"&gt;="&amp;$A422,'Promo Calendar'!$G$6:$G$400,"&gt;0")&gt;0,_xlfn.MINIFS('Promo Calendar'!$G$6:$G$400,'Promo Calendar'!$A$6:$A$400,$C422,'Promo Calendar'!$D$6:$D$400,"All",'Promo Calendar'!$I$6:$I$400,"&lt;="&amp;$A422,'Promo Calendar'!$J$6:$J$400,"&gt;="&amp;$A422,'Promo Calendar'!$G$6:$G$400,"&gt;0"),IFERROR(IF(INDEX('Chain Program'!$M$6:$M$120,MATCH($C422,'Chain Program'!$A$6:$A$120,0))="","Not set",INDEX('Chain Program'!$M$6:$M$120,MATCH($C422,'Chain Program'!$A$6:$A$120,0))),"Not set"))))</f>
        <v/>
      </c>
      <c r="I422" s="61" t="n"/>
      <c r="J422" s="45">
        <f>IF($I422="","",IF(NOT(ISNUMBER($H422)),"No plan price",IF(ABS($I422-$H422)&lt;0.005,"Match",IF($I422&gt;$H422,"Over plan","Under plan"))))</f>
        <v/>
      </c>
      <c r="K422" s="60" t="n"/>
      <c r="L422" s="60" t="n"/>
      <c r="M422" s="60" t="n"/>
      <c r="N422" s="60" t="n"/>
      <c r="O422" s="60" t="n"/>
      <c r="P422" s="62" t="n"/>
      <c r="Q422" s="62" t="n"/>
      <c r="R422" s="60" t="n"/>
      <c r="S422" s="59" t="n"/>
      <c r="T422" s="60" t="n"/>
      <c r="U422" s="59" t="n"/>
      <c r="V422" s="45">
        <f>IF(OR($A422="",$T422="",$T422="No Issue"),"",IF($T422="Resolved",IF($U422="","",$U422-$A422),TODAY()-$A422))</f>
        <v/>
      </c>
      <c r="W422" s="47">
        <f>IF(AND($C422&lt;&gt;"",$C422='Store History'!$C$4,OR('Store History'!$C$5="",$F422='Store History'!$C$5)),1,0)</f>
        <v/>
      </c>
      <c r="X422" s="47">
        <f>IF($W422=1,SUM($W422:$W$1005),"")</f>
        <v/>
      </c>
    </row>
    <row r="423">
      <c r="A423" s="59" t="n"/>
      <c r="B423" s="60" t="n"/>
      <c r="C423" s="60" t="n"/>
      <c r="D423" s="45">
        <f>IF($C423="","",IFERROR(INDEX('Chain Program'!$B$6:$B$120,MATCH($C423,'Chain Program'!$A$6:$A$120,0)),"Unknown ID"))</f>
        <v/>
      </c>
      <c r="E423" s="45">
        <f>IF($C423="","",IFERROR(INDEX('Chain Program'!$D$6:$D$120,MATCH($C423,'Chain Program'!$A$6:$A$120,0)),"Unknown ID"))</f>
        <v/>
      </c>
      <c r="F423" s="60" t="n"/>
      <c r="G423" s="60" t="n"/>
      <c r="H423" s="56">
        <f>IF(OR($C423="",$A423=""),"",IF(COUNTIFS('Promo Calendar'!$A$6:$A$400,$C423,'Promo Calendar'!$D$6:$D$400,IF($G423="","All",$G423),'Promo Calendar'!$I$6:$I$400,"&lt;="&amp;$A423,'Promo Calendar'!$J$6:$J$400,"&gt;="&amp;$A423,'Promo Calendar'!$G$6:$G$400,"&gt;0")&gt;0,_xlfn.MINIFS('Promo Calendar'!$G$6:$G$400,'Promo Calendar'!$A$6:$A$400,$C423,'Promo Calendar'!$D$6:$D$400,IF($G423="","All",$G423),'Promo Calendar'!$I$6:$I$400,"&lt;="&amp;$A423,'Promo Calendar'!$J$6:$J$400,"&gt;="&amp;$A423,'Promo Calendar'!$G$6:$G$400,"&gt;0"),IF(COUNTIFS('Promo Calendar'!$A$6:$A$400,$C423,'Promo Calendar'!$D$6:$D$400,"All",'Promo Calendar'!$I$6:$I$400,"&lt;="&amp;$A423,'Promo Calendar'!$J$6:$J$400,"&gt;="&amp;$A423,'Promo Calendar'!$G$6:$G$400,"&gt;0")&gt;0,_xlfn.MINIFS('Promo Calendar'!$G$6:$G$400,'Promo Calendar'!$A$6:$A$400,$C423,'Promo Calendar'!$D$6:$D$400,"All",'Promo Calendar'!$I$6:$I$400,"&lt;="&amp;$A423,'Promo Calendar'!$J$6:$J$400,"&gt;="&amp;$A423,'Promo Calendar'!$G$6:$G$400,"&gt;0"),IFERROR(IF(INDEX('Chain Program'!$M$6:$M$120,MATCH($C423,'Chain Program'!$A$6:$A$120,0))="","Not set",INDEX('Chain Program'!$M$6:$M$120,MATCH($C423,'Chain Program'!$A$6:$A$120,0))),"Not set"))))</f>
        <v/>
      </c>
      <c r="I423" s="61" t="n"/>
      <c r="J423" s="45">
        <f>IF($I423="","",IF(NOT(ISNUMBER($H423)),"No plan price",IF(ABS($I423-$H423)&lt;0.005,"Match",IF($I423&gt;$H423,"Over plan","Under plan"))))</f>
        <v/>
      </c>
      <c r="K423" s="60" t="n"/>
      <c r="L423" s="60" t="n"/>
      <c r="M423" s="60" t="n"/>
      <c r="N423" s="60" t="n"/>
      <c r="O423" s="60" t="n"/>
      <c r="P423" s="62" t="n"/>
      <c r="Q423" s="62" t="n"/>
      <c r="R423" s="60" t="n"/>
      <c r="S423" s="59" t="n"/>
      <c r="T423" s="60" t="n"/>
      <c r="U423" s="59" t="n"/>
      <c r="V423" s="45">
        <f>IF(OR($A423="",$T423="",$T423="No Issue"),"",IF($T423="Resolved",IF($U423="","",$U423-$A423),TODAY()-$A423))</f>
        <v/>
      </c>
      <c r="W423" s="47">
        <f>IF(AND($C423&lt;&gt;"",$C423='Store History'!$C$4,OR('Store History'!$C$5="",$F423='Store History'!$C$5)),1,0)</f>
        <v/>
      </c>
      <c r="X423" s="47">
        <f>IF($W423=1,SUM($W423:$W$1005),"")</f>
        <v/>
      </c>
    </row>
    <row r="424">
      <c r="A424" s="59" t="n"/>
      <c r="B424" s="60" t="n"/>
      <c r="C424" s="60" t="n"/>
      <c r="D424" s="45">
        <f>IF($C424="","",IFERROR(INDEX('Chain Program'!$B$6:$B$120,MATCH($C424,'Chain Program'!$A$6:$A$120,0)),"Unknown ID"))</f>
        <v/>
      </c>
      <c r="E424" s="45">
        <f>IF($C424="","",IFERROR(INDEX('Chain Program'!$D$6:$D$120,MATCH($C424,'Chain Program'!$A$6:$A$120,0)),"Unknown ID"))</f>
        <v/>
      </c>
      <c r="F424" s="60" t="n"/>
      <c r="G424" s="60" t="n"/>
      <c r="H424" s="56">
        <f>IF(OR($C424="",$A424=""),"",IF(COUNTIFS('Promo Calendar'!$A$6:$A$400,$C424,'Promo Calendar'!$D$6:$D$400,IF($G424="","All",$G424),'Promo Calendar'!$I$6:$I$400,"&lt;="&amp;$A424,'Promo Calendar'!$J$6:$J$400,"&gt;="&amp;$A424,'Promo Calendar'!$G$6:$G$400,"&gt;0")&gt;0,_xlfn.MINIFS('Promo Calendar'!$G$6:$G$400,'Promo Calendar'!$A$6:$A$400,$C424,'Promo Calendar'!$D$6:$D$400,IF($G424="","All",$G424),'Promo Calendar'!$I$6:$I$400,"&lt;="&amp;$A424,'Promo Calendar'!$J$6:$J$400,"&gt;="&amp;$A424,'Promo Calendar'!$G$6:$G$400,"&gt;0"),IF(COUNTIFS('Promo Calendar'!$A$6:$A$400,$C424,'Promo Calendar'!$D$6:$D$400,"All",'Promo Calendar'!$I$6:$I$400,"&lt;="&amp;$A424,'Promo Calendar'!$J$6:$J$400,"&gt;="&amp;$A424,'Promo Calendar'!$G$6:$G$400,"&gt;0")&gt;0,_xlfn.MINIFS('Promo Calendar'!$G$6:$G$400,'Promo Calendar'!$A$6:$A$400,$C424,'Promo Calendar'!$D$6:$D$400,"All",'Promo Calendar'!$I$6:$I$400,"&lt;="&amp;$A424,'Promo Calendar'!$J$6:$J$400,"&gt;="&amp;$A424,'Promo Calendar'!$G$6:$G$400,"&gt;0"),IFERROR(IF(INDEX('Chain Program'!$M$6:$M$120,MATCH($C424,'Chain Program'!$A$6:$A$120,0))="","Not set",INDEX('Chain Program'!$M$6:$M$120,MATCH($C424,'Chain Program'!$A$6:$A$120,0))),"Not set"))))</f>
        <v/>
      </c>
      <c r="I424" s="61" t="n"/>
      <c r="J424" s="45">
        <f>IF($I424="","",IF(NOT(ISNUMBER($H424)),"No plan price",IF(ABS($I424-$H424)&lt;0.005,"Match",IF($I424&gt;$H424,"Over plan","Under plan"))))</f>
        <v/>
      </c>
      <c r="K424" s="60" t="n"/>
      <c r="L424" s="60" t="n"/>
      <c r="M424" s="60" t="n"/>
      <c r="N424" s="60" t="n"/>
      <c r="O424" s="60" t="n"/>
      <c r="P424" s="62" t="n"/>
      <c r="Q424" s="62" t="n"/>
      <c r="R424" s="60" t="n"/>
      <c r="S424" s="59" t="n"/>
      <c r="T424" s="60" t="n"/>
      <c r="U424" s="59" t="n"/>
      <c r="V424" s="45">
        <f>IF(OR($A424="",$T424="",$T424="No Issue"),"",IF($T424="Resolved",IF($U424="","",$U424-$A424),TODAY()-$A424))</f>
        <v/>
      </c>
      <c r="W424" s="47">
        <f>IF(AND($C424&lt;&gt;"",$C424='Store History'!$C$4,OR('Store History'!$C$5="",$F424='Store History'!$C$5)),1,0)</f>
        <v/>
      </c>
      <c r="X424" s="47">
        <f>IF($W424=1,SUM($W424:$W$1005),"")</f>
        <v/>
      </c>
    </row>
    <row r="425">
      <c r="A425" s="59" t="n"/>
      <c r="B425" s="60" t="n"/>
      <c r="C425" s="60" t="n"/>
      <c r="D425" s="45">
        <f>IF($C425="","",IFERROR(INDEX('Chain Program'!$B$6:$B$120,MATCH($C425,'Chain Program'!$A$6:$A$120,0)),"Unknown ID"))</f>
        <v/>
      </c>
      <c r="E425" s="45">
        <f>IF($C425="","",IFERROR(INDEX('Chain Program'!$D$6:$D$120,MATCH($C425,'Chain Program'!$A$6:$A$120,0)),"Unknown ID"))</f>
        <v/>
      </c>
      <c r="F425" s="60" t="n"/>
      <c r="G425" s="60" t="n"/>
      <c r="H425" s="56">
        <f>IF(OR($C425="",$A425=""),"",IF(COUNTIFS('Promo Calendar'!$A$6:$A$400,$C425,'Promo Calendar'!$D$6:$D$400,IF($G425="","All",$G425),'Promo Calendar'!$I$6:$I$400,"&lt;="&amp;$A425,'Promo Calendar'!$J$6:$J$400,"&gt;="&amp;$A425,'Promo Calendar'!$G$6:$G$400,"&gt;0")&gt;0,_xlfn.MINIFS('Promo Calendar'!$G$6:$G$400,'Promo Calendar'!$A$6:$A$400,$C425,'Promo Calendar'!$D$6:$D$400,IF($G425="","All",$G425),'Promo Calendar'!$I$6:$I$400,"&lt;="&amp;$A425,'Promo Calendar'!$J$6:$J$400,"&gt;="&amp;$A425,'Promo Calendar'!$G$6:$G$400,"&gt;0"),IF(COUNTIFS('Promo Calendar'!$A$6:$A$400,$C425,'Promo Calendar'!$D$6:$D$400,"All",'Promo Calendar'!$I$6:$I$400,"&lt;="&amp;$A425,'Promo Calendar'!$J$6:$J$400,"&gt;="&amp;$A425,'Promo Calendar'!$G$6:$G$400,"&gt;0")&gt;0,_xlfn.MINIFS('Promo Calendar'!$G$6:$G$400,'Promo Calendar'!$A$6:$A$400,$C425,'Promo Calendar'!$D$6:$D$400,"All",'Promo Calendar'!$I$6:$I$400,"&lt;="&amp;$A425,'Promo Calendar'!$J$6:$J$400,"&gt;="&amp;$A425,'Promo Calendar'!$G$6:$G$400,"&gt;0"),IFERROR(IF(INDEX('Chain Program'!$M$6:$M$120,MATCH($C425,'Chain Program'!$A$6:$A$120,0))="","Not set",INDEX('Chain Program'!$M$6:$M$120,MATCH($C425,'Chain Program'!$A$6:$A$120,0))),"Not set"))))</f>
        <v/>
      </c>
      <c r="I425" s="61" t="n"/>
      <c r="J425" s="45">
        <f>IF($I425="","",IF(NOT(ISNUMBER($H425)),"No plan price",IF(ABS($I425-$H425)&lt;0.005,"Match",IF($I425&gt;$H425,"Over plan","Under plan"))))</f>
        <v/>
      </c>
      <c r="K425" s="60" t="n"/>
      <c r="L425" s="60" t="n"/>
      <c r="M425" s="60" t="n"/>
      <c r="N425" s="60" t="n"/>
      <c r="O425" s="60" t="n"/>
      <c r="P425" s="62" t="n"/>
      <c r="Q425" s="62" t="n"/>
      <c r="R425" s="60" t="n"/>
      <c r="S425" s="59" t="n"/>
      <c r="T425" s="60" t="n"/>
      <c r="U425" s="59" t="n"/>
      <c r="V425" s="45">
        <f>IF(OR($A425="",$T425="",$T425="No Issue"),"",IF($T425="Resolved",IF($U425="","",$U425-$A425),TODAY()-$A425))</f>
        <v/>
      </c>
      <c r="W425" s="47">
        <f>IF(AND($C425&lt;&gt;"",$C425='Store History'!$C$4,OR('Store History'!$C$5="",$F425='Store History'!$C$5)),1,0)</f>
        <v/>
      </c>
      <c r="X425" s="47">
        <f>IF($W425=1,SUM($W425:$W$1005),"")</f>
        <v/>
      </c>
    </row>
    <row r="426">
      <c r="A426" s="59" t="n"/>
      <c r="B426" s="60" t="n"/>
      <c r="C426" s="60" t="n"/>
      <c r="D426" s="45">
        <f>IF($C426="","",IFERROR(INDEX('Chain Program'!$B$6:$B$120,MATCH($C426,'Chain Program'!$A$6:$A$120,0)),"Unknown ID"))</f>
        <v/>
      </c>
      <c r="E426" s="45">
        <f>IF($C426="","",IFERROR(INDEX('Chain Program'!$D$6:$D$120,MATCH($C426,'Chain Program'!$A$6:$A$120,0)),"Unknown ID"))</f>
        <v/>
      </c>
      <c r="F426" s="60" t="n"/>
      <c r="G426" s="60" t="n"/>
      <c r="H426" s="56">
        <f>IF(OR($C426="",$A426=""),"",IF(COUNTIFS('Promo Calendar'!$A$6:$A$400,$C426,'Promo Calendar'!$D$6:$D$400,IF($G426="","All",$G426),'Promo Calendar'!$I$6:$I$400,"&lt;="&amp;$A426,'Promo Calendar'!$J$6:$J$400,"&gt;="&amp;$A426,'Promo Calendar'!$G$6:$G$400,"&gt;0")&gt;0,_xlfn.MINIFS('Promo Calendar'!$G$6:$G$400,'Promo Calendar'!$A$6:$A$400,$C426,'Promo Calendar'!$D$6:$D$400,IF($G426="","All",$G426),'Promo Calendar'!$I$6:$I$400,"&lt;="&amp;$A426,'Promo Calendar'!$J$6:$J$400,"&gt;="&amp;$A426,'Promo Calendar'!$G$6:$G$400,"&gt;0"),IF(COUNTIFS('Promo Calendar'!$A$6:$A$400,$C426,'Promo Calendar'!$D$6:$D$400,"All",'Promo Calendar'!$I$6:$I$400,"&lt;="&amp;$A426,'Promo Calendar'!$J$6:$J$400,"&gt;="&amp;$A426,'Promo Calendar'!$G$6:$G$400,"&gt;0")&gt;0,_xlfn.MINIFS('Promo Calendar'!$G$6:$G$400,'Promo Calendar'!$A$6:$A$400,$C426,'Promo Calendar'!$D$6:$D$400,"All",'Promo Calendar'!$I$6:$I$400,"&lt;="&amp;$A426,'Promo Calendar'!$J$6:$J$400,"&gt;="&amp;$A426,'Promo Calendar'!$G$6:$G$400,"&gt;0"),IFERROR(IF(INDEX('Chain Program'!$M$6:$M$120,MATCH($C426,'Chain Program'!$A$6:$A$120,0))="","Not set",INDEX('Chain Program'!$M$6:$M$120,MATCH($C426,'Chain Program'!$A$6:$A$120,0))),"Not set"))))</f>
        <v/>
      </c>
      <c r="I426" s="61" t="n"/>
      <c r="J426" s="45">
        <f>IF($I426="","",IF(NOT(ISNUMBER($H426)),"No plan price",IF(ABS($I426-$H426)&lt;0.005,"Match",IF($I426&gt;$H426,"Over plan","Under plan"))))</f>
        <v/>
      </c>
      <c r="K426" s="60" t="n"/>
      <c r="L426" s="60" t="n"/>
      <c r="M426" s="60" t="n"/>
      <c r="N426" s="60" t="n"/>
      <c r="O426" s="60" t="n"/>
      <c r="P426" s="62" t="n"/>
      <c r="Q426" s="62" t="n"/>
      <c r="R426" s="60" t="n"/>
      <c r="S426" s="59" t="n"/>
      <c r="T426" s="60" t="n"/>
      <c r="U426" s="59" t="n"/>
      <c r="V426" s="45">
        <f>IF(OR($A426="",$T426="",$T426="No Issue"),"",IF($T426="Resolved",IF($U426="","",$U426-$A426),TODAY()-$A426))</f>
        <v/>
      </c>
      <c r="W426" s="47">
        <f>IF(AND($C426&lt;&gt;"",$C426='Store History'!$C$4,OR('Store History'!$C$5="",$F426='Store History'!$C$5)),1,0)</f>
        <v/>
      </c>
      <c r="X426" s="47">
        <f>IF($W426=1,SUM($W426:$W$1005),"")</f>
        <v/>
      </c>
    </row>
    <row r="427">
      <c r="A427" s="59" t="n"/>
      <c r="B427" s="60" t="n"/>
      <c r="C427" s="60" t="n"/>
      <c r="D427" s="45">
        <f>IF($C427="","",IFERROR(INDEX('Chain Program'!$B$6:$B$120,MATCH($C427,'Chain Program'!$A$6:$A$120,0)),"Unknown ID"))</f>
        <v/>
      </c>
      <c r="E427" s="45">
        <f>IF($C427="","",IFERROR(INDEX('Chain Program'!$D$6:$D$120,MATCH($C427,'Chain Program'!$A$6:$A$120,0)),"Unknown ID"))</f>
        <v/>
      </c>
      <c r="F427" s="60" t="n"/>
      <c r="G427" s="60" t="n"/>
      <c r="H427" s="56">
        <f>IF(OR($C427="",$A427=""),"",IF(COUNTIFS('Promo Calendar'!$A$6:$A$400,$C427,'Promo Calendar'!$D$6:$D$400,IF($G427="","All",$G427),'Promo Calendar'!$I$6:$I$400,"&lt;="&amp;$A427,'Promo Calendar'!$J$6:$J$400,"&gt;="&amp;$A427,'Promo Calendar'!$G$6:$G$400,"&gt;0")&gt;0,_xlfn.MINIFS('Promo Calendar'!$G$6:$G$400,'Promo Calendar'!$A$6:$A$400,$C427,'Promo Calendar'!$D$6:$D$400,IF($G427="","All",$G427),'Promo Calendar'!$I$6:$I$400,"&lt;="&amp;$A427,'Promo Calendar'!$J$6:$J$400,"&gt;="&amp;$A427,'Promo Calendar'!$G$6:$G$400,"&gt;0"),IF(COUNTIFS('Promo Calendar'!$A$6:$A$400,$C427,'Promo Calendar'!$D$6:$D$400,"All",'Promo Calendar'!$I$6:$I$400,"&lt;="&amp;$A427,'Promo Calendar'!$J$6:$J$400,"&gt;="&amp;$A427,'Promo Calendar'!$G$6:$G$400,"&gt;0")&gt;0,_xlfn.MINIFS('Promo Calendar'!$G$6:$G$400,'Promo Calendar'!$A$6:$A$400,$C427,'Promo Calendar'!$D$6:$D$400,"All",'Promo Calendar'!$I$6:$I$400,"&lt;="&amp;$A427,'Promo Calendar'!$J$6:$J$400,"&gt;="&amp;$A427,'Promo Calendar'!$G$6:$G$400,"&gt;0"),IFERROR(IF(INDEX('Chain Program'!$M$6:$M$120,MATCH($C427,'Chain Program'!$A$6:$A$120,0))="","Not set",INDEX('Chain Program'!$M$6:$M$120,MATCH($C427,'Chain Program'!$A$6:$A$120,0))),"Not set"))))</f>
        <v/>
      </c>
      <c r="I427" s="61" t="n"/>
      <c r="J427" s="45">
        <f>IF($I427="","",IF(NOT(ISNUMBER($H427)),"No plan price",IF(ABS($I427-$H427)&lt;0.005,"Match",IF($I427&gt;$H427,"Over plan","Under plan"))))</f>
        <v/>
      </c>
      <c r="K427" s="60" t="n"/>
      <c r="L427" s="60" t="n"/>
      <c r="M427" s="60" t="n"/>
      <c r="N427" s="60" t="n"/>
      <c r="O427" s="60" t="n"/>
      <c r="P427" s="62" t="n"/>
      <c r="Q427" s="62" t="n"/>
      <c r="R427" s="60" t="n"/>
      <c r="S427" s="59" t="n"/>
      <c r="T427" s="60" t="n"/>
      <c r="U427" s="59" t="n"/>
      <c r="V427" s="45">
        <f>IF(OR($A427="",$T427="",$T427="No Issue"),"",IF($T427="Resolved",IF($U427="","",$U427-$A427),TODAY()-$A427))</f>
        <v/>
      </c>
      <c r="W427" s="47">
        <f>IF(AND($C427&lt;&gt;"",$C427='Store History'!$C$4,OR('Store History'!$C$5="",$F427='Store History'!$C$5)),1,0)</f>
        <v/>
      </c>
      <c r="X427" s="47">
        <f>IF($W427=1,SUM($W427:$W$1005),"")</f>
        <v/>
      </c>
    </row>
    <row r="428">
      <c r="A428" s="59" t="n"/>
      <c r="B428" s="60" t="n"/>
      <c r="C428" s="60" t="n"/>
      <c r="D428" s="45">
        <f>IF($C428="","",IFERROR(INDEX('Chain Program'!$B$6:$B$120,MATCH($C428,'Chain Program'!$A$6:$A$120,0)),"Unknown ID"))</f>
        <v/>
      </c>
      <c r="E428" s="45">
        <f>IF($C428="","",IFERROR(INDEX('Chain Program'!$D$6:$D$120,MATCH($C428,'Chain Program'!$A$6:$A$120,0)),"Unknown ID"))</f>
        <v/>
      </c>
      <c r="F428" s="60" t="n"/>
      <c r="G428" s="60" t="n"/>
      <c r="H428" s="56">
        <f>IF(OR($C428="",$A428=""),"",IF(COUNTIFS('Promo Calendar'!$A$6:$A$400,$C428,'Promo Calendar'!$D$6:$D$400,IF($G428="","All",$G428),'Promo Calendar'!$I$6:$I$400,"&lt;="&amp;$A428,'Promo Calendar'!$J$6:$J$400,"&gt;="&amp;$A428,'Promo Calendar'!$G$6:$G$400,"&gt;0")&gt;0,_xlfn.MINIFS('Promo Calendar'!$G$6:$G$400,'Promo Calendar'!$A$6:$A$400,$C428,'Promo Calendar'!$D$6:$D$400,IF($G428="","All",$G428),'Promo Calendar'!$I$6:$I$400,"&lt;="&amp;$A428,'Promo Calendar'!$J$6:$J$400,"&gt;="&amp;$A428,'Promo Calendar'!$G$6:$G$400,"&gt;0"),IF(COUNTIFS('Promo Calendar'!$A$6:$A$400,$C428,'Promo Calendar'!$D$6:$D$400,"All",'Promo Calendar'!$I$6:$I$400,"&lt;="&amp;$A428,'Promo Calendar'!$J$6:$J$400,"&gt;="&amp;$A428,'Promo Calendar'!$G$6:$G$400,"&gt;0")&gt;0,_xlfn.MINIFS('Promo Calendar'!$G$6:$G$400,'Promo Calendar'!$A$6:$A$400,$C428,'Promo Calendar'!$D$6:$D$400,"All",'Promo Calendar'!$I$6:$I$400,"&lt;="&amp;$A428,'Promo Calendar'!$J$6:$J$400,"&gt;="&amp;$A428,'Promo Calendar'!$G$6:$G$400,"&gt;0"),IFERROR(IF(INDEX('Chain Program'!$M$6:$M$120,MATCH($C428,'Chain Program'!$A$6:$A$120,0))="","Not set",INDEX('Chain Program'!$M$6:$M$120,MATCH($C428,'Chain Program'!$A$6:$A$120,0))),"Not set"))))</f>
        <v/>
      </c>
      <c r="I428" s="61" t="n"/>
      <c r="J428" s="45">
        <f>IF($I428="","",IF(NOT(ISNUMBER($H428)),"No plan price",IF(ABS($I428-$H428)&lt;0.005,"Match",IF($I428&gt;$H428,"Over plan","Under plan"))))</f>
        <v/>
      </c>
      <c r="K428" s="60" t="n"/>
      <c r="L428" s="60" t="n"/>
      <c r="M428" s="60" t="n"/>
      <c r="N428" s="60" t="n"/>
      <c r="O428" s="60" t="n"/>
      <c r="P428" s="62" t="n"/>
      <c r="Q428" s="62" t="n"/>
      <c r="R428" s="60" t="n"/>
      <c r="S428" s="59" t="n"/>
      <c r="T428" s="60" t="n"/>
      <c r="U428" s="59" t="n"/>
      <c r="V428" s="45">
        <f>IF(OR($A428="",$T428="",$T428="No Issue"),"",IF($T428="Resolved",IF($U428="","",$U428-$A428),TODAY()-$A428))</f>
        <v/>
      </c>
      <c r="W428" s="47">
        <f>IF(AND($C428&lt;&gt;"",$C428='Store History'!$C$4,OR('Store History'!$C$5="",$F428='Store History'!$C$5)),1,0)</f>
        <v/>
      </c>
      <c r="X428" s="47">
        <f>IF($W428=1,SUM($W428:$W$1005),"")</f>
        <v/>
      </c>
    </row>
    <row r="429">
      <c r="A429" s="59" t="n"/>
      <c r="B429" s="60" t="n"/>
      <c r="C429" s="60" t="n"/>
      <c r="D429" s="45">
        <f>IF($C429="","",IFERROR(INDEX('Chain Program'!$B$6:$B$120,MATCH($C429,'Chain Program'!$A$6:$A$120,0)),"Unknown ID"))</f>
        <v/>
      </c>
      <c r="E429" s="45">
        <f>IF($C429="","",IFERROR(INDEX('Chain Program'!$D$6:$D$120,MATCH($C429,'Chain Program'!$A$6:$A$120,0)),"Unknown ID"))</f>
        <v/>
      </c>
      <c r="F429" s="60" t="n"/>
      <c r="G429" s="60" t="n"/>
      <c r="H429" s="56">
        <f>IF(OR($C429="",$A429=""),"",IF(COUNTIFS('Promo Calendar'!$A$6:$A$400,$C429,'Promo Calendar'!$D$6:$D$400,IF($G429="","All",$G429),'Promo Calendar'!$I$6:$I$400,"&lt;="&amp;$A429,'Promo Calendar'!$J$6:$J$400,"&gt;="&amp;$A429,'Promo Calendar'!$G$6:$G$400,"&gt;0")&gt;0,_xlfn.MINIFS('Promo Calendar'!$G$6:$G$400,'Promo Calendar'!$A$6:$A$400,$C429,'Promo Calendar'!$D$6:$D$400,IF($G429="","All",$G429),'Promo Calendar'!$I$6:$I$400,"&lt;="&amp;$A429,'Promo Calendar'!$J$6:$J$400,"&gt;="&amp;$A429,'Promo Calendar'!$G$6:$G$400,"&gt;0"),IF(COUNTIFS('Promo Calendar'!$A$6:$A$400,$C429,'Promo Calendar'!$D$6:$D$400,"All",'Promo Calendar'!$I$6:$I$400,"&lt;="&amp;$A429,'Promo Calendar'!$J$6:$J$400,"&gt;="&amp;$A429,'Promo Calendar'!$G$6:$G$400,"&gt;0")&gt;0,_xlfn.MINIFS('Promo Calendar'!$G$6:$G$400,'Promo Calendar'!$A$6:$A$400,$C429,'Promo Calendar'!$D$6:$D$400,"All",'Promo Calendar'!$I$6:$I$400,"&lt;="&amp;$A429,'Promo Calendar'!$J$6:$J$400,"&gt;="&amp;$A429,'Promo Calendar'!$G$6:$G$400,"&gt;0"),IFERROR(IF(INDEX('Chain Program'!$M$6:$M$120,MATCH($C429,'Chain Program'!$A$6:$A$120,0))="","Not set",INDEX('Chain Program'!$M$6:$M$120,MATCH($C429,'Chain Program'!$A$6:$A$120,0))),"Not set"))))</f>
        <v/>
      </c>
      <c r="I429" s="61" t="n"/>
      <c r="J429" s="45">
        <f>IF($I429="","",IF(NOT(ISNUMBER($H429)),"No plan price",IF(ABS($I429-$H429)&lt;0.005,"Match",IF($I429&gt;$H429,"Over plan","Under plan"))))</f>
        <v/>
      </c>
      <c r="K429" s="60" t="n"/>
      <c r="L429" s="60" t="n"/>
      <c r="M429" s="60" t="n"/>
      <c r="N429" s="60" t="n"/>
      <c r="O429" s="60" t="n"/>
      <c r="P429" s="62" t="n"/>
      <c r="Q429" s="62" t="n"/>
      <c r="R429" s="60" t="n"/>
      <c r="S429" s="59" t="n"/>
      <c r="T429" s="60" t="n"/>
      <c r="U429" s="59" t="n"/>
      <c r="V429" s="45">
        <f>IF(OR($A429="",$T429="",$T429="No Issue"),"",IF($T429="Resolved",IF($U429="","",$U429-$A429),TODAY()-$A429))</f>
        <v/>
      </c>
      <c r="W429" s="47">
        <f>IF(AND($C429&lt;&gt;"",$C429='Store History'!$C$4,OR('Store History'!$C$5="",$F429='Store History'!$C$5)),1,0)</f>
        <v/>
      </c>
      <c r="X429" s="47">
        <f>IF($W429=1,SUM($W429:$W$1005),"")</f>
        <v/>
      </c>
    </row>
    <row r="430">
      <c r="A430" s="59" t="n"/>
      <c r="B430" s="60" t="n"/>
      <c r="C430" s="60" t="n"/>
      <c r="D430" s="45">
        <f>IF($C430="","",IFERROR(INDEX('Chain Program'!$B$6:$B$120,MATCH($C430,'Chain Program'!$A$6:$A$120,0)),"Unknown ID"))</f>
        <v/>
      </c>
      <c r="E430" s="45">
        <f>IF($C430="","",IFERROR(INDEX('Chain Program'!$D$6:$D$120,MATCH($C430,'Chain Program'!$A$6:$A$120,0)),"Unknown ID"))</f>
        <v/>
      </c>
      <c r="F430" s="60" t="n"/>
      <c r="G430" s="60" t="n"/>
      <c r="H430" s="56">
        <f>IF(OR($C430="",$A430=""),"",IF(COUNTIFS('Promo Calendar'!$A$6:$A$400,$C430,'Promo Calendar'!$D$6:$D$400,IF($G430="","All",$G430),'Promo Calendar'!$I$6:$I$400,"&lt;="&amp;$A430,'Promo Calendar'!$J$6:$J$400,"&gt;="&amp;$A430,'Promo Calendar'!$G$6:$G$400,"&gt;0")&gt;0,_xlfn.MINIFS('Promo Calendar'!$G$6:$G$400,'Promo Calendar'!$A$6:$A$400,$C430,'Promo Calendar'!$D$6:$D$400,IF($G430="","All",$G430),'Promo Calendar'!$I$6:$I$400,"&lt;="&amp;$A430,'Promo Calendar'!$J$6:$J$400,"&gt;="&amp;$A430,'Promo Calendar'!$G$6:$G$400,"&gt;0"),IF(COUNTIFS('Promo Calendar'!$A$6:$A$400,$C430,'Promo Calendar'!$D$6:$D$400,"All",'Promo Calendar'!$I$6:$I$400,"&lt;="&amp;$A430,'Promo Calendar'!$J$6:$J$400,"&gt;="&amp;$A430,'Promo Calendar'!$G$6:$G$400,"&gt;0")&gt;0,_xlfn.MINIFS('Promo Calendar'!$G$6:$G$400,'Promo Calendar'!$A$6:$A$400,$C430,'Promo Calendar'!$D$6:$D$400,"All",'Promo Calendar'!$I$6:$I$400,"&lt;="&amp;$A430,'Promo Calendar'!$J$6:$J$400,"&gt;="&amp;$A430,'Promo Calendar'!$G$6:$G$400,"&gt;0"),IFERROR(IF(INDEX('Chain Program'!$M$6:$M$120,MATCH($C430,'Chain Program'!$A$6:$A$120,0))="","Not set",INDEX('Chain Program'!$M$6:$M$120,MATCH($C430,'Chain Program'!$A$6:$A$120,0))),"Not set"))))</f>
        <v/>
      </c>
      <c r="I430" s="61" t="n"/>
      <c r="J430" s="45">
        <f>IF($I430="","",IF(NOT(ISNUMBER($H430)),"No plan price",IF(ABS($I430-$H430)&lt;0.005,"Match",IF($I430&gt;$H430,"Over plan","Under plan"))))</f>
        <v/>
      </c>
      <c r="K430" s="60" t="n"/>
      <c r="L430" s="60" t="n"/>
      <c r="M430" s="60" t="n"/>
      <c r="N430" s="60" t="n"/>
      <c r="O430" s="60" t="n"/>
      <c r="P430" s="62" t="n"/>
      <c r="Q430" s="62" t="n"/>
      <c r="R430" s="60" t="n"/>
      <c r="S430" s="59" t="n"/>
      <c r="T430" s="60" t="n"/>
      <c r="U430" s="59" t="n"/>
      <c r="V430" s="45">
        <f>IF(OR($A430="",$T430="",$T430="No Issue"),"",IF($T430="Resolved",IF($U430="","",$U430-$A430),TODAY()-$A430))</f>
        <v/>
      </c>
      <c r="W430" s="47">
        <f>IF(AND($C430&lt;&gt;"",$C430='Store History'!$C$4,OR('Store History'!$C$5="",$F430='Store History'!$C$5)),1,0)</f>
        <v/>
      </c>
      <c r="X430" s="47">
        <f>IF($W430=1,SUM($W430:$W$1005),"")</f>
        <v/>
      </c>
    </row>
    <row r="431">
      <c r="A431" s="59" t="n"/>
      <c r="B431" s="60" t="n"/>
      <c r="C431" s="60" t="n"/>
      <c r="D431" s="45">
        <f>IF($C431="","",IFERROR(INDEX('Chain Program'!$B$6:$B$120,MATCH($C431,'Chain Program'!$A$6:$A$120,0)),"Unknown ID"))</f>
        <v/>
      </c>
      <c r="E431" s="45">
        <f>IF($C431="","",IFERROR(INDEX('Chain Program'!$D$6:$D$120,MATCH($C431,'Chain Program'!$A$6:$A$120,0)),"Unknown ID"))</f>
        <v/>
      </c>
      <c r="F431" s="60" t="n"/>
      <c r="G431" s="60" t="n"/>
      <c r="H431" s="56">
        <f>IF(OR($C431="",$A431=""),"",IF(COUNTIFS('Promo Calendar'!$A$6:$A$400,$C431,'Promo Calendar'!$D$6:$D$400,IF($G431="","All",$G431),'Promo Calendar'!$I$6:$I$400,"&lt;="&amp;$A431,'Promo Calendar'!$J$6:$J$400,"&gt;="&amp;$A431,'Promo Calendar'!$G$6:$G$400,"&gt;0")&gt;0,_xlfn.MINIFS('Promo Calendar'!$G$6:$G$400,'Promo Calendar'!$A$6:$A$400,$C431,'Promo Calendar'!$D$6:$D$400,IF($G431="","All",$G431),'Promo Calendar'!$I$6:$I$400,"&lt;="&amp;$A431,'Promo Calendar'!$J$6:$J$400,"&gt;="&amp;$A431,'Promo Calendar'!$G$6:$G$400,"&gt;0"),IF(COUNTIFS('Promo Calendar'!$A$6:$A$400,$C431,'Promo Calendar'!$D$6:$D$400,"All",'Promo Calendar'!$I$6:$I$400,"&lt;="&amp;$A431,'Promo Calendar'!$J$6:$J$400,"&gt;="&amp;$A431,'Promo Calendar'!$G$6:$G$400,"&gt;0")&gt;0,_xlfn.MINIFS('Promo Calendar'!$G$6:$G$400,'Promo Calendar'!$A$6:$A$400,$C431,'Promo Calendar'!$D$6:$D$400,"All",'Promo Calendar'!$I$6:$I$400,"&lt;="&amp;$A431,'Promo Calendar'!$J$6:$J$400,"&gt;="&amp;$A431,'Promo Calendar'!$G$6:$G$400,"&gt;0"),IFERROR(IF(INDEX('Chain Program'!$M$6:$M$120,MATCH($C431,'Chain Program'!$A$6:$A$120,0))="","Not set",INDEX('Chain Program'!$M$6:$M$120,MATCH($C431,'Chain Program'!$A$6:$A$120,0))),"Not set"))))</f>
        <v/>
      </c>
      <c r="I431" s="61" t="n"/>
      <c r="J431" s="45">
        <f>IF($I431="","",IF(NOT(ISNUMBER($H431)),"No plan price",IF(ABS($I431-$H431)&lt;0.005,"Match",IF($I431&gt;$H431,"Over plan","Under plan"))))</f>
        <v/>
      </c>
      <c r="K431" s="60" t="n"/>
      <c r="L431" s="60" t="n"/>
      <c r="M431" s="60" t="n"/>
      <c r="N431" s="60" t="n"/>
      <c r="O431" s="60" t="n"/>
      <c r="P431" s="62" t="n"/>
      <c r="Q431" s="62" t="n"/>
      <c r="R431" s="60" t="n"/>
      <c r="S431" s="59" t="n"/>
      <c r="T431" s="60" t="n"/>
      <c r="U431" s="59" t="n"/>
      <c r="V431" s="45">
        <f>IF(OR($A431="",$T431="",$T431="No Issue"),"",IF($T431="Resolved",IF($U431="","",$U431-$A431),TODAY()-$A431))</f>
        <v/>
      </c>
      <c r="W431" s="47">
        <f>IF(AND($C431&lt;&gt;"",$C431='Store History'!$C$4,OR('Store History'!$C$5="",$F431='Store History'!$C$5)),1,0)</f>
        <v/>
      </c>
      <c r="X431" s="47">
        <f>IF($W431=1,SUM($W431:$W$1005),"")</f>
        <v/>
      </c>
    </row>
    <row r="432">
      <c r="A432" s="59" t="n"/>
      <c r="B432" s="60" t="n"/>
      <c r="C432" s="60" t="n"/>
      <c r="D432" s="45">
        <f>IF($C432="","",IFERROR(INDEX('Chain Program'!$B$6:$B$120,MATCH($C432,'Chain Program'!$A$6:$A$120,0)),"Unknown ID"))</f>
        <v/>
      </c>
      <c r="E432" s="45">
        <f>IF($C432="","",IFERROR(INDEX('Chain Program'!$D$6:$D$120,MATCH($C432,'Chain Program'!$A$6:$A$120,0)),"Unknown ID"))</f>
        <v/>
      </c>
      <c r="F432" s="60" t="n"/>
      <c r="G432" s="60" t="n"/>
      <c r="H432" s="56">
        <f>IF(OR($C432="",$A432=""),"",IF(COUNTIFS('Promo Calendar'!$A$6:$A$400,$C432,'Promo Calendar'!$D$6:$D$400,IF($G432="","All",$G432),'Promo Calendar'!$I$6:$I$400,"&lt;="&amp;$A432,'Promo Calendar'!$J$6:$J$400,"&gt;="&amp;$A432,'Promo Calendar'!$G$6:$G$400,"&gt;0")&gt;0,_xlfn.MINIFS('Promo Calendar'!$G$6:$G$400,'Promo Calendar'!$A$6:$A$400,$C432,'Promo Calendar'!$D$6:$D$400,IF($G432="","All",$G432),'Promo Calendar'!$I$6:$I$400,"&lt;="&amp;$A432,'Promo Calendar'!$J$6:$J$400,"&gt;="&amp;$A432,'Promo Calendar'!$G$6:$G$400,"&gt;0"),IF(COUNTIFS('Promo Calendar'!$A$6:$A$400,$C432,'Promo Calendar'!$D$6:$D$400,"All",'Promo Calendar'!$I$6:$I$400,"&lt;="&amp;$A432,'Promo Calendar'!$J$6:$J$400,"&gt;="&amp;$A432,'Promo Calendar'!$G$6:$G$400,"&gt;0")&gt;0,_xlfn.MINIFS('Promo Calendar'!$G$6:$G$400,'Promo Calendar'!$A$6:$A$400,$C432,'Promo Calendar'!$D$6:$D$400,"All",'Promo Calendar'!$I$6:$I$400,"&lt;="&amp;$A432,'Promo Calendar'!$J$6:$J$400,"&gt;="&amp;$A432,'Promo Calendar'!$G$6:$G$400,"&gt;0"),IFERROR(IF(INDEX('Chain Program'!$M$6:$M$120,MATCH($C432,'Chain Program'!$A$6:$A$120,0))="","Not set",INDEX('Chain Program'!$M$6:$M$120,MATCH($C432,'Chain Program'!$A$6:$A$120,0))),"Not set"))))</f>
        <v/>
      </c>
      <c r="I432" s="61" t="n"/>
      <c r="J432" s="45">
        <f>IF($I432="","",IF(NOT(ISNUMBER($H432)),"No plan price",IF(ABS($I432-$H432)&lt;0.005,"Match",IF($I432&gt;$H432,"Over plan","Under plan"))))</f>
        <v/>
      </c>
      <c r="K432" s="60" t="n"/>
      <c r="L432" s="60" t="n"/>
      <c r="M432" s="60" t="n"/>
      <c r="N432" s="60" t="n"/>
      <c r="O432" s="60" t="n"/>
      <c r="P432" s="62" t="n"/>
      <c r="Q432" s="62" t="n"/>
      <c r="R432" s="60" t="n"/>
      <c r="S432" s="59" t="n"/>
      <c r="T432" s="60" t="n"/>
      <c r="U432" s="59" t="n"/>
      <c r="V432" s="45">
        <f>IF(OR($A432="",$T432="",$T432="No Issue"),"",IF($T432="Resolved",IF($U432="","",$U432-$A432),TODAY()-$A432))</f>
        <v/>
      </c>
      <c r="W432" s="47">
        <f>IF(AND($C432&lt;&gt;"",$C432='Store History'!$C$4,OR('Store History'!$C$5="",$F432='Store History'!$C$5)),1,0)</f>
        <v/>
      </c>
      <c r="X432" s="47">
        <f>IF($W432=1,SUM($W432:$W$1005),"")</f>
        <v/>
      </c>
    </row>
    <row r="433">
      <c r="A433" s="59" t="n"/>
      <c r="B433" s="60" t="n"/>
      <c r="C433" s="60" t="n"/>
      <c r="D433" s="45">
        <f>IF($C433="","",IFERROR(INDEX('Chain Program'!$B$6:$B$120,MATCH($C433,'Chain Program'!$A$6:$A$120,0)),"Unknown ID"))</f>
        <v/>
      </c>
      <c r="E433" s="45">
        <f>IF($C433="","",IFERROR(INDEX('Chain Program'!$D$6:$D$120,MATCH($C433,'Chain Program'!$A$6:$A$120,0)),"Unknown ID"))</f>
        <v/>
      </c>
      <c r="F433" s="60" t="n"/>
      <c r="G433" s="60" t="n"/>
      <c r="H433" s="56">
        <f>IF(OR($C433="",$A433=""),"",IF(COUNTIFS('Promo Calendar'!$A$6:$A$400,$C433,'Promo Calendar'!$D$6:$D$400,IF($G433="","All",$G433),'Promo Calendar'!$I$6:$I$400,"&lt;="&amp;$A433,'Promo Calendar'!$J$6:$J$400,"&gt;="&amp;$A433,'Promo Calendar'!$G$6:$G$400,"&gt;0")&gt;0,_xlfn.MINIFS('Promo Calendar'!$G$6:$G$400,'Promo Calendar'!$A$6:$A$400,$C433,'Promo Calendar'!$D$6:$D$400,IF($G433="","All",$G433),'Promo Calendar'!$I$6:$I$400,"&lt;="&amp;$A433,'Promo Calendar'!$J$6:$J$400,"&gt;="&amp;$A433,'Promo Calendar'!$G$6:$G$400,"&gt;0"),IF(COUNTIFS('Promo Calendar'!$A$6:$A$400,$C433,'Promo Calendar'!$D$6:$D$400,"All",'Promo Calendar'!$I$6:$I$400,"&lt;="&amp;$A433,'Promo Calendar'!$J$6:$J$400,"&gt;="&amp;$A433,'Promo Calendar'!$G$6:$G$400,"&gt;0")&gt;0,_xlfn.MINIFS('Promo Calendar'!$G$6:$G$400,'Promo Calendar'!$A$6:$A$400,$C433,'Promo Calendar'!$D$6:$D$400,"All",'Promo Calendar'!$I$6:$I$400,"&lt;="&amp;$A433,'Promo Calendar'!$J$6:$J$400,"&gt;="&amp;$A433,'Promo Calendar'!$G$6:$G$400,"&gt;0"),IFERROR(IF(INDEX('Chain Program'!$M$6:$M$120,MATCH($C433,'Chain Program'!$A$6:$A$120,0))="","Not set",INDEX('Chain Program'!$M$6:$M$120,MATCH($C433,'Chain Program'!$A$6:$A$120,0))),"Not set"))))</f>
        <v/>
      </c>
      <c r="I433" s="61" t="n"/>
      <c r="J433" s="45">
        <f>IF($I433="","",IF(NOT(ISNUMBER($H433)),"No plan price",IF(ABS($I433-$H433)&lt;0.005,"Match",IF($I433&gt;$H433,"Over plan","Under plan"))))</f>
        <v/>
      </c>
      <c r="K433" s="60" t="n"/>
      <c r="L433" s="60" t="n"/>
      <c r="M433" s="60" t="n"/>
      <c r="N433" s="60" t="n"/>
      <c r="O433" s="60" t="n"/>
      <c r="P433" s="62" t="n"/>
      <c r="Q433" s="62" t="n"/>
      <c r="R433" s="60" t="n"/>
      <c r="S433" s="59" t="n"/>
      <c r="T433" s="60" t="n"/>
      <c r="U433" s="59" t="n"/>
      <c r="V433" s="45">
        <f>IF(OR($A433="",$T433="",$T433="No Issue"),"",IF($T433="Resolved",IF($U433="","",$U433-$A433),TODAY()-$A433))</f>
        <v/>
      </c>
      <c r="W433" s="47">
        <f>IF(AND($C433&lt;&gt;"",$C433='Store History'!$C$4,OR('Store History'!$C$5="",$F433='Store History'!$C$5)),1,0)</f>
        <v/>
      </c>
      <c r="X433" s="47">
        <f>IF($W433=1,SUM($W433:$W$1005),"")</f>
        <v/>
      </c>
    </row>
    <row r="434">
      <c r="A434" s="59" t="n"/>
      <c r="B434" s="60" t="n"/>
      <c r="C434" s="60" t="n"/>
      <c r="D434" s="45">
        <f>IF($C434="","",IFERROR(INDEX('Chain Program'!$B$6:$B$120,MATCH($C434,'Chain Program'!$A$6:$A$120,0)),"Unknown ID"))</f>
        <v/>
      </c>
      <c r="E434" s="45">
        <f>IF($C434="","",IFERROR(INDEX('Chain Program'!$D$6:$D$120,MATCH($C434,'Chain Program'!$A$6:$A$120,0)),"Unknown ID"))</f>
        <v/>
      </c>
      <c r="F434" s="60" t="n"/>
      <c r="G434" s="60" t="n"/>
      <c r="H434" s="56">
        <f>IF(OR($C434="",$A434=""),"",IF(COUNTIFS('Promo Calendar'!$A$6:$A$400,$C434,'Promo Calendar'!$D$6:$D$400,IF($G434="","All",$G434),'Promo Calendar'!$I$6:$I$400,"&lt;="&amp;$A434,'Promo Calendar'!$J$6:$J$400,"&gt;="&amp;$A434,'Promo Calendar'!$G$6:$G$400,"&gt;0")&gt;0,_xlfn.MINIFS('Promo Calendar'!$G$6:$G$400,'Promo Calendar'!$A$6:$A$400,$C434,'Promo Calendar'!$D$6:$D$400,IF($G434="","All",$G434),'Promo Calendar'!$I$6:$I$400,"&lt;="&amp;$A434,'Promo Calendar'!$J$6:$J$400,"&gt;="&amp;$A434,'Promo Calendar'!$G$6:$G$400,"&gt;0"),IF(COUNTIFS('Promo Calendar'!$A$6:$A$400,$C434,'Promo Calendar'!$D$6:$D$400,"All",'Promo Calendar'!$I$6:$I$400,"&lt;="&amp;$A434,'Promo Calendar'!$J$6:$J$400,"&gt;="&amp;$A434,'Promo Calendar'!$G$6:$G$400,"&gt;0")&gt;0,_xlfn.MINIFS('Promo Calendar'!$G$6:$G$400,'Promo Calendar'!$A$6:$A$400,$C434,'Promo Calendar'!$D$6:$D$400,"All",'Promo Calendar'!$I$6:$I$400,"&lt;="&amp;$A434,'Promo Calendar'!$J$6:$J$400,"&gt;="&amp;$A434,'Promo Calendar'!$G$6:$G$400,"&gt;0"),IFERROR(IF(INDEX('Chain Program'!$M$6:$M$120,MATCH($C434,'Chain Program'!$A$6:$A$120,0))="","Not set",INDEX('Chain Program'!$M$6:$M$120,MATCH($C434,'Chain Program'!$A$6:$A$120,0))),"Not set"))))</f>
        <v/>
      </c>
      <c r="I434" s="61" t="n"/>
      <c r="J434" s="45">
        <f>IF($I434="","",IF(NOT(ISNUMBER($H434)),"No plan price",IF(ABS($I434-$H434)&lt;0.005,"Match",IF($I434&gt;$H434,"Over plan","Under plan"))))</f>
        <v/>
      </c>
      <c r="K434" s="60" t="n"/>
      <c r="L434" s="60" t="n"/>
      <c r="M434" s="60" t="n"/>
      <c r="N434" s="60" t="n"/>
      <c r="O434" s="60" t="n"/>
      <c r="P434" s="62" t="n"/>
      <c r="Q434" s="62" t="n"/>
      <c r="R434" s="60" t="n"/>
      <c r="S434" s="59" t="n"/>
      <c r="T434" s="60" t="n"/>
      <c r="U434" s="59" t="n"/>
      <c r="V434" s="45">
        <f>IF(OR($A434="",$T434="",$T434="No Issue"),"",IF($T434="Resolved",IF($U434="","",$U434-$A434),TODAY()-$A434))</f>
        <v/>
      </c>
      <c r="W434" s="47">
        <f>IF(AND($C434&lt;&gt;"",$C434='Store History'!$C$4,OR('Store History'!$C$5="",$F434='Store History'!$C$5)),1,0)</f>
        <v/>
      </c>
      <c r="X434" s="47">
        <f>IF($W434=1,SUM($W434:$W$1005),"")</f>
        <v/>
      </c>
    </row>
    <row r="435">
      <c r="A435" s="59" t="n"/>
      <c r="B435" s="60" t="n"/>
      <c r="C435" s="60" t="n"/>
      <c r="D435" s="45">
        <f>IF($C435="","",IFERROR(INDEX('Chain Program'!$B$6:$B$120,MATCH($C435,'Chain Program'!$A$6:$A$120,0)),"Unknown ID"))</f>
        <v/>
      </c>
      <c r="E435" s="45">
        <f>IF($C435="","",IFERROR(INDEX('Chain Program'!$D$6:$D$120,MATCH($C435,'Chain Program'!$A$6:$A$120,0)),"Unknown ID"))</f>
        <v/>
      </c>
      <c r="F435" s="60" t="n"/>
      <c r="G435" s="60" t="n"/>
      <c r="H435" s="56">
        <f>IF(OR($C435="",$A435=""),"",IF(COUNTIFS('Promo Calendar'!$A$6:$A$400,$C435,'Promo Calendar'!$D$6:$D$400,IF($G435="","All",$G435),'Promo Calendar'!$I$6:$I$400,"&lt;="&amp;$A435,'Promo Calendar'!$J$6:$J$400,"&gt;="&amp;$A435,'Promo Calendar'!$G$6:$G$400,"&gt;0")&gt;0,_xlfn.MINIFS('Promo Calendar'!$G$6:$G$400,'Promo Calendar'!$A$6:$A$400,$C435,'Promo Calendar'!$D$6:$D$400,IF($G435="","All",$G435),'Promo Calendar'!$I$6:$I$400,"&lt;="&amp;$A435,'Promo Calendar'!$J$6:$J$400,"&gt;="&amp;$A435,'Promo Calendar'!$G$6:$G$400,"&gt;0"),IF(COUNTIFS('Promo Calendar'!$A$6:$A$400,$C435,'Promo Calendar'!$D$6:$D$400,"All",'Promo Calendar'!$I$6:$I$400,"&lt;="&amp;$A435,'Promo Calendar'!$J$6:$J$400,"&gt;="&amp;$A435,'Promo Calendar'!$G$6:$G$400,"&gt;0")&gt;0,_xlfn.MINIFS('Promo Calendar'!$G$6:$G$400,'Promo Calendar'!$A$6:$A$400,$C435,'Promo Calendar'!$D$6:$D$400,"All",'Promo Calendar'!$I$6:$I$400,"&lt;="&amp;$A435,'Promo Calendar'!$J$6:$J$400,"&gt;="&amp;$A435,'Promo Calendar'!$G$6:$G$400,"&gt;0"),IFERROR(IF(INDEX('Chain Program'!$M$6:$M$120,MATCH($C435,'Chain Program'!$A$6:$A$120,0))="","Not set",INDEX('Chain Program'!$M$6:$M$120,MATCH($C435,'Chain Program'!$A$6:$A$120,0))),"Not set"))))</f>
        <v/>
      </c>
      <c r="I435" s="61" t="n"/>
      <c r="J435" s="45">
        <f>IF($I435="","",IF(NOT(ISNUMBER($H435)),"No plan price",IF(ABS($I435-$H435)&lt;0.005,"Match",IF($I435&gt;$H435,"Over plan","Under plan"))))</f>
        <v/>
      </c>
      <c r="K435" s="60" t="n"/>
      <c r="L435" s="60" t="n"/>
      <c r="M435" s="60" t="n"/>
      <c r="N435" s="60" t="n"/>
      <c r="O435" s="60" t="n"/>
      <c r="P435" s="62" t="n"/>
      <c r="Q435" s="62" t="n"/>
      <c r="R435" s="60" t="n"/>
      <c r="S435" s="59" t="n"/>
      <c r="T435" s="60" t="n"/>
      <c r="U435" s="59" t="n"/>
      <c r="V435" s="45">
        <f>IF(OR($A435="",$T435="",$T435="No Issue"),"",IF($T435="Resolved",IF($U435="","",$U435-$A435),TODAY()-$A435))</f>
        <v/>
      </c>
      <c r="W435" s="47">
        <f>IF(AND($C435&lt;&gt;"",$C435='Store History'!$C$4,OR('Store History'!$C$5="",$F435='Store History'!$C$5)),1,0)</f>
        <v/>
      </c>
      <c r="X435" s="47">
        <f>IF($W435=1,SUM($W435:$W$1005),"")</f>
        <v/>
      </c>
    </row>
    <row r="436">
      <c r="A436" s="59" t="n"/>
      <c r="B436" s="60" t="n"/>
      <c r="C436" s="60" t="n"/>
      <c r="D436" s="45">
        <f>IF($C436="","",IFERROR(INDEX('Chain Program'!$B$6:$B$120,MATCH($C436,'Chain Program'!$A$6:$A$120,0)),"Unknown ID"))</f>
        <v/>
      </c>
      <c r="E436" s="45">
        <f>IF($C436="","",IFERROR(INDEX('Chain Program'!$D$6:$D$120,MATCH($C436,'Chain Program'!$A$6:$A$120,0)),"Unknown ID"))</f>
        <v/>
      </c>
      <c r="F436" s="60" t="n"/>
      <c r="G436" s="60" t="n"/>
      <c r="H436" s="56">
        <f>IF(OR($C436="",$A436=""),"",IF(COUNTIFS('Promo Calendar'!$A$6:$A$400,$C436,'Promo Calendar'!$D$6:$D$400,IF($G436="","All",$G436),'Promo Calendar'!$I$6:$I$400,"&lt;="&amp;$A436,'Promo Calendar'!$J$6:$J$400,"&gt;="&amp;$A436,'Promo Calendar'!$G$6:$G$400,"&gt;0")&gt;0,_xlfn.MINIFS('Promo Calendar'!$G$6:$G$400,'Promo Calendar'!$A$6:$A$400,$C436,'Promo Calendar'!$D$6:$D$400,IF($G436="","All",$G436),'Promo Calendar'!$I$6:$I$400,"&lt;="&amp;$A436,'Promo Calendar'!$J$6:$J$400,"&gt;="&amp;$A436,'Promo Calendar'!$G$6:$G$400,"&gt;0"),IF(COUNTIFS('Promo Calendar'!$A$6:$A$400,$C436,'Promo Calendar'!$D$6:$D$400,"All",'Promo Calendar'!$I$6:$I$400,"&lt;="&amp;$A436,'Promo Calendar'!$J$6:$J$400,"&gt;="&amp;$A436,'Promo Calendar'!$G$6:$G$400,"&gt;0")&gt;0,_xlfn.MINIFS('Promo Calendar'!$G$6:$G$400,'Promo Calendar'!$A$6:$A$400,$C436,'Promo Calendar'!$D$6:$D$400,"All",'Promo Calendar'!$I$6:$I$400,"&lt;="&amp;$A436,'Promo Calendar'!$J$6:$J$400,"&gt;="&amp;$A436,'Promo Calendar'!$G$6:$G$400,"&gt;0"),IFERROR(IF(INDEX('Chain Program'!$M$6:$M$120,MATCH($C436,'Chain Program'!$A$6:$A$120,0))="","Not set",INDEX('Chain Program'!$M$6:$M$120,MATCH($C436,'Chain Program'!$A$6:$A$120,0))),"Not set"))))</f>
        <v/>
      </c>
      <c r="I436" s="61" t="n"/>
      <c r="J436" s="45">
        <f>IF($I436="","",IF(NOT(ISNUMBER($H436)),"No plan price",IF(ABS($I436-$H436)&lt;0.005,"Match",IF($I436&gt;$H436,"Over plan","Under plan"))))</f>
        <v/>
      </c>
      <c r="K436" s="60" t="n"/>
      <c r="L436" s="60" t="n"/>
      <c r="M436" s="60" t="n"/>
      <c r="N436" s="60" t="n"/>
      <c r="O436" s="60" t="n"/>
      <c r="P436" s="62" t="n"/>
      <c r="Q436" s="62" t="n"/>
      <c r="R436" s="60" t="n"/>
      <c r="S436" s="59" t="n"/>
      <c r="T436" s="60" t="n"/>
      <c r="U436" s="59" t="n"/>
      <c r="V436" s="45">
        <f>IF(OR($A436="",$T436="",$T436="No Issue"),"",IF($T436="Resolved",IF($U436="","",$U436-$A436),TODAY()-$A436))</f>
        <v/>
      </c>
      <c r="W436" s="47">
        <f>IF(AND($C436&lt;&gt;"",$C436='Store History'!$C$4,OR('Store History'!$C$5="",$F436='Store History'!$C$5)),1,0)</f>
        <v/>
      </c>
      <c r="X436" s="47">
        <f>IF($W436=1,SUM($W436:$W$1005),"")</f>
        <v/>
      </c>
    </row>
    <row r="437">
      <c r="A437" s="59" t="n"/>
      <c r="B437" s="60" t="n"/>
      <c r="C437" s="60" t="n"/>
      <c r="D437" s="45">
        <f>IF($C437="","",IFERROR(INDEX('Chain Program'!$B$6:$B$120,MATCH($C437,'Chain Program'!$A$6:$A$120,0)),"Unknown ID"))</f>
        <v/>
      </c>
      <c r="E437" s="45">
        <f>IF($C437="","",IFERROR(INDEX('Chain Program'!$D$6:$D$120,MATCH($C437,'Chain Program'!$A$6:$A$120,0)),"Unknown ID"))</f>
        <v/>
      </c>
      <c r="F437" s="60" t="n"/>
      <c r="G437" s="60" t="n"/>
      <c r="H437" s="56">
        <f>IF(OR($C437="",$A437=""),"",IF(COUNTIFS('Promo Calendar'!$A$6:$A$400,$C437,'Promo Calendar'!$D$6:$D$400,IF($G437="","All",$G437),'Promo Calendar'!$I$6:$I$400,"&lt;="&amp;$A437,'Promo Calendar'!$J$6:$J$400,"&gt;="&amp;$A437,'Promo Calendar'!$G$6:$G$400,"&gt;0")&gt;0,_xlfn.MINIFS('Promo Calendar'!$G$6:$G$400,'Promo Calendar'!$A$6:$A$400,$C437,'Promo Calendar'!$D$6:$D$400,IF($G437="","All",$G437),'Promo Calendar'!$I$6:$I$400,"&lt;="&amp;$A437,'Promo Calendar'!$J$6:$J$400,"&gt;="&amp;$A437,'Promo Calendar'!$G$6:$G$400,"&gt;0"),IF(COUNTIFS('Promo Calendar'!$A$6:$A$400,$C437,'Promo Calendar'!$D$6:$D$400,"All",'Promo Calendar'!$I$6:$I$400,"&lt;="&amp;$A437,'Promo Calendar'!$J$6:$J$400,"&gt;="&amp;$A437,'Promo Calendar'!$G$6:$G$400,"&gt;0")&gt;0,_xlfn.MINIFS('Promo Calendar'!$G$6:$G$400,'Promo Calendar'!$A$6:$A$400,$C437,'Promo Calendar'!$D$6:$D$400,"All",'Promo Calendar'!$I$6:$I$400,"&lt;="&amp;$A437,'Promo Calendar'!$J$6:$J$400,"&gt;="&amp;$A437,'Promo Calendar'!$G$6:$G$400,"&gt;0"),IFERROR(IF(INDEX('Chain Program'!$M$6:$M$120,MATCH($C437,'Chain Program'!$A$6:$A$120,0))="","Not set",INDEX('Chain Program'!$M$6:$M$120,MATCH($C437,'Chain Program'!$A$6:$A$120,0))),"Not set"))))</f>
        <v/>
      </c>
      <c r="I437" s="61" t="n"/>
      <c r="J437" s="45">
        <f>IF($I437="","",IF(NOT(ISNUMBER($H437)),"No plan price",IF(ABS($I437-$H437)&lt;0.005,"Match",IF($I437&gt;$H437,"Over plan","Under plan"))))</f>
        <v/>
      </c>
      <c r="K437" s="60" t="n"/>
      <c r="L437" s="60" t="n"/>
      <c r="M437" s="60" t="n"/>
      <c r="N437" s="60" t="n"/>
      <c r="O437" s="60" t="n"/>
      <c r="P437" s="62" t="n"/>
      <c r="Q437" s="62" t="n"/>
      <c r="R437" s="60" t="n"/>
      <c r="S437" s="59" t="n"/>
      <c r="T437" s="60" t="n"/>
      <c r="U437" s="59" t="n"/>
      <c r="V437" s="45">
        <f>IF(OR($A437="",$T437="",$T437="No Issue"),"",IF($T437="Resolved",IF($U437="","",$U437-$A437),TODAY()-$A437))</f>
        <v/>
      </c>
      <c r="W437" s="47">
        <f>IF(AND($C437&lt;&gt;"",$C437='Store History'!$C$4,OR('Store History'!$C$5="",$F437='Store History'!$C$5)),1,0)</f>
        <v/>
      </c>
      <c r="X437" s="47">
        <f>IF($W437=1,SUM($W437:$W$1005),"")</f>
        <v/>
      </c>
    </row>
    <row r="438">
      <c r="A438" s="59" t="n"/>
      <c r="B438" s="60" t="n"/>
      <c r="C438" s="60" t="n"/>
      <c r="D438" s="45">
        <f>IF($C438="","",IFERROR(INDEX('Chain Program'!$B$6:$B$120,MATCH($C438,'Chain Program'!$A$6:$A$120,0)),"Unknown ID"))</f>
        <v/>
      </c>
      <c r="E438" s="45">
        <f>IF($C438="","",IFERROR(INDEX('Chain Program'!$D$6:$D$120,MATCH($C438,'Chain Program'!$A$6:$A$120,0)),"Unknown ID"))</f>
        <v/>
      </c>
      <c r="F438" s="60" t="n"/>
      <c r="G438" s="60" t="n"/>
      <c r="H438" s="56">
        <f>IF(OR($C438="",$A438=""),"",IF(COUNTIFS('Promo Calendar'!$A$6:$A$400,$C438,'Promo Calendar'!$D$6:$D$400,IF($G438="","All",$G438),'Promo Calendar'!$I$6:$I$400,"&lt;="&amp;$A438,'Promo Calendar'!$J$6:$J$400,"&gt;="&amp;$A438,'Promo Calendar'!$G$6:$G$400,"&gt;0")&gt;0,_xlfn.MINIFS('Promo Calendar'!$G$6:$G$400,'Promo Calendar'!$A$6:$A$400,$C438,'Promo Calendar'!$D$6:$D$400,IF($G438="","All",$G438),'Promo Calendar'!$I$6:$I$400,"&lt;="&amp;$A438,'Promo Calendar'!$J$6:$J$400,"&gt;="&amp;$A438,'Promo Calendar'!$G$6:$G$400,"&gt;0"),IF(COUNTIFS('Promo Calendar'!$A$6:$A$400,$C438,'Promo Calendar'!$D$6:$D$400,"All",'Promo Calendar'!$I$6:$I$400,"&lt;="&amp;$A438,'Promo Calendar'!$J$6:$J$400,"&gt;="&amp;$A438,'Promo Calendar'!$G$6:$G$400,"&gt;0")&gt;0,_xlfn.MINIFS('Promo Calendar'!$G$6:$G$400,'Promo Calendar'!$A$6:$A$400,$C438,'Promo Calendar'!$D$6:$D$400,"All",'Promo Calendar'!$I$6:$I$400,"&lt;="&amp;$A438,'Promo Calendar'!$J$6:$J$400,"&gt;="&amp;$A438,'Promo Calendar'!$G$6:$G$400,"&gt;0"),IFERROR(IF(INDEX('Chain Program'!$M$6:$M$120,MATCH($C438,'Chain Program'!$A$6:$A$120,0))="","Not set",INDEX('Chain Program'!$M$6:$M$120,MATCH($C438,'Chain Program'!$A$6:$A$120,0))),"Not set"))))</f>
        <v/>
      </c>
      <c r="I438" s="61" t="n"/>
      <c r="J438" s="45">
        <f>IF($I438="","",IF(NOT(ISNUMBER($H438)),"No plan price",IF(ABS($I438-$H438)&lt;0.005,"Match",IF($I438&gt;$H438,"Over plan","Under plan"))))</f>
        <v/>
      </c>
      <c r="K438" s="60" t="n"/>
      <c r="L438" s="60" t="n"/>
      <c r="M438" s="60" t="n"/>
      <c r="N438" s="60" t="n"/>
      <c r="O438" s="60" t="n"/>
      <c r="P438" s="62" t="n"/>
      <c r="Q438" s="62" t="n"/>
      <c r="R438" s="60" t="n"/>
      <c r="S438" s="59" t="n"/>
      <c r="T438" s="60" t="n"/>
      <c r="U438" s="59" t="n"/>
      <c r="V438" s="45">
        <f>IF(OR($A438="",$T438="",$T438="No Issue"),"",IF($T438="Resolved",IF($U438="","",$U438-$A438),TODAY()-$A438))</f>
        <v/>
      </c>
      <c r="W438" s="47">
        <f>IF(AND($C438&lt;&gt;"",$C438='Store History'!$C$4,OR('Store History'!$C$5="",$F438='Store History'!$C$5)),1,0)</f>
        <v/>
      </c>
      <c r="X438" s="47">
        <f>IF($W438=1,SUM($W438:$W$1005),"")</f>
        <v/>
      </c>
    </row>
    <row r="439">
      <c r="A439" s="59" t="n"/>
      <c r="B439" s="60" t="n"/>
      <c r="C439" s="60" t="n"/>
      <c r="D439" s="45">
        <f>IF($C439="","",IFERROR(INDEX('Chain Program'!$B$6:$B$120,MATCH($C439,'Chain Program'!$A$6:$A$120,0)),"Unknown ID"))</f>
        <v/>
      </c>
      <c r="E439" s="45">
        <f>IF($C439="","",IFERROR(INDEX('Chain Program'!$D$6:$D$120,MATCH($C439,'Chain Program'!$A$6:$A$120,0)),"Unknown ID"))</f>
        <v/>
      </c>
      <c r="F439" s="60" t="n"/>
      <c r="G439" s="60" t="n"/>
      <c r="H439" s="56">
        <f>IF(OR($C439="",$A439=""),"",IF(COUNTIFS('Promo Calendar'!$A$6:$A$400,$C439,'Promo Calendar'!$D$6:$D$400,IF($G439="","All",$G439),'Promo Calendar'!$I$6:$I$400,"&lt;="&amp;$A439,'Promo Calendar'!$J$6:$J$400,"&gt;="&amp;$A439,'Promo Calendar'!$G$6:$G$400,"&gt;0")&gt;0,_xlfn.MINIFS('Promo Calendar'!$G$6:$G$400,'Promo Calendar'!$A$6:$A$400,$C439,'Promo Calendar'!$D$6:$D$400,IF($G439="","All",$G439),'Promo Calendar'!$I$6:$I$400,"&lt;="&amp;$A439,'Promo Calendar'!$J$6:$J$400,"&gt;="&amp;$A439,'Promo Calendar'!$G$6:$G$400,"&gt;0"),IF(COUNTIFS('Promo Calendar'!$A$6:$A$400,$C439,'Promo Calendar'!$D$6:$D$400,"All",'Promo Calendar'!$I$6:$I$400,"&lt;="&amp;$A439,'Promo Calendar'!$J$6:$J$400,"&gt;="&amp;$A439,'Promo Calendar'!$G$6:$G$400,"&gt;0")&gt;0,_xlfn.MINIFS('Promo Calendar'!$G$6:$G$400,'Promo Calendar'!$A$6:$A$400,$C439,'Promo Calendar'!$D$6:$D$400,"All",'Promo Calendar'!$I$6:$I$400,"&lt;="&amp;$A439,'Promo Calendar'!$J$6:$J$400,"&gt;="&amp;$A439,'Promo Calendar'!$G$6:$G$400,"&gt;0"),IFERROR(IF(INDEX('Chain Program'!$M$6:$M$120,MATCH($C439,'Chain Program'!$A$6:$A$120,0))="","Not set",INDEX('Chain Program'!$M$6:$M$120,MATCH($C439,'Chain Program'!$A$6:$A$120,0))),"Not set"))))</f>
        <v/>
      </c>
      <c r="I439" s="61" t="n"/>
      <c r="J439" s="45">
        <f>IF($I439="","",IF(NOT(ISNUMBER($H439)),"No plan price",IF(ABS($I439-$H439)&lt;0.005,"Match",IF($I439&gt;$H439,"Over plan","Under plan"))))</f>
        <v/>
      </c>
      <c r="K439" s="60" t="n"/>
      <c r="L439" s="60" t="n"/>
      <c r="M439" s="60" t="n"/>
      <c r="N439" s="60" t="n"/>
      <c r="O439" s="60" t="n"/>
      <c r="P439" s="62" t="n"/>
      <c r="Q439" s="62" t="n"/>
      <c r="R439" s="60" t="n"/>
      <c r="S439" s="59" t="n"/>
      <c r="T439" s="60" t="n"/>
      <c r="U439" s="59" t="n"/>
      <c r="V439" s="45">
        <f>IF(OR($A439="",$T439="",$T439="No Issue"),"",IF($T439="Resolved",IF($U439="","",$U439-$A439),TODAY()-$A439))</f>
        <v/>
      </c>
      <c r="W439" s="47">
        <f>IF(AND($C439&lt;&gt;"",$C439='Store History'!$C$4,OR('Store History'!$C$5="",$F439='Store History'!$C$5)),1,0)</f>
        <v/>
      </c>
      <c r="X439" s="47">
        <f>IF($W439=1,SUM($W439:$W$1005),"")</f>
        <v/>
      </c>
    </row>
    <row r="440">
      <c r="A440" s="59" t="n"/>
      <c r="B440" s="60" t="n"/>
      <c r="C440" s="60" t="n"/>
      <c r="D440" s="45">
        <f>IF($C440="","",IFERROR(INDEX('Chain Program'!$B$6:$B$120,MATCH($C440,'Chain Program'!$A$6:$A$120,0)),"Unknown ID"))</f>
        <v/>
      </c>
      <c r="E440" s="45">
        <f>IF($C440="","",IFERROR(INDEX('Chain Program'!$D$6:$D$120,MATCH($C440,'Chain Program'!$A$6:$A$120,0)),"Unknown ID"))</f>
        <v/>
      </c>
      <c r="F440" s="60" t="n"/>
      <c r="G440" s="60" t="n"/>
      <c r="H440" s="56">
        <f>IF(OR($C440="",$A440=""),"",IF(COUNTIFS('Promo Calendar'!$A$6:$A$400,$C440,'Promo Calendar'!$D$6:$D$400,IF($G440="","All",$G440),'Promo Calendar'!$I$6:$I$400,"&lt;="&amp;$A440,'Promo Calendar'!$J$6:$J$400,"&gt;="&amp;$A440,'Promo Calendar'!$G$6:$G$400,"&gt;0")&gt;0,_xlfn.MINIFS('Promo Calendar'!$G$6:$G$400,'Promo Calendar'!$A$6:$A$400,$C440,'Promo Calendar'!$D$6:$D$400,IF($G440="","All",$G440),'Promo Calendar'!$I$6:$I$400,"&lt;="&amp;$A440,'Promo Calendar'!$J$6:$J$400,"&gt;="&amp;$A440,'Promo Calendar'!$G$6:$G$400,"&gt;0"),IF(COUNTIFS('Promo Calendar'!$A$6:$A$400,$C440,'Promo Calendar'!$D$6:$D$400,"All",'Promo Calendar'!$I$6:$I$400,"&lt;="&amp;$A440,'Promo Calendar'!$J$6:$J$400,"&gt;="&amp;$A440,'Promo Calendar'!$G$6:$G$400,"&gt;0")&gt;0,_xlfn.MINIFS('Promo Calendar'!$G$6:$G$400,'Promo Calendar'!$A$6:$A$400,$C440,'Promo Calendar'!$D$6:$D$400,"All",'Promo Calendar'!$I$6:$I$400,"&lt;="&amp;$A440,'Promo Calendar'!$J$6:$J$400,"&gt;="&amp;$A440,'Promo Calendar'!$G$6:$G$400,"&gt;0"),IFERROR(IF(INDEX('Chain Program'!$M$6:$M$120,MATCH($C440,'Chain Program'!$A$6:$A$120,0))="","Not set",INDEX('Chain Program'!$M$6:$M$120,MATCH($C440,'Chain Program'!$A$6:$A$120,0))),"Not set"))))</f>
        <v/>
      </c>
      <c r="I440" s="61" t="n"/>
      <c r="J440" s="45">
        <f>IF($I440="","",IF(NOT(ISNUMBER($H440)),"No plan price",IF(ABS($I440-$H440)&lt;0.005,"Match",IF($I440&gt;$H440,"Over plan","Under plan"))))</f>
        <v/>
      </c>
      <c r="K440" s="60" t="n"/>
      <c r="L440" s="60" t="n"/>
      <c r="M440" s="60" t="n"/>
      <c r="N440" s="60" t="n"/>
      <c r="O440" s="60" t="n"/>
      <c r="P440" s="62" t="n"/>
      <c r="Q440" s="62" t="n"/>
      <c r="R440" s="60" t="n"/>
      <c r="S440" s="59" t="n"/>
      <c r="T440" s="60" t="n"/>
      <c r="U440" s="59" t="n"/>
      <c r="V440" s="45">
        <f>IF(OR($A440="",$T440="",$T440="No Issue"),"",IF($T440="Resolved",IF($U440="","",$U440-$A440),TODAY()-$A440))</f>
        <v/>
      </c>
      <c r="W440" s="47">
        <f>IF(AND($C440&lt;&gt;"",$C440='Store History'!$C$4,OR('Store History'!$C$5="",$F440='Store History'!$C$5)),1,0)</f>
        <v/>
      </c>
      <c r="X440" s="47">
        <f>IF($W440=1,SUM($W440:$W$1005),"")</f>
        <v/>
      </c>
    </row>
    <row r="441">
      <c r="A441" s="59" t="n"/>
      <c r="B441" s="60" t="n"/>
      <c r="C441" s="60" t="n"/>
      <c r="D441" s="45">
        <f>IF($C441="","",IFERROR(INDEX('Chain Program'!$B$6:$B$120,MATCH($C441,'Chain Program'!$A$6:$A$120,0)),"Unknown ID"))</f>
        <v/>
      </c>
      <c r="E441" s="45">
        <f>IF($C441="","",IFERROR(INDEX('Chain Program'!$D$6:$D$120,MATCH($C441,'Chain Program'!$A$6:$A$120,0)),"Unknown ID"))</f>
        <v/>
      </c>
      <c r="F441" s="60" t="n"/>
      <c r="G441" s="60" t="n"/>
      <c r="H441" s="56">
        <f>IF(OR($C441="",$A441=""),"",IF(COUNTIFS('Promo Calendar'!$A$6:$A$400,$C441,'Promo Calendar'!$D$6:$D$400,IF($G441="","All",$G441),'Promo Calendar'!$I$6:$I$400,"&lt;="&amp;$A441,'Promo Calendar'!$J$6:$J$400,"&gt;="&amp;$A441,'Promo Calendar'!$G$6:$G$400,"&gt;0")&gt;0,_xlfn.MINIFS('Promo Calendar'!$G$6:$G$400,'Promo Calendar'!$A$6:$A$400,$C441,'Promo Calendar'!$D$6:$D$400,IF($G441="","All",$G441),'Promo Calendar'!$I$6:$I$400,"&lt;="&amp;$A441,'Promo Calendar'!$J$6:$J$400,"&gt;="&amp;$A441,'Promo Calendar'!$G$6:$G$400,"&gt;0"),IF(COUNTIFS('Promo Calendar'!$A$6:$A$400,$C441,'Promo Calendar'!$D$6:$D$400,"All",'Promo Calendar'!$I$6:$I$400,"&lt;="&amp;$A441,'Promo Calendar'!$J$6:$J$400,"&gt;="&amp;$A441,'Promo Calendar'!$G$6:$G$400,"&gt;0")&gt;0,_xlfn.MINIFS('Promo Calendar'!$G$6:$G$400,'Promo Calendar'!$A$6:$A$400,$C441,'Promo Calendar'!$D$6:$D$400,"All",'Promo Calendar'!$I$6:$I$400,"&lt;="&amp;$A441,'Promo Calendar'!$J$6:$J$400,"&gt;="&amp;$A441,'Promo Calendar'!$G$6:$G$400,"&gt;0"),IFERROR(IF(INDEX('Chain Program'!$M$6:$M$120,MATCH($C441,'Chain Program'!$A$6:$A$120,0))="","Not set",INDEX('Chain Program'!$M$6:$M$120,MATCH($C441,'Chain Program'!$A$6:$A$120,0))),"Not set"))))</f>
        <v/>
      </c>
      <c r="I441" s="61" t="n"/>
      <c r="J441" s="45">
        <f>IF($I441="","",IF(NOT(ISNUMBER($H441)),"No plan price",IF(ABS($I441-$H441)&lt;0.005,"Match",IF($I441&gt;$H441,"Over plan","Under plan"))))</f>
        <v/>
      </c>
      <c r="K441" s="60" t="n"/>
      <c r="L441" s="60" t="n"/>
      <c r="M441" s="60" t="n"/>
      <c r="N441" s="60" t="n"/>
      <c r="O441" s="60" t="n"/>
      <c r="P441" s="62" t="n"/>
      <c r="Q441" s="62" t="n"/>
      <c r="R441" s="60" t="n"/>
      <c r="S441" s="59" t="n"/>
      <c r="T441" s="60" t="n"/>
      <c r="U441" s="59" t="n"/>
      <c r="V441" s="45">
        <f>IF(OR($A441="",$T441="",$T441="No Issue"),"",IF($T441="Resolved",IF($U441="","",$U441-$A441),TODAY()-$A441))</f>
        <v/>
      </c>
      <c r="W441" s="47">
        <f>IF(AND($C441&lt;&gt;"",$C441='Store History'!$C$4,OR('Store History'!$C$5="",$F441='Store History'!$C$5)),1,0)</f>
        <v/>
      </c>
      <c r="X441" s="47">
        <f>IF($W441=1,SUM($W441:$W$1005),"")</f>
        <v/>
      </c>
    </row>
    <row r="442">
      <c r="A442" s="59" t="n"/>
      <c r="B442" s="60" t="n"/>
      <c r="C442" s="60" t="n"/>
      <c r="D442" s="45">
        <f>IF($C442="","",IFERROR(INDEX('Chain Program'!$B$6:$B$120,MATCH($C442,'Chain Program'!$A$6:$A$120,0)),"Unknown ID"))</f>
        <v/>
      </c>
      <c r="E442" s="45">
        <f>IF($C442="","",IFERROR(INDEX('Chain Program'!$D$6:$D$120,MATCH($C442,'Chain Program'!$A$6:$A$120,0)),"Unknown ID"))</f>
        <v/>
      </c>
      <c r="F442" s="60" t="n"/>
      <c r="G442" s="60" t="n"/>
      <c r="H442" s="56">
        <f>IF(OR($C442="",$A442=""),"",IF(COUNTIFS('Promo Calendar'!$A$6:$A$400,$C442,'Promo Calendar'!$D$6:$D$400,IF($G442="","All",$G442),'Promo Calendar'!$I$6:$I$400,"&lt;="&amp;$A442,'Promo Calendar'!$J$6:$J$400,"&gt;="&amp;$A442,'Promo Calendar'!$G$6:$G$400,"&gt;0")&gt;0,_xlfn.MINIFS('Promo Calendar'!$G$6:$G$400,'Promo Calendar'!$A$6:$A$400,$C442,'Promo Calendar'!$D$6:$D$400,IF($G442="","All",$G442),'Promo Calendar'!$I$6:$I$400,"&lt;="&amp;$A442,'Promo Calendar'!$J$6:$J$400,"&gt;="&amp;$A442,'Promo Calendar'!$G$6:$G$400,"&gt;0"),IF(COUNTIFS('Promo Calendar'!$A$6:$A$400,$C442,'Promo Calendar'!$D$6:$D$400,"All",'Promo Calendar'!$I$6:$I$400,"&lt;="&amp;$A442,'Promo Calendar'!$J$6:$J$400,"&gt;="&amp;$A442,'Promo Calendar'!$G$6:$G$400,"&gt;0")&gt;0,_xlfn.MINIFS('Promo Calendar'!$G$6:$G$400,'Promo Calendar'!$A$6:$A$400,$C442,'Promo Calendar'!$D$6:$D$400,"All",'Promo Calendar'!$I$6:$I$400,"&lt;="&amp;$A442,'Promo Calendar'!$J$6:$J$400,"&gt;="&amp;$A442,'Promo Calendar'!$G$6:$G$400,"&gt;0"),IFERROR(IF(INDEX('Chain Program'!$M$6:$M$120,MATCH($C442,'Chain Program'!$A$6:$A$120,0))="","Not set",INDEX('Chain Program'!$M$6:$M$120,MATCH($C442,'Chain Program'!$A$6:$A$120,0))),"Not set"))))</f>
        <v/>
      </c>
      <c r="I442" s="61" t="n"/>
      <c r="J442" s="45">
        <f>IF($I442="","",IF(NOT(ISNUMBER($H442)),"No plan price",IF(ABS($I442-$H442)&lt;0.005,"Match",IF($I442&gt;$H442,"Over plan","Under plan"))))</f>
        <v/>
      </c>
      <c r="K442" s="60" t="n"/>
      <c r="L442" s="60" t="n"/>
      <c r="M442" s="60" t="n"/>
      <c r="N442" s="60" t="n"/>
      <c r="O442" s="60" t="n"/>
      <c r="P442" s="62" t="n"/>
      <c r="Q442" s="62" t="n"/>
      <c r="R442" s="60" t="n"/>
      <c r="S442" s="59" t="n"/>
      <c r="T442" s="60" t="n"/>
      <c r="U442" s="59" t="n"/>
      <c r="V442" s="45">
        <f>IF(OR($A442="",$T442="",$T442="No Issue"),"",IF($T442="Resolved",IF($U442="","",$U442-$A442),TODAY()-$A442))</f>
        <v/>
      </c>
      <c r="W442" s="47">
        <f>IF(AND($C442&lt;&gt;"",$C442='Store History'!$C$4,OR('Store History'!$C$5="",$F442='Store History'!$C$5)),1,0)</f>
        <v/>
      </c>
      <c r="X442" s="47">
        <f>IF($W442=1,SUM($W442:$W$1005),"")</f>
        <v/>
      </c>
    </row>
    <row r="443">
      <c r="A443" s="59" t="n"/>
      <c r="B443" s="60" t="n"/>
      <c r="C443" s="60" t="n"/>
      <c r="D443" s="45">
        <f>IF($C443="","",IFERROR(INDEX('Chain Program'!$B$6:$B$120,MATCH($C443,'Chain Program'!$A$6:$A$120,0)),"Unknown ID"))</f>
        <v/>
      </c>
      <c r="E443" s="45">
        <f>IF($C443="","",IFERROR(INDEX('Chain Program'!$D$6:$D$120,MATCH($C443,'Chain Program'!$A$6:$A$120,0)),"Unknown ID"))</f>
        <v/>
      </c>
      <c r="F443" s="60" t="n"/>
      <c r="G443" s="60" t="n"/>
      <c r="H443" s="56">
        <f>IF(OR($C443="",$A443=""),"",IF(COUNTIFS('Promo Calendar'!$A$6:$A$400,$C443,'Promo Calendar'!$D$6:$D$400,IF($G443="","All",$G443),'Promo Calendar'!$I$6:$I$400,"&lt;="&amp;$A443,'Promo Calendar'!$J$6:$J$400,"&gt;="&amp;$A443,'Promo Calendar'!$G$6:$G$400,"&gt;0")&gt;0,_xlfn.MINIFS('Promo Calendar'!$G$6:$G$400,'Promo Calendar'!$A$6:$A$400,$C443,'Promo Calendar'!$D$6:$D$400,IF($G443="","All",$G443),'Promo Calendar'!$I$6:$I$400,"&lt;="&amp;$A443,'Promo Calendar'!$J$6:$J$400,"&gt;="&amp;$A443,'Promo Calendar'!$G$6:$G$400,"&gt;0"),IF(COUNTIFS('Promo Calendar'!$A$6:$A$400,$C443,'Promo Calendar'!$D$6:$D$400,"All",'Promo Calendar'!$I$6:$I$400,"&lt;="&amp;$A443,'Promo Calendar'!$J$6:$J$400,"&gt;="&amp;$A443,'Promo Calendar'!$G$6:$G$400,"&gt;0")&gt;0,_xlfn.MINIFS('Promo Calendar'!$G$6:$G$400,'Promo Calendar'!$A$6:$A$400,$C443,'Promo Calendar'!$D$6:$D$400,"All",'Promo Calendar'!$I$6:$I$400,"&lt;="&amp;$A443,'Promo Calendar'!$J$6:$J$400,"&gt;="&amp;$A443,'Promo Calendar'!$G$6:$G$400,"&gt;0"),IFERROR(IF(INDEX('Chain Program'!$M$6:$M$120,MATCH($C443,'Chain Program'!$A$6:$A$120,0))="","Not set",INDEX('Chain Program'!$M$6:$M$120,MATCH($C443,'Chain Program'!$A$6:$A$120,0))),"Not set"))))</f>
        <v/>
      </c>
      <c r="I443" s="61" t="n"/>
      <c r="J443" s="45">
        <f>IF($I443="","",IF(NOT(ISNUMBER($H443)),"No plan price",IF(ABS($I443-$H443)&lt;0.005,"Match",IF($I443&gt;$H443,"Over plan","Under plan"))))</f>
        <v/>
      </c>
      <c r="K443" s="60" t="n"/>
      <c r="L443" s="60" t="n"/>
      <c r="M443" s="60" t="n"/>
      <c r="N443" s="60" t="n"/>
      <c r="O443" s="60" t="n"/>
      <c r="P443" s="62" t="n"/>
      <c r="Q443" s="62" t="n"/>
      <c r="R443" s="60" t="n"/>
      <c r="S443" s="59" t="n"/>
      <c r="T443" s="60" t="n"/>
      <c r="U443" s="59" t="n"/>
      <c r="V443" s="45">
        <f>IF(OR($A443="",$T443="",$T443="No Issue"),"",IF($T443="Resolved",IF($U443="","",$U443-$A443),TODAY()-$A443))</f>
        <v/>
      </c>
      <c r="W443" s="47">
        <f>IF(AND($C443&lt;&gt;"",$C443='Store History'!$C$4,OR('Store History'!$C$5="",$F443='Store History'!$C$5)),1,0)</f>
        <v/>
      </c>
      <c r="X443" s="47">
        <f>IF($W443=1,SUM($W443:$W$1005),"")</f>
        <v/>
      </c>
    </row>
    <row r="444">
      <c r="A444" s="59" t="n"/>
      <c r="B444" s="60" t="n"/>
      <c r="C444" s="60" t="n"/>
      <c r="D444" s="45">
        <f>IF($C444="","",IFERROR(INDEX('Chain Program'!$B$6:$B$120,MATCH($C444,'Chain Program'!$A$6:$A$120,0)),"Unknown ID"))</f>
        <v/>
      </c>
      <c r="E444" s="45">
        <f>IF($C444="","",IFERROR(INDEX('Chain Program'!$D$6:$D$120,MATCH($C444,'Chain Program'!$A$6:$A$120,0)),"Unknown ID"))</f>
        <v/>
      </c>
      <c r="F444" s="60" t="n"/>
      <c r="G444" s="60" t="n"/>
      <c r="H444" s="56">
        <f>IF(OR($C444="",$A444=""),"",IF(COUNTIFS('Promo Calendar'!$A$6:$A$400,$C444,'Promo Calendar'!$D$6:$D$400,IF($G444="","All",$G444),'Promo Calendar'!$I$6:$I$400,"&lt;="&amp;$A444,'Promo Calendar'!$J$6:$J$400,"&gt;="&amp;$A444,'Promo Calendar'!$G$6:$G$400,"&gt;0")&gt;0,_xlfn.MINIFS('Promo Calendar'!$G$6:$G$400,'Promo Calendar'!$A$6:$A$400,$C444,'Promo Calendar'!$D$6:$D$400,IF($G444="","All",$G444),'Promo Calendar'!$I$6:$I$400,"&lt;="&amp;$A444,'Promo Calendar'!$J$6:$J$400,"&gt;="&amp;$A444,'Promo Calendar'!$G$6:$G$400,"&gt;0"),IF(COUNTIFS('Promo Calendar'!$A$6:$A$400,$C444,'Promo Calendar'!$D$6:$D$400,"All",'Promo Calendar'!$I$6:$I$400,"&lt;="&amp;$A444,'Promo Calendar'!$J$6:$J$400,"&gt;="&amp;$A444,'Promo Calendar'!$G$6:$G$400,"&gt;0")&gt;0,_xlfn.MINIFS('Promo Calendar'!$G$6:$G$400,'Promo Calendar'!$A$6:$A$400,$C444,'Promo Calendar'!$D$6:$D$400,"All",'Promo Calendar'!$I$6:$I$400,"&lt;="&amp;$A444,'Promo Calendar'!$J$6:$J$400,"&gt;="&amp;$A444,'Promo Calendar'!$G$6:$G$400,"&gt;0"),IFERROR(IF(INDEX('Chain Program'!$M$6:$M$120,MATCH($C444,'Chain Program'!$A$6:$A$120,0))="","Not set",INDEX('Chain Program'!$M$6:$M$120,MATCH($C444,'Chain Program'!$A$6:$A$120,0))),"Not set"))))</f>
        <v/>
      </c>
      <c r="I444" s="61" t="n"/>
      <c r="J444" s="45">
        <f>IF($I444="","",IF(NOT(ISNUMBER($H444)),"No plan price",IF(ABS($I444-$H444)&lt;0.005,"Match",IF($I444&gt;$H444,"Over plan","Under plan"))))</f>
        <v/>
      </c>
      <c r="K444" s="60" t="n"/>
      <c r="L444" s="60" t="n"/>
      <c r="M444" s="60" t="n"/>
      <c r="N444" s="60" t="n"/>
      <c r="O444" s="60" t="n"/>
      <c r="P444" s="62" t="n"/>
      <c r="Q444" s="62" t="n"/>
      <c r="R444" s="60" t="n"/>
      <c r="S444" s="59" t="n"/>
      <c r="T444" s="60" t="n"/>
      <c r="U444" s="59" t="n"/>
      <c r="V444" s="45">
        <f>IF(OR($A444="",$T444="",$T444="No Issue"),"",IF($T444="Resolved",IF($U444="","",$U444-$A444),TODAY()-$A444))</f>
        <v/>
      </c>
      <c r="W444" s="47">
        <f>IF(AND($C444&lt;&gt;"",$C444='Store History'!$C$4,OR('Store History'!$C$5="",$F444='Store History'!$C$5)),1,0)</f>
        <v/>
      </c>
      <c r="X444" s="47">
        <f>IF($W444=1,SUM($W444:$W$1005),"")</f>
        <v/>
      </c>
    </row>
    <row r="445">
      <c r="A445" s="59" t="n"/>
      <c r="B445" s="60" t="n"/>
      <c r="C445" s="60" t="n"/>
      <c r="D445" s="45">
        <f>IF($C445="","",IFERROR(INDEX('Chain Program'!$B$6:$B$120,MATCH($C445,'Chain Program'!$A$6:$A$120,0)),"Unknown ID"))</f>
        <v/>
      </c>
      <c r="E445" s="45">
        <f>IF($C445="","",IFERROR(INDEX('Chain Program'!$D$6:$D$120,MATCH($C445,'Chain Program'!$A$6:$A$120,0)),"Unknown ID"))</f>
        <v/>
      </c>
      <c r="F445" s="60" t="n"/>
      <c r="G445" s="60" t="n"/>
      <c r="H445" s="56">
        <f>IF(OR($C445="",$A445=""),"",IF(COUNTIFS('Promo Calendar'!$A$6:$A$400,$C445,'Promo Calendar'!$D$6:$D$400,IF($G445="","All",$G445),'Promo Calendar'!$I$6:$I$400,"&lt;="&amp;$A445,'Promo Calendar'!$J$6:$J$400,"&gt;="&amp;$A445,'Promo Calendar'!$G$6:$G$400,"&gt;0")&gt;0,_xlfn.MINIFS('Promo Calendar'!$G$6:$G$400,'Promo Calendar'!$A$6:$A$400,$C445,'Promo Calendar'!$D$6:$D$400,IF($G445="","All",$G445),'Promo Calendar'!$I$6:$I$400,"&lt;="&amp;$A445,'Promo Calendar'!$J$6:$J$400,"&gt;="&amp;$A445,'Promo Calendar'!$G$6:$G$400,"&gt;0"),IF(COUNTIFS('Promo Calendar'!$A$6:$A$400,$C445,'Promo Calendar'!$D$6:$D$400,"All",'Promo Calendar'!$I$6:$I$400,"&lt;="&amp;$A445,'Promo Calendar'!$J$6:$J$400,"&gt;="&amp;$A445,'Promo Calendar'!$G$6:$G$400,"&gt;0")&gt;0,_xlfn.MINIFS('Promo Calendar'!$G$6:$G$400,'Promo Calendar'!$A$6:$A$400,$C445,'Promo Calendar'!$D$6:$D$400,"All",'Promo Calendar'!$I$6:$I$400,"&lt;="&amp;$A445,'Promo Calendar'!$J$6:$J$400,"&gt;="&amp;$A445,'Promo Calendar'!$G$6:$G$400,"&gt;0"),IFERROR(IF(INDEX('Chain Program'!$M$6:$M$120,MATCH($C445,'Chain Program'!$A$6:$A$120,0))="","Not set",INDEX('Chain Program'!$M$6:$M$120,MATCH($C445,'Chain Program'!$A$6:$A$120,0))),"Not set"))))</f>
        <v/>
      </c>
      <c r="I445" s="61" t="n"/>
      <c r="J445" s="45">
        <f>IF($I445="","",IF(NOT(ISNUMBER($H445)),"No plan price",IF(ABS($I445-$H445)&lt;0.005,"Match",IF($I445&gt;$H445,"Over plan","Under plan"))))</f>
        <v/>
      </c>
      <c r="K445" s="60" t="n"/>
      <c r="L445" s="60" t="n"/>
      <c r="M445" s="60" t="n"/>
      <c r="N445" s="60" t="n"/>
      <c r="O445" s="60" t="n"/>
      <c r="P445" s="62" t="n"/>
      <c r="Q445" s="62" t="n"/>
      <c r="R445" s="60" t="n"/>
      <c r="S445" s="59" t="n"/>
      <c r="T445" s="60" t="n"/>
      <c r="U445" s="59" t="n"/>
      <c r="V445" s="45">
        <f>IF(OR($A445="",$T445="",$T445="No Issue"),"",IF($T445="Resolved",IF($U445="","",$U445-$A445),TODAY()-$A445))</f>
        <v/>
      </c>
      <c r="W445" s="47">
        <f>IF(AND($C445&lt;&gt;"",$C445='Store History'!$C$4,OR('Store History'!$C$5="",$F445='Store History'!$C$5)),1,0)</f>
        <v/>
      </c>
      <c r="X445" s="47">
        <f>IF($W445=1,SUM($W445:$W$1005),"")</f>
        <v/>
      </c>
    </row>
    <row r="446">
      <c r="A446" s="59" t="n"/>
      <c r="B446" s="60" t="n"/>
      <c r="C446" s="60" t="n"/>
      <c r="D446" s="45">
        <f>IF($C446="","",IFERROR(INDEX('Chain Program'!$B$6:$B$120,MATCH($C446,'Chain Program'!$A$6:$A$120,0)),"Unknown ID"))</f>
        <v/>
      </c>
      <c r="E446" s="45">
        <f>IF($C446="","",IFERROR(INDEX('Chain Program'!$D$6:$D$120,MATCH($C446,'Chain Program'!$A$6:$A$120,0)),"Unknown ID"))</f>
        <v/>
      </c>
      <c r="F446" s="60" t="n"/>
      <c r="G446" s="60" t="n"/>
      <c r="H446" s="56">
        <f>IF(OR($C446="",$A446=""),"",IF(COUNTIFS('Promo Calendar'!$A$6:$A$400,$C446,'Promo Calendar'!$D$6:$D$400,IF($G446="","All",$G446),'Promo Calendar'!$I$6:$I$400,"&lt;="&amp;$A446,'Promo Calendar'!$J$6:$J$400,"&gt;="&amp;$A446,'Promo Calendar'!$G$6:$G$400,"&gt;0")&gt;0,_xlfn.MINIFS('Promo Calendar'!$G$6:$G$400,'Promo Calendar'!$A$6:$A$400,$C446,'Promo Calendar'!$D$6:$D$400,IF($G446="","All",$G446),'Promo Calendar'!$I$6:$I$400,"&lt;="&amp;$A446,'Promo Calendar'!$J$6:$J$400,"&gt;="&amp;$A446,'Promo Calendar'!$G$6:$G$400,"&gt;0"),IF(COUNTIFS('Promo Calendar'!$A$6:$A$400,$C446,'Promo Calendar'!$D$6:$D$400,"All",'Promo Calendar'!$I$6:$I$400,"&lt;="&amp;$A446,'Promo Calendar'!$J$6:$J$400,"&gt;="&amp;$A446,'Promo Calendar'!$G$6:$G$400,"&gt;0")&gt;0,_xlfn.MINIFS('Promo Calendar'!$G$6:$G$400,'Promo Calendar'!$A$6:$A$400,$C446,'Promo Calendar'!$D$6:$D$400,"All",'Promo Calendar'!$I$6:$I$400,"&lt;="&amp;$A446,'Promo Calendar'!$J$6:$J$400,"&gt;="&amp;$A446,'Promo Calendar'!$G$6:$G$400,"&gt;0"),IFERROR(IF(INDEX('Chain Program'!$M$6:$M$120,MATCH($C446,'Chain Program'!$A$6:$A$120,0))="","Not set",INDEX('Chain Program'!$M$6:$M$120,MATCH($C446,'Chain Program'!$A$6:$A$120,0))),"Not set"))))</f>
        <v/>
      </c>
      <c r="I446" s="61" t="n"/>
      <c r="J446" s="45">
        <f>IF($I446="","",IF(NOT(ISNUMBER($H446)),"No plan price",IF(ABS($I446-$H446)&lt;0.005,"Match",IF($I446&gt;$H446,"Over plan","Under plan"))))</f>
        <v/>
      </c>
      <c r="K446" s="60" t="n"/>
      <c r="L446" s="60" t="n"/>
      <c r="M446" s="60" t="n"/>
      <c r="N446" s="60" t="n"/>
      <c r="O446" s="60" t="n"/>
      <c r="P446" s="62" t="n"/>
      <c r="Q446" s="62" t="n"/>
      <c r="R446" s="60" t="n"/>
      <c r="S446" s="59" t="n"/>
      <c r="T446" s="60" t="n"/>
      <c r="U446" s="59" t="n"/>
      <c r="V446" s="45">
        <f>IF(OR($A446="",$T446="",$T446="No Issue"),"",IF($T446="Resolved",IF($U446="","",$U446-$A446),TODAY()-$A446))</f>
        <v/>
      </c>
      <c r="W446" s="47">
        <f>IF(AND($C446&lt;&gt;"",$C446='Store History'!$C$4,OR('Store History'!$C$5="",$F446='Store History'!$C$5)),1,0)</f>
        <v/>
      </c>
      <c r="X446" s="47">
        <f>IF($W446=1,SUM($W446:$W$1005),"")</f>
        <v/>
      </c>
    </row>
    <row r="447">
      <c r="A447" s="59" t="n"/>
      <c r="B447" s="60" t="n"/>
      <c r="C447" s="60" t="n"/>
      <c r="D447" s="45">
        <f>IF($C447="","",IFERROR(INDEX('Chain Program'!$B$6:$B$120,MATCH($C447,'Chain Program'!$A$6:$A$120,0)),"Unknown ID"))</f>
        <v/>
      </c>
      <c r="E447" s="45">
        <f>IF($C447="","",IFERROR(INDEX('Chain Program'!$D$6:$D$120,MATCH($C447,'Chain Program'!$A$6:$A$120,0)),"Unknown ID"))</f>
        <v/>
      </c>
      <c r="F447" s="60" t="n"/>
      <c r="G447" s="60" t="n"/>
      <c r="H447" s="56">
        <f>IF(OR($C447="",$A447=""),"",IF(COUNTIFS('Promo Calendar'!$A$6:$A$400,$C447,'Promo Calendar'!$D$6:$D$400,IF($G447="","All",$G447),'Promo Calendar'!$I$6:$I$400,"&lt;="&amp;$A447,'Promo Calendar'!$J$6:$J$400,"&gt;="&amp;$A447,'Promo Calendar'!$G$6:$G$400,"&gt;0")&gt;0,_xlfn.MINIFS('Promo Calendar'!$G$6:$G$400,'Promo Calendar'!$A$6:$A$400,$C447,'Promo Calendar'!$D$6:$D$400,IF($G447="","All",$G447),'Promo Calendar'!$I$6:$I$400,"&lt;="&amp;$A447,'Promo Calendar'!$J$6:$J$400,"&gt;="&amp;$A447,'Promo Calendar'!$G$6:$G$400,"&gt;0"),IF(COUNTIFS('Promo Calendar'!$A$6:$A$400,$C447,'Promo Calendar'!$D$6:$D$400,"All",'Promo Calendar'!$I$6:$I$400,"&lt;="&amp;$A447,'Promo Calendar'!$J$6:$J$400,"&gt;="&amp;$A447,'Promo Calendar'!$G$6:$G$400,"&gt;0")&gt;0,_xlfn.MINIFS('Promo Calendar'!$G$6:$G$400,'Promo Calendar'!$A$6:$A$400,$C447,'Promo Calendar'!$D$6:$D$400,"All",'Promo Calendar'!$I$6:$I$400,"&lt;="&amp;$A447,'Promo Calendar'!$J$6:$J$400,"&gt;="&amp;$A447,'Promo Calendar'!$G$6:$G$400,"&gt;0"),IFERROR(IF(INDEX('Chain Program'!$M$6:$M$120,MATCH($C447,'Chain Program'!$A$6:$A$120,0))="","Not set",INDEX('Chain Program'!$M$6:$M$120,MATCH($C447,'Chain Program'!$A$6:$A$120,0))),"Not set"))))</f>
        <v/>
      </c>
      <c r="I447" s="61" t="n"/>
      <c r="J447" s="45">
        <f>IF($I447="","",IF(NOT(ISNUMBER($H447)),"No plan price",IF(ABS($I447-$H447)&lt;0.005,"Match",IF($I447&gt;$H447,"Over plan","Under plan"))))</f>
        <v/>
      </c>
      <c r="K447" s="60" t="n"/>
      <c r="L447" s="60" t="n"/>
      <c r="M447" s="60" t="n"/>
      <c r="N447" s="60" t="n"/>
      <c r="O447" s="60" t="n"/>
      <c r="P447" s="62" t="n"/>
      <c r="Q447" s="62" t="n"/>
      <c r="R447" s="60" t="n"/>
      <c r="S447" s="59" t="n"/>
      <c r="T447" s="60" t="n"/>
      <c r="U447" s="59" t="n"/>
      <c r="V447" s="45">
        <f>IF(OR($A447="",$T447="",$T447="No Issue"),"",IF($T447="Resolved",IF($U447="","",$U447-$A447),TODAY()-$A447))</f>
        <v/>
      </c>
      <c r="W447" s="47">
        <f>IF(AND($C447&lt;&gt;"",$C447='Store History'!$C$4,OR('Store History'!$C$5="",$F447='Store History'!$C$5)),1,0)</f>
        <v/>
      </c>
      <c r="X447" s="47">
        <f>IF($W447=1,SUM($W447:$W$1005),"")</f>
        <v/>
      </c>
    </row>
    <row r="448">
      <c r="A448" s="59" t="n"/>
      <c r="B448" s="60" t="n"/>
      <c r="C448" s="60" t="n"/>
      <c r="D448" s="45">
        <f>IF($C448="","",IFERROR(INDEX('Chain Program'!$B$6:$B$120,MATCH($C448,'Chain Program'!$A$6:$A$120,0)),"Unknown ID"))</f>
        <v/>
      </c>
      <c r="E448" s="45">
        <f>IF($C448="","",IFERROR(INDEX('Chain Program'!$D$6:$D$120,MATCH($C448,'Chain Program'!$A$6:$A$120,0)),"Unknown ID"))</f>
        <v/>
      </c>
      <c r="F448" s="60" t="n"/>
      <c r="G448" s="60" t="n"/>
      <c r="H448" s="56">
        <f>IF(OR($C448="",$A448=""),"",IF(COUNTIFS('Promo Calendar'!$A$6:$A$400,$C448,'Promo Calendar'!$D$6:$D$400,IF($G448="","All",$G448),'Promo Calendar'!$I$6:$I$400,"&lt;="&amp;$A448,'Promo Calendar'!$J$6:$J$400,"&gt;="&amp;$A448,'Promo Calendar'!$G$6:$G$400,"&gt;0")&gt;0,_xlfn.MINIFS('Promo Calendar'!$G$6:$G$400,'Promo Calendar'!$A$6:$A$400,$C448,'Promo Calendar'!$D$6:$D$400,IF($G448="","All",$G448),'Promo Calendar'!$I$6:$I$400,"&lt;="&amp;$A448,'Promo Calendar'!$J$6:$J$400,"&gt;="&amp;$A448,'Promo Calendar'!$G$6:$G$400,"&gt;0"),IF(COUNTIFS('Promo Calendar'!$A$6:$A$400,$C448,'Promo Calendar'!$D$6:$D$400,"All",'Promo Calendar'!$I$6:$I$400,"&lt;="&amp;$A448,'Promo Calendar'!$J$6:$J$400,"&gt;="&amp;$A448,'Promo Calendar'!$G$6:$G$400,"&gt;0")&gt;0,_xlfn.MINIFS('Promo Calendar'!$G$6:$G$400,'Promo Calendar'!$A$6:$A$400,$C448,'Promo Calendar'!$D$6:$D$400,"All",'Promo Calendar'!$I$6:$I$400,"&lt;="&amp;$A448,'Promo Calendar'!$J$6:$J$400,"&gt;="&amp;$A448,'Promo Calendar'!$G$6:$G$400,"&gt;0"),IFERROR(IF(INDEX('Chain Program'!$M$6:$M$120,MATCH($C448,'Chain Program'!$A$6:$A$120,0))="","Not set",INDEX('Chain Program'!$M$6:$M$120,MATCH($C448,'Chain Program'!$A$6:$A$120,0))),"Not set"))))</f>
        <v/>
      </c>
      <c r="I448" s="61" t="n"/>
      <c r="J448" s="45">
        <f>IF($I448="","",IF(NOT(ISNUMBER($H448)),"No plan price",IF(ABS($I448-$H448)&lt;0.005,"Match",IF($I448&gt;$H448,"Over plan","Under plan"))))</f>
        <v/>
      </c>
      <c r="K448" s="60" t="n"/>
      <c r="L448" s="60" t="n"/>
      <c r="M448" s="60" t="n"/>
      <c r="N448" s="60" t="n"/>
      <c r="O448" s="60" t="n"/>
      <c r="P448" s="62" t="n"/>
      <c r="Q448" s="62" t="n"/>
      <c r="R448" s="60" t="n"/>
      <c r="S448" s="59" t="n"/>
      <c r="T448" s="60" t="n"/>
      <c r="U448" s="59" t="n"/>
      <c r="V448" s="45">
        <f>IF(OR($A448="",$T448="",$T448="No Issue"),"",IF($T448="Resolved",IF($U448="","",$U448-$A448),TODAY()-$A448))</f>
        <v/>
      </c>
      <c r="W448" s="47">
        <f>IF(AND($C448&lt;&gt;"",$C448='Store History'!$C$4,OR('Store History'!$C$5="",$F448='Store History'!$C$5)),1,0)</f>
        <v/>
      </c>
      <c r="X448" s="47">
        <f>IF($W448=1,SUM($W448:$W$1005),"")</f>
        <v/>
      </c>
    </row>
    <row r="449">
      <c r="A449" s="59" t="n"/>
      <c r="B449" s="60" t="n"/>
      <c r="C449" s="60" t="n"/>
      <c r="D449" s="45">
        <f>IF($C449="","",IFERROR(INDEX('Chain Program'!$B$6:$B$120,MATCH($C449,'Chain Program'!$A$6:$A$120,0)),"Unknown ID"))</f>
        <v/>
      </c>
      <c r="E449" s="45">
        <f>IF($C449="","",IFERROR(INDEX('Chain Program'!$D$6:$D$120,MATCH($C449,'Chain Program'!$A$6:$A$120,0)),"Unknown ID"))</f>
        <v/>
      </c>
      <c r="F449" s="60" t="n"/>
      <c r="G449" s="60" t="n"/>
      <c r="H449" s="56">
        <f>IF(OR($C449="",$A449=""),"",IF(COUNTIFS('Promo Calendar'!$A$6:$A$400,$C449,'Promo Calendar'!$D$6:$D$400,IF($G449="","All",$G449),'Promo Calendar'!$I$6:$I$400,"&lt;="&amp;$A449,'Promo Calendar'!$J$6:$J$400,"&gt;="&amp;$A449,'Promo Calendar'!$G$6:$G$400,"&gt;0")&gt;0,_xlfn.MINIFS('Promo Calendar'!$G$6:$G$400,'Promo Calendar'!$A$6:$A$400,$C449,'Promo Calendar'!$D$6:$D$400,IF($G449="","All",$G449),'Promo Calendar'!$I$6:$I$400,"&lt;="&amp;$A449,'Promo Calendar'!$J$6:$J$400,"&gt;="&amp;$A449,'Promo Calendar'!$G$6:$G$400,"&gt;0"),IF(COUNTIFS('Promo Calendar'!$A$6:$A$400,$C449,'Promo Calendar'!$D$6:$D$400,"All",'Promo Calendar'!$I$6:$I$400,"&lt;="&amp;$A449,'Promo Calendar'!$J$6:$J$400,"&gt;="&amp;$A449,'Promo Calendar'!$G$6:$G$400,"&gt;0")&gt;0,_xlfn.MINIFS('Promo Calendar'!$G$6:$G$400,'Promo Calendar'!$A$6:$A$400,$C449,'Promo Calendar'!$D$6:$D$400,"All",'Promo Calendar'!$I$6:$I$400,"&lt;="&amp;$A449,'Promo Calendar'!$J$6:$J$400,"&gt;="&amp;$A449,'Promo Calendar'!$G$6:$G$400,"&gt;0"),IFERROR(IF(INDEX('Chain Program'!$M$6:$M$120,MATCH($C449,'Chain Program'!$A$6:$A$120,0))="","Not set",INDEX('Chain Program'!$M$6:$M$120,MATCH($C449,'Chain Program'!$A$6:$A$120,0))),"Not set"))))</f>
        <v/>
      </c>
      <c r="I449" s="61" t="n"/>
      <c r="J449" s="45">
        <f>IF($I449="","",IF(NOT(ISNUMBER($H449)),"No plan price",IF(ABS($I449-$H449)&lt;0.005,"Match",IF($I449&gt;$H449,"Over plan","Under plan"))))</f>
        <v/>
      </c>
      <c r="K449" s="60" t="n"/>
      <c r="L449" s="60" t="n"/>
      <c r="M449" s="60" t="n"/>
      <c r="N449" s="60" t="n"/>
      <c r="O449" s="60" t="n"/>
      <c r="P449" s="62" t="n"/>
      <c r="Q449" s="62" t="n"/>
      <c r="R449" s="60" t="n"/>
      <c r="S449" s="59" t="n"/>
      <c r="T449" s="60" t="n"/>
      <c r="U449" s="59" t="n"/>
      <c r="V449" s="45">
        <f>IF(OR($A449="",$T449="",$T449="No Issue"),"",IF($T449="Resolved",IF($U449="","",$U449-$A449),TODAY()-$A449))</f>
        <v/>
      </c>
      <c r="W449" s="47">
        <f>IF(AND($C449&lt;&gt;"",$C449='Store History'!$C$4,OR('Store History'!$C$5="",$F449='Store History'!$C$5)),1,0)</f>
        <v/>
      </c>
      <c r="X449" s="47">
        <f>IF($W449=1,SUM($W449:$W$1005),"")</f>
        <v/>
      </c>
    </row>
    <row r="450">
      <c r="A450" s="59" t="n"/>
      <c r="B450" s="60" t="n"/>
      <c r="C450" s="60" t="n"/>
      <c r="D450" s="45">
        <f>IF($C450="","",IFERROR(INDEX('Chain Program'!$B$6:$B$120,MATCH($C450,'Chain Program'!$A$6:$A$120,0)),"Unknown ID"))</f>
        <v/>
      </c>
      <c r="E450" s="45">
        <f>IF($C450="","",IFERROR(INDEX('Chain Program'!$D$6:$D$120,MATCH($C450,'Chain Program'!$A$6:$A$120,0)),"Unknown ID"))</f>
        <v/>
      </c>
      <c r="F450" s="60" t="n"/>
      <c r="G450" s="60" t="n"/>
      <c r="H450" s="56">
        <f>IF(OR($C450="",$A450=""),"",IF(COUNTIFS('Promo Calendar'!$A$6:$A$400,$C450,'Promo Calendar'!$D$6:$D$400,IF($G450="","All",$G450),'Promo Calendar'!$I$6:$I$400,"&lt;="&amp;$A450,'Promo Calendar'!$J$6:$J$400,"&gt;="&amp;$A450,'Promo Calendar'!$G$6:$G$400,"&gt;0")&gt;0,_xlfn.MINIFS('Promo Calendar'!$G$6:$G$400,'Promo Calendar'!$A$6:$A$400,$C450,'Promo Calendar'!$D$6:$D$400,IF($G450="","All",$G450),'Promo Calendar'!$I$6:$I$400,"&lt;="&amp;$A450,'Promo Calendar'!$J$6:$J$400,"&gt;="&amp;$A450,'Promo Calendar'!$G$6:$G$400,"&gt;0"),IF(COUNTIFS('Promo Calendar'!$A$6:$A$400,$C450,'Promo Calendar'!$D$6:$D$400,"All",'Promo Calendar'!$I$6:$I$400,"&lt;="&amp;$A450,'Promo Calendar'!$J$6:$J$400,"&gt;="&amp;$A450,'Promo Calendar'!$G$6:$G$400,"&gt;0")&gt;0,_xlfn.MINIFS('Promo Calendar'!$G$6:$G$400,'Promo Calendar'!$A$6:$A$400,$C450,'Promo Calendar'!$D$6:$D$400,"All",'Promo Calendar'!$I$6:$I$400,"&lt;="&amp;$A450,'Promo Calendar'!$J$6:$J$400,"&gt;="&amp;$A450,'Promo Calendar'!$G$6:$G$400,"&gt;0"),IFERROR(IF(INDEX('Chain Program'!$M$6:$M$120,MATCH($C450,'Chain Program'!$A$6:$A$120,0))="","Not set",INDEX('Chain Program'!$M$6:$M$120,MATCH($C450,'Chain Program'!$A$6:$A$120,0))),"Not set"))))</f>
        <v/>
      </c>
      <c r="I450" s="61" t="n"/>
      <c r="J450" s="45">
        <f>IF($I450="","",IF(NOT(ISNUMBER($H450)),"No plan price",IF(ABS($I450-$H450)&lt;0.005,"Match",IF($I450&gt;$H450,"Over plan","Under plan"))))</f>
        <v/>
      </c>
      <c r="K450" s="60" t="n"/>
      <c r="L450" s="60" t="n"/>
      <c r="M450" s="60" t="n"/>
      <c r="N450" s="60" t="n"/>
      <c r="O450" s="60" t="n"/>
      <c r="P450" s="62" t="n"/>
      <c r="Q450" s="62" t="n"/>
      <c r="R450" s="60" t="n"/>
      <c r="S450" s="59" t="n"/>
      <c r="T450" s="60" t="n"/>
      <c r="U450" s="59" t="n"/>
      <c r="V450" s="45">
        <f>IF(OR($A450="",$T450="",$T450="No Issue"),"",IF($T450="Resolved",IF($U450="","",$U450-$A450),TODAY()-$A450))</f>
        <v/>
      </c>
      <c r="W450" s="47">
        <f>IF(AND($C450&lt;&gt;"",$C450='Store History'!$C$4,OR('Store History'!$C$5="",$F450='Store History'!$C$5)),1,0)</f>
        <v/>
      </c>
      <c r="X450" s="47">
        <f>IF($W450=1,SUM($W450:$W$1005),"")</f>
        <v/>
      </c>
    </row>
    <row r="451">
      <c r="A451" s="59" t="n"/>
      <c r="B451" s="60" t="n"/>
      <c r="C451" s="60" t="n"/>
      <c r="D451" s="45">
        <f>IF($C451="","",IFERROR(INDEX('Chain Program'!$B$6:$B$120,MATCH($C451,'Chain Program'!$A$6:$A$120,0)),"Unknown ID"))</f>
        <v/>
      </c>
      <c r="E451" s="45">
        <f>IF($C451="","",IFERROR(INDEX('Chain Program'!$D$6:$D$120,MATCH($C451,'Chain Program'!$A$6:$A$120,0)),"Unknown ID"))</f>
        <v/>
      </c>
      <c r="F451" s="60" t="n"/>
      <c r="G451" s="60" t="n"/>
      <c r="H451" s="56">
        <f>IF(OR($C451="",$A451=""),"",IF(COUNTIFS('Promo Calendar'!$A$6:$A$400,$C451,'Promo Calendar'!$D$6:$D$400,IF($G451="","All",$G451),'Promo Calendar'!$I$6:$I$400,"&lt;="&amp;$A451,'Promo Calendar'!$J$6:$J$400,"&gt;="&amp;$A451,'Promo Calendar'!$G$6:$G$400,"&gt;0")&gt;0,_xlfn.MINIFS('Promo Calendar'!$G$6:$G$400,'Promo Calendar'!$A$6:$A$400,$C451,'Promo Calendar'!$D$6:$D$400,IF($G451="","All",$G451),'Promo Calendar'!$I$6:$I$400,"&lt;="&amp;$A451,'Promo Calendar'!$J$6:$J$400,"&gt;="&amp;$A451,'Promo Calendar'!$G$6:$G$400,"&gt;0"),IF(COUNTIFS('Promo Calendar'!$A$6:$A$400,$C451,'Promo Calendar'!$D$6:$D$400,"All",'Promo Calendar'!$I$6:$I$400,"&lt;="&amp;$A451,'Promo Calendar'!$J$6:$J$400,"&gt;="&amp;$A451,'Promo Calendar'!$G$6:$G$400,"&gt;0")&gt;0,_xlfn.MINIFS('Promo Calendar'!$G$6:$G$400,'Promo Calendar'!$A$6:$A$400,$C451,'Promo Calendar'!$D$6:$D$400,"All",'Promo Calendar'!$I$6:$I$400,"&lt;="&amp;$A451,'Promo Calendar'!$J$6:$J$400,"&gt;="&amp;$A451,'Promo Calendar'!$G$6:$G$400,"&gt;0"),IFERROR(IF(INDEX('Chain Program'!$M$6:$M$120,MATCH($C451,'Chain Program'!$A$6:$A$120,0))="","Not set",INDEX('Chain Program'!$M$6:$M$120,MATCH($C451,'Chain Program'!$A$6:$A$120,0))),"Not set"))))</f>
        <v/>
      </c>
      <c r="I451" s="61" t="n"/>
      <c r="J451" s="45">
        <f>IF($I451="","",IF(NOT(ISNUMBER($H451)),"No plan price",IF(ABS($I451-$H451)&lt;0.005,"Match",IF($I451&gt;$H451,"Over plan","Under plan"))))</f>
        <v/>
      </c>
      <c r="K451" s="60" t="n"/>
      <c r="L451" s="60" t="n"/>
      <c r="M451" s="60" t="n"/>
      <c r="N451" s="60" t="n"/>
      <c r="O451" s="60" t="n"/>
      <c r="P451" s="62" t="n"/>
      <c r="Q451" s="62" t="n"/>
      <c r="R451" s="60" t="n"/>
      <c r="S451" s="59" t="n"/>
      <c r="T451" s="60" t="n"/>
      <c r="U451" s="59" t="n"/>
      <c r="V451" s="45">
        <f>IF(OR($A451="",$T451="",$T451="No Issue"),"",IF($T451="Resolved",IF($U451="","",$U451-$A451),TODAY()-$A451))</f>
        <v/>
      </c>
      <c r="W451" s="47">
        <f>IF(AND($C451&lt;&gt;"",$C451='Store History'!$C$4,OR('Store History'!$C$5="",$F451='Store History'!$C$5)),1,0)</f>
        <v/>
      </c>
      <c r="X451" s="47">
        <f>IF($W451=1,SUM($W451:$W$1005),"")</f>
        <v/>
      </c>
    </row>
    <row r="452">
      <c r="A452" s="59" t="n"/>
      <c r="B452" s="60" t="n"/>
      <c r="C452" s="60" t="n"/>
      <c r="D452" s="45">
        <f>IF($C452="","",IFERROR(INDEX('Chain Program'!$B$6:$B$120,MATCH($C452,'Chain Program'!$A$6:$A$120,0)),"Unknown ID"))</f>
        <v/>
      </c>
      <c r="E452" s="45">
        <f>IF($C452="","",IFERROR(INDEX('Chain Program'!$D$6:$D$120,MATCH($C452,'Chain Program'!$A$6:$A$120,0)),"Unknown ID"))</f>
        <v/>
      </c>
      <c r="F452" s="60" t="n"/>
      <c r="G452" s="60" t="n"/>
      <c r="H452" s="56">
        <f>IF(OR($C452="",$A452=""),"",IF(COUNTIFS('Promo Calendar'!$A$6:$A$400,$C452,'Promo Calendar'!$D$6:$D$400,IF($G452="","All",$G452),'Promo Calendar'!$I$6:$I$400,"&lt;="&amp;$A452,'Promo Calendar'!$J$6:$J$400,"&gt;="&amp;$A452,'Promo Calendar'!$G$6:$G$400,"&gt;0")&gt;0,_xlfn.MINIFS('Promo Calendar'!$G$6:$G$400,'Promo Calendar'!$A$6:$A$400,$C452,'Promo Calendar'!$D$6:$D$400,IF($G452="","All",$G452),'Promo Calendar'!$I$6:$I$400,"&lt;="&amp;$A452,'Promo Calendar'!$J$6:$J$400,"&gt;="&amp;$A452,'Promo Calendar'!$G$6:$G$400,"&gt;0"),IF(COUNTIFS('Promo Calendar'!$A$6:$A$400,$C452,'Promo Calendar'!$D$6:$D$400,"All",'Promo Calendar'!$I$6:$I$400,"&lt;="&amp;$A452,'Promo Calendar'!$J$6:$J$400,"&gt;="&amp;$A452,'Promo Calendar'!$G$6:$G$400,"&gt;0")&gt;0,_xlfn.MINIFS('Promo Calendar'!$G$6:$G$400,'Promo Calendar'!$A$6:$A$400,$C452,'Promo Calendar'!$D$6:$D$400,"All",'Promo Calendar'!$I$6:$I$400,"&lt;="&amp;$A452,'Promo Calendar'!$J$6:$J$400,"&gt;="&amp;$A452,'Promo Calendar'!$G$6:$G$400,"&gt;0"),IFERROR(IF(INDEX('Chain Program'!$M$6:$M$120,MATCH($C452,'Chain Program'!$A$6:$A$120,0))="","Not set",INDEX('Chain Program'!$M$6:$M$120,MATCH($C452,'Chain Program'!$A$6:$A$120,0))),"Not set"))))</f>
        <v/>
      </c>
      <c r="I452" s="61" t="n"/>
      <c r="J452" s="45">
        <f>IF($I452="","",IF(NOT(ISNUMBER($H452)),"No plan price",IF(ABS($I452-$H452)&lt;0.005,"Match",IF($I452&gt;$H452,"Over plan","Under plan"))))</f>
        <v/>
      </c>
      <c r="K452" s="60" t="n"/>
      <c r="L452" s="60" t="n"/>
      <c r="M452" s="60" t="n"/>
      <c r="N452" s="60" t="n"/>
      <c r="O452" s="60" t="n"/>
      <c r="P452" s="62" t="n"/>
      <c r="Q452" s="62" t="n"/>
      <c r="R452" s="60" t="n"/>
      <c r="S452" s="59" t="n"/>
      <c r="T452" s="60" t="n"/>
      <c r="U452" s="59" t="n"/>
      <c r="V452" s="45">
        <f>IF(OR($A452="",$T452="",$T452="No Issue"),"",IF($T452="Resolved",IF($U452="","",$U452-$A452),TODAY()-$A452))</f>
        <v/>
      </c>
      <c r="W452" s="47">
        <f>IF(AND($C452&lt;&gt;"",$C452='Store History'!$C$4,OR('Store History'!$C$5="",$F452='Store History'!$C$5)),1,0)</f>
        <v/>
      </c>
      <c r="X452" s="47">
        <f>IF($W452=1,SUM($W452:$W$1005),"")</f>
        <v/>
      </c>
    </row>
    <row r="453">
      <c r="A453" s="59" t="n"/>
      <c r="B453" s="60" t="n"/>
      <c r="C453" s="60" t="n"/>
      <c r="D453" s="45">
        <f>IF($C453="","",IFERROR(INDEX('Chain Program'!$B$6:$B$120,MATCH($C453,'Chain Program'!$A$6:$A$120,0)),"Unknown ID"))</f>
        <v/>
      </c>
      <c r="E453" s="45">
        <f>IF($C453="","",IFERROR(INDEX('Chain Program'!$D$6:$D$120,MATCH($C453,'Chain Program'!$A$6:$A$120,0)),"Unknown ID"))</f>
        <v/>
      </c>
      <c r="F453" s="60" t="n"/>
      <c r="G453" s="60" t="n"/>
      <c r="H453" s="56">
        <f>IF(OR($C453="",$A453=""),"",IF(COUNTIFS('Promo Calendar'!$A$6:$A$400,$C453,'Promo Calendar'!$D$6:$D$400,IF($G453="","All",$G453),'Promo Calendar'!$I$6:$I$400,"&lt;="&amp;$A453,'Promo Calendar'!$J$6:$J$400,"&gt;="&amp;$A453,'Promo Calendar'!$G$6:$G$400,"&gt;0")&gt;0,_xlfn.MINIFS('Promo Calendar'!$G$6:$G$400,'Promo Calendar'!$A$6:$A$400,$C453,'Promo Calendar'!$D$6:$D$400,IF($G453="","All",$G453),'Promo Calendar'!$I$6:$I$400,"&lt;="&amp;$A453,'Promo Calendar'!$J$6:$J$400,"&gt;="&amp;$A453,'Promo Calendar'!$G$6:$G$400,"&gt;0"),IF(COUNTIFS('Promo Calendar'!$A$6:$A$400,$C453,'Promo Calendar'!$D$6:$D$400,"All",'Promo Calendar'!$I$6:$I$400,"&lt;="&amp;$A453,'Promo Calendar'!$J$6:$J$400,"&gt;="&amp;$A453,'Promo Calendar'!$G$6:$G$400,"&gt;0")&gt;0,_xlfn.MINIFS('Promo Calendar'!$G$6:$G$400,'Promo Calendar'!$A$6:$A$400,$C453,'Promo Calendar'!$D$6:$D$400,"All",'Promo Calendar'!$I$6:$I$400,"&lt;="&amp;$A453,'Promo Calendar'!$J$6:$J$400,"&gt;="&amp;$A453,'Promo Calendar'!$G$6:$G$400,"&gt;0"),IFERROR(IF(INDEX('Chain Program'!$M$6:$M$120,MATCH($C453,'Chain Program'!$A$6:$A$120,0))="","Not set",INDEX('Chain Program'!$M$6:$M$120,MATCH($C453,'Chain Program'!$A$6:$A$120,0))),"Not set"))))</f>
        <v/>
      </c>
      <c r="I453" s="61" t="n"/>
      <c r="J453" s="45">
        <f>IF($I453="","",IF(NOT(ISNUMBER($H453)),"No plan price",IF(ABS($I453-$H453)&lt;0.005,"Match",IF($I453&gt;$H453,"Over plan","Under plan"))))</f>
        <v/>
      </c>
      <c r="K453" s="60" t="n"/>
      <c r="L453" s="60" t="n"/>
      <c r="M453" s="60" t="n"/>
      <c r="N453" s="60" t="n"/>
      <c r="O453" s="60" t="n"/>
      <c r="P453" s="62" t="n"/>
      <c r="Q453" s="62" t="n"/>
      <c r="R453" s="60" t="n"/>
      <c r="S453" s="59" t="n"/>
      <c r="T453" s="60" t="n"/>
      <c r="U453" s="59" t="n"/>
      <c r="V453" s="45">
        <f>IF(OR($A453="",$T453="",$T453="No Issue"),"",IF($T453="Resolved",IF($U453="","",$U453-$A453),TODAY()-$A453))</f>
        <v/>
      </c>
      <c r="W453" s="47">
        <f>IF(AND($C453&lt;&gt;"",$C453='Store History'!$C$4,OR('Store History'!$C$5="",$F453='Store History'!$C$5)),1,0)</f>
        <v/>
      </c>
      <c r="X453" s="47">
        <f>IF($W453=1,SUM($W453:$W$1005),"")</f>
        <v/>
      </c>
    </row>
    <row r="454">
      <c r="A454" s="59" t="n"/>
      <c r="B454" s="60" t="n"/>
      <c r="C454" s="60" t="n"/>
      <c r="D454" s="45">
        <f>IF($C454="","",IFERROR(INDEX('Chain Program'!$B$6:$B$120,MATCH($C454,'Chain Program'!$A$6:$A$120,0)),"Unknown ID"))</f>
        <v/>
      </c>
      <c r="E454" s="45">
        <f>IF($C454="","",IFERROR(INDEX('Chain Program'!$D$6:$D$120,MATCH($C454,'Chain Program'!$A$6:$A$120,0)),"Unknown ID"))</f>
        <v/>
      </c>
      <c r="F454" s="60" t="n"/>
      <c r="G454" s="60" t="n"/>
      <c r="H454" s="56">
        <f>IF(OR($C454="",$A454=""),"",IF(COUNTIFS('Promo Calendar'!$A$6:$A$400,$C454,'Promo Calendar'!$D$6:$D$400,IF($G454="","All",$G454),'Promo Calendar'!$I$6:$I$400,"&lt;="&amp;$A454,'Promo Calendar'!$J$6:$J$400,"&gt;="&amp;$A454,'Promo Calendar'!$G$6:$G$400,"&gt;0")&gt;0,_xlfn.MINIFS('Promo Calendar'!$G$6:$G$400,'Promo Calendar'!$A$6:$A$400,$C454,'Promo Calendar'!$D$6:$D$400,IF($G454="","All",$G454),'Promo Calendar'!$I$6:$I$400,"&lt;="&amp;$A454,'Promo Calendar'!$J$6:$J$400,"&gt;="&amp;$A454,'Promo Calendar'!$G$6:$G$400,"&gt;0"),IF(COUNTIFS('Promo Calendar'!$A$6:$A$400,$C454,'Promo Calendar'!$D$6:$D$400,"All",'Promo Calendar'!$I$6:$I$400,"&lt;="&amp;$A454,'Promo Calendar'!$J$6:$J$400,"&gt;="&amp;$A454,'Promo Calendar'!$G$6:$G$400,"&gt;0")&gt;0,_xlfn.MINIFS('Promo Calendar'!$G$6:$G$400,'Promo Calendar'!$A$6:$A$400,$C454,'Promo Calendar'!$D$6:$D$400,"All",'Promo Calendar'!$I$6:$I$400,"&lt;="&amp;$A454,'Promo Calendar'!$J$6:$J$400,"&gt;="&amp;$A454,'Promo Calendar'!$G$6:$G$400,"&gt;0"),IFERROR(IF(INDEX('Chain Program'!$M$6:$M$120,MATCH($C454,'Chain Program'!$A$6:$A$120,0))="","Not set",INDEX('Chain Program'!$M$6:$M$120,MATCH($C454,'Chain Program'!$A$6:$A$120,0))),"Not set"))))</f>
        <v/>
      </c>
      <c r="I454" s="61" t="n"/>
      <c r="J454" s="45">
        <f>IF($I454="","",IF(NOT(ISNUMBER($H454)),"No plan price",IF(ABS($I454-$H454)&lt;0.005,"Match",IF($I454&gt;$H454,"Over plan","Under plan"))))</f>
        <v/>
      </c>
      <c r="K454" s="60" t="n"/>
      <c r="L454" s="60" t="n"/>
      <c r="M454" s="60" t="n"/>
      <c r="N454" s="60" t="n"/>
      <c r="O454" s="60" t="n"/>
      <c r="P454" s="62" t="n"/>
      <c r="Q454" s="62" t="n"/>
      <c r="R454" s="60" t="n"/>
      <c r="S454" s="59" t="n"/>
      <c r="T454" s="60" t="n"/>
      <c r="U454" s="59" t="n"/>
      <c r="V454" s="45">
        <f>IF(OR($A454="",$T454="",$T454="No Issue"),"",IF($T454="Resolved",IF($U454="","",$U454-$A454),TODAY()-$A454))</f>
        <v/>
      </c>
      <c r="W454" s="47">
        <f>IF(AND($C454&lt;&gt;"",$C454='Store History'!$C$4,OR('Store History'!$C$5="",$F454='Store History'!$C$5)),1,0)</f>
        <v/>
      </c>
      <c r="X454" s="47">
        <f>IF($W454=1,SUM($W454:$W$1005),"")</f>
        <v/>
      </c>
    </row>
    <row r="455">
      <c r="A455" s="59" t="n"/>
      <c r="B455" s="60" t="n"/>
      <c r="C455" s="60" t="n"/>
      <c r="D455" s="45">
        <f>IF($C455="","",IFERROR(INDEX('Chain Program'!$B$6:$B$120,MATCH($C455,'Chain Program'!$A$6:$A$120,0)),"Unknown ID"))</f>
        <v/>
      </c>
      <c r="E455" s="45">
        <f>IF($C455="","",IFERROR(INDEX('Chain Program'!$D$6:$D$120,MATCH($C455,'Chain Program'!$A$6:$A$120,0)),"Unknown ID"))</f>
        <v/>
      </c>
      <c r="F455" s="60" t="n"/>
      <c r="G455" s="60" t="n"/>
      <c r="H455" s="56">
        <f>IF(OR($C455="",$A455=""),"",IF(COUNTIFS('Promo Calendar'!$A$6:$A$400,$C455,'Promo Calendar'!$D$6:$D$400,IF($G455="","All",$G455),'Promo Calendar'!$I$6:$I$400,"&lt;="&amp;$A455,'Promo Calendar'!$J$6:$J$400,"&gt;="&amp;$A455,'Promo Calendar'!$G$6:$G$400,"&gt;0")&gt;0,_xlfn.MINIFS('Promo Calendar'!$G$6:$G$400,'Promo Calendar'!$A$6:$A$400,$C455,'Promo Calendar'!$D$6:$D$400,IF($G455="","All",$G455),'Promo Calendar'!$I$6:$I$400,"&lt;="&amp;$A455,'Promo Calendar'!$J$6:$J$400,"&gt;="&amp;$A455,'Promo Calendar'!$G$6:$G$400,"&gt;0"),IF(COUNTIFS('Promo Calendar'!$A$6:$A$400,$C455,'Promo Calendar'!$D$6:$D$400,"All",'Promo Calendar'!$I$6:$I$400,"&lt;="&amp;$A455,'Promo Calendar'!$J$6:$J$400,"&gt;="&amp;$A455,'Promo Calendar'!$G$6:$G$400,"&gt;0")&gt;0,_xlfn.MINIFS('Promo Calendar'!$G$6:$G$400,'Promo Calendar'!$A$6:$A$400,$C455,'Promo Calendar'!$D$6:$D$400,"All",'Promo Calendar'!$I$6:$I$400,"&lt;="&amp;$A455,'Promo Calendar'!$J$6:$J$400,"&gt;="&amp;$A455,'Promo Calendar'!$G$6:$G$400,"&gt;0"),IFERROR(IF(INDEX('Chain Program'!$M$6:$M$120,MATCH($C455,'Chain Program'!$A$6:$A$120,0))="","Not set",INDEX('Chain Program'!$M$6:$M$120,MATCH($C455,'Chain Program'!$A$6:$A$120,0))),"Not set"))))</f>
        <v/>
      </c>
      <c r="I455" s="61" t="n"/>
      <c r="J455" s="45">
        <f>IF($I455="","",IF(NOT(ISNUMBER($H455)),"No plan price",IF(ABS($I455-$H455)&lt;0.005,"Match",IF($I455&gt;$H455,"Over plan","Under plan"))))</f>
        <v/>
      </c>
      <c r="K455" s="60" t="n"/>
      <c r="L455" s="60" t="n"/>
      <c r="M455" s="60" t="n"/>
      <c r="N455" s="60" t="n"/>
      <c r="O455" s="60" t="n"/>
      <c r="P455" s="62" t="n"/>
      <c r="Q455" s="62" t="n"/>
      <c r="R455" s="60" t="n"/>
      <c r="S455" s="59" t="n"/>
      <c r="T455" s="60" t="n"/>
      <c r="U455" s="59" t="n"/>
      <c r="V455" s="45">
        <f>IF(OR($A455="",$T455="",$T455="No Issue"),"",IF($T455="Resolved",IF($U455="","",$U455-$A455),TODAY()-$A455))</f>
        <v/>
      </c>
      <c r="W455" s="47">
        <f>IF(AND($C455&lt;&gt;"",$C455='Store History'!$C$4,OR('Store History'!$C$5="",$F455='Store History'!$C$5)),1,0)</f>
        <v/>
      </c>
      <c r="X455" s="47">
        <f>IF($W455=1,SUM($W455:$W$1005),"")</f>
        <v/>
      </c>
    </row>
    <row r="456">
      <c r="A456" s="59" t="n"/>
      <c r="B456" s="60" t="n"/>
      <c r="C456" s="60" t="n"/>
      <c r="D456" s="45">
        <f>IF($C456="","",IFERROR(INDEX('Chain Program'!$B$6:$B$120,MATCH($C456,'Chain Program'!$A$6:$A$120,0)),"Unknown ID"))</f>
        <v/>
      </c>
      <c r="E456" s="45">
        <f>IF($C456="","",IFERROR(INDEX('Chain Program'!$D$6:$D$120,MATCH($C456,'Chain Program'!$A$6:$A$120,0)),"Unknown ID"))</f>
        <v/>
      </c>
      <c r="F456" s="60" t="n"/>
      <c r="G456" s="60" t="n"/>
      <c r="H456" s="56">
        <f>IF(OR($C456="",$A456=""),"",IF(COUNTIFS('Promo Calendar'!$A$6:$A$400,$C456,'Promo Calendar'!$D$6:$D$400,IF($G456="","All",$G456),'Promo Calendar'!$I$6:$I$400,"&lt;="&amp;$A456,'Promo Calendar'!$J$6:$J$400,"&gt;="&amp;$A456,'Promo Calendar'!$G$6:$G$400,"&gt;0")&gt;0,_xlfn.MINIFS('Promo Calendar'!$G$6:$G$400,'Promo Calendar'!$A$6:$A$400,$C456,'Promo Calendar'!$D$6:$D$400,IF($G456="","All",$G456),'Promo Calendar'!$I$6:$I$400,"&lt;="&amp;$A456,'Promo Calendar'!$J$6:$J$400,"&gt;="&amp;$A456,'Promo Calendar'!$G$6:$G$400,"&gt;0"),IF(COUNTIFS('Promo Calendar'!$A$6:$A$400,$C456,'Promo Calendar'!$D$6:$D$400,"All",'Promo Calendar'!$I$6:$I$400,"&lt;="&amp;$A456,'Promo Calendar'!$J$6:$J$400,"&gt;="&amp;$A456,'Promo Calendar'!$G$6:$G$400,"&gt;0")&gt;0,_xlfn.MINIFS('Promo Calendar'!$G$6:$G$400,'Promo Calendar'!$A$6:$A$400,$C456,'Promo Calendar'!$D$6:$D$400,"All",'Promo Calendar'!$I$6:$I$400,"&lt;="&amp;$A456,'Promo Calendar'!$J$6:$J$400,"&gt;="&amp;$A456,'Promo Calendar'!$G$6:$G$400,"&gt;0"),IFERROR(IF(INDEX('Chain Program'!$M$6:$M$120,MATCH($C456,'Chain Program'!$A$6:$A$120,0))="","Not set",INDEX('Chain Program'!$M$6:$M$120,MATCH($C456,'Chain Program'!$A$6:$A$120,0))),"Not set"))))</f>
        <v/>
      </c>
      <c r="I456" s="61" t="n"/>
      <c r="J456" s="45">
        <f>IF($I456="","",IF(NOT(ISNUMBER($H456)),"No plan price",IF(ABS($I456-$H456)&lt;0.005,"Match",IF($I456&gt;$H456,"Over plan","Under plan"))))</f>
        <v/>
      </c>
      <c r="K456" s="60" t="n"/>
      <c r="L456" s="60" t="n"/>
      <c r="M456" s="60" t="n"/>
      <c r="N456" s="60" t="n"/>
      <c r="O456" s="60" t="n"/>
      <c r="P456" s="62" t="n"/>
      <c r="Q456" s="62" t="n"/>
      <c r="R456" s="60" t="n"/>
      <c r="S456" s="59" t="n"/>
      <c r="T456" s="60" t="n"/>
      <c r="U456" s="59" t="n"/>
      <c r="V456" s="45">
        <f>IF(OR($A456="",$T456="",$T456="No Issue"),"",IF($T456="Resolved",IF($U456="","",$U456-$A456),TODAY()-$A456))</f>
        <v/>
      </c>
      <c r="W456" s="47">
        <f>IF(AND($C456&lt;&gt;"",$C456='Store History'!$C$4,OR('Store History'!$C$5="",$F456='Store History'!$C$5)),1,0)</f>
        <v/>
      </c>
      <c r="X456" s="47">
        <f>IF($W456=1,SUM($W456:$W$1005),"")</f>
        <v/>
      </c>
    </row>
    <row r="457">
      <c r="A457" s="59" t="n"/>
      <c r="B457" s="60" t="n"/>
      <c r="C457" s="60" t="n"/>
      <c r="D457" s="45">
        <f>IF($C457="","",IFERROR(INDEX('Chain Program'!$B$6:$B$120,MATCH($C457,'Chain Program'!$A$6:$A$120,0)),"Unknown ID"))</f>
        <v/>
      </c>
      <c r="E457" s="45">
        <f>IF($C457="","",IFERROR(INDEX('Chain Program'!$D$6:$D$120,MATCH($C457,'Chain Program'!$A$6:$A$120,0)),"Unknown ID"))</f>
        <v/>
      </c>
      <c r="F457" s="60" t="n"/>
      <c r="G457" s="60" t="n"/>
      <c r="H457" s="56">
        <f>IF(OR($C457="",$A457=""),"",IF(COUNTIFS('Promo Calendar'!$A$6:$A$400,$C457,'Promo Calendar'!$D$6:$D$400,IF($G457="","All",$G457),'Promo Calendar'!$I$6:$I$400,"&lt;="&amp;$A457,'Promo Calendar'!$J$6:$J$400,"&gt;="&amp;$A457,'Promo Calendar'!$G$6:$G$400,"&gt;0")&gt;0,_xlfn.MINIFS('Promo Calendar'!$G$6:$G$400,'Promo Calendar'!$A$6:$A$400,$C457,'Promo Calendar'!$D$6:$D$400,IF($G457="","All",$G457),'Promo Calendar'!$I$6:$I$400,"&lt;="&amp;$A457,'Promo Calendar'!$J$6:$J$400,"&gt;="&amp;$A457,'Promo Calendar'!$G$6:$G$400,"&gt;0"),IF(COUNTIFS('Promo Calendar'!$A$6:$A$400,$C457,'Promo Calendar'!$D$6:$D$400,"All",'Promo Calendar'!$I$6:$I$400,"&lt;="&amp;$A457,'Promo Calendar'!$J$6:$J$400,"&gt;="&amp;$A457,'Promo Calendar'!$G$6:$G$400,"&gt;0")&gt;0,_xlfn.MINIFS('Promo Calendar'!$G$6:$G$400,'Promo Calendar'!$A$6:$A$400,$C457,'Promo Calendar'!$D$6:$D$400,"All",'Promo Calendar'!$I$6:$I$400,"&lt;="&amp;$A457,'Promo Calendar'!$J$6:$J$400,"&gt;="&amp;$A457,'Promo Calendar'!$G$6:$G$400,"&gt;0"),IFERROR(IF(INDEX('Chain Program'!$M$6:$M$120,MATCH($C457,'Chain Program'!$A$6:$A$120,0))="","Not set",INDEX('Chain Program'!$M$6:$M$120,MATCH($C457,'Chain Program'!$A$6:$A$120,0))),"Not set"))))</f>
        <v/>
      </c>
      <c r="I457" s="61" t="n"/>
      <c r="J457" s="45">
        <f>IF($I457="","",IF(NOT(ISNUMBER($H457)),"No plan price",IF(ABS($I457-$H457)&lt;0.005,"Match",IF($I457&gt;$H457,"Over plan","Under plan"))))</f>
        <v/>
      </c>
      <c r="K457" s="60" t="n"/>
      <c r="L457" s="60" t="n"/>
      <c r="M457" s="60" t="n"/>
      <c r="N457" s="60" t="n"/>
      <c r="O457" s="60" t="n"/>
      <c r="P457" s="62" t="n"/>
      <c r="Q457" s="62" t="n"/>
      <c r="R457" s="60" t="n"/>
      <c r="S457" s="59" t="n"/>
      <c r="T457" s="60" t="n"/>
      <c r="U457" s="59" t="n"/>
      <c r="V457" s="45">
        <f>IF(OR($A457="",$T457="",$T457="No Issue"),"",IF($T457="Resolved",IF($U457="","",$U457-$A457),TODAY()-$A457))</f>
        <v/>
      </c>
      <c r="W457" s="47">
        <f>IF(AND($C457&lt;&gt;"",$C457='Store History'!$C$4,OR('Store History'!$C$5="",$F457='Store History'!$C$5)),1,0)</f>
        <v/>
      </c>
      <c r="X457" s="47">
        <f>IF($W457=1,SUM($W457:$W$1005),"")</f>
        <v/>
      </c>
    </row>
    <row r="458">
      <c r="A458" s="59" t="n"/>
      <c r="B458" s="60" t="n"/>
      <c r="C458" s="60" t="n"/>
      <c r="D458" s="45">
        <f>IF($C458="","",IFERROR(INDEX('Chain Program'!$B$6:$B$120,MATCH($C458,'Chain Program'!$A$6:$A$120,0)),"Unknown ID"))</f>
        <v/>
      </c>
      <c r="E458" s="45">
        <f>IF($C458="","",IFERROR(INDEX('Chain Program'!$D$6:$D$120,MATCH($C458,'Chain Program'!$A$6:$A$120,0)),"Unknown ID"))</f>
        <v/>
      </c>
      <c r="F458" s="60" t="n"/>
      <c r="G458" s="60" t="n"/>
      <c r="H458" s="56">
        <f>IF(OR($C458="",$A458=""),"",IF(COUNTIFS('Promo Calendar'!$A$6:$A$400,$C458,'Promo Calendar'!$D$6:$D$400,IF($G458="","All",$G458),'Promo Calendar'!$I$6:$I$400,"&lt;="&amp;$A458,'Promo Calendar'!$J$6:$J$400,"&gt;="&amp;$A458,'Promo Calendar'!$G$6:$G$400,"&gt;0")&gt;0,_xlfn.MINIFS('Promo Calendar'!$G$6:$G$400,'Promo Calendar'!$A$6:$A$400,$C458,'Promo Calendar'!$D$6:$D$400,IF($G458="","All",$G458),'Promo Calendar'!$I$6:$I$400,"&lt;="&amp;$A458,'Promo Calendar'!$J$6:$J$400,"&gt;="&amp;$A458,'Promo Calendar'!$G$6:$G$400,"&gt;0"),IF(COUNTIFS('Promo Calendar'!$A$6:$A$400,$C458,'Promo Calendar'!$D$6:$D$400,"All",'Promo Calendar'!$I$6:$I$400,"&lt;="&amp;$A458,'Promo Calendar'!$J$6:$J$400,"&gt;="&amp;$A458,'Promo Calendar'!$G$6:$G$400,"&gt;0")&gt;0,_xlfn.MINIFS('Promo Calendar'!$G$6:$G$400,'Promo Calendar'!$A$6:$A$400,$C458,'Promo Calendar'!$D$6:$D$400,"All",'Promo Calendar'!$I$6:$I$400,"&lt;="&amp;$A458,'Promo Calendar'!$J$6:$J$400,"&gt;="&amp;$A458,'Promo Calendar'!$G$6:$G$400,"&gt;0"),IFERROR(IF(INDEX('Chain Program'!$M$6:$M$120,MATCH($C458,'Chain Program'!$A$6:$A$120,0))="","Not set",INDEX('Chain Program'!$M$6:$M$120,MATCH($C458,'Chain Program'!$A$6:$A$120,0))),"Not set"))))</f>
        <v/>
      </c>
      <c r="I458" s="61" t="n"/>
      <c r="J458" s="45">
        <f>IF($I458="","",IF(NOT(ISNUMBER($H458)),"No plan price",IF(ABS($I458-$H458)&lt;0.005,"Match",IF($I458&gt;$H458,"Over plan","Under plan"))))</f>
        <v/>
      </c>
      <c r="K458" s="60" t="n"/>
      <c r="L458" s="60" t="n"/>
      <c r="M458" s="60" t="n"/>
      <c r="N458" s="60" t="n"/>
      <c r="O458" s="60" t="n"/>
      <c r="P458" s="62" t="n"/>
      <c r="Q458" s="62" t="n"/>
      <c r="R458" s="60" t="n"/>
      <c r="S458" s="59" t="n"/>
      <c r="T458" s="60" t="n"/>
      <c r="U458" s="59" t="n"/>
      <c r="V458" s="45">
        <f>IF(OR($A458="",$T458="",$T458="No Issue"),"",IF($T458="Resolved",IF($U458="","",$U458-$A458),TODAY()-$A458))</f>
        <v/>
      </c>
      <c r="W458" s="47">
        <f>IF(AND($C458&lt;&gt;"",$C458='Store History'!$C$4,OR('Store History'!$C$5="",$F458='Store History'!$C$5)),1,0)</f>
        <v/>
      </c>
      <c r="X458" s="47">
        <f>IF($W458=1,SUM($W458:$W$1005),"")</f>
        <v/>
      </c>
    </row>
    <row r="459">
      <c r="A459" s="59" t="n"/>
      <c r="B459" s="60" t="n"/>
      <c r="C459" s="60" t="n"/>
      <c r="D459" s="45">
        <f>IF($C459="","",IFERROR(INDEX('Chain Program'!$B$6:$B$120,MATCH($C459,'Chain Program'!$A$6:$A$120,0)),"Unknown ID"))</f>
        <v/>
      </c>
      <c r="E459" s="45">
        <f>IF($C459="","",IFERROR(INDEX('Chain Program'!$D$6:$D$120,MATCH($C459,'Chain Program'!$A$6:$A$120,0)),"Unknown ID"))</f>
        <v/>
      </c>
      <c r="F459" s="60" t="n"/>
      <c r="G459" s="60" t="n"/>
      <c r="H459" s="56">
        <f>IF(OR($C459="",$A459=""),"",IF(COUNTIFS('Promo Calendar'!$A$6:$A$400,$C459,'Promo Calendar'!$D$6:$D$400,IF($G459="","All",$G459),'Promo Calendar'!$I$6:$I$400,"&lt;="&amp;$A459,'Promo Calendar'!$J$6:$J$400,"&gt;="&amp;$A459,'Promo Calendar'!$G$6:$G$400,"&gt;0")&gt;0,_xlfn.MINIFS('Promo Calendar'!$G$6:$G$400,'Promo Calendar'!$A$6:$A$400,$C459,'Promo Calendar'!$D$6:$D$400,IF($G459="","All",$G459),'Promo Calendar'!$I$6:$I$400,"&lt;="&amp;$A459,'Promo Calendar'!$J$6:$J$400,"&gt;="&amp;$A459,'Promo Calendar'!$G$6:$G$400,"&gt;0"),IF(COUNTIFS('Promo Calendar'!$A$6:$A$400,$C459,'Promo Calendar'!$D$6:$D$400,"All",'Promo Calendar'!$I$6:$I$400,"&lt;="&amp;$A459,'Promo Calendar'!$J$6:$J$400,"&gt;="&amp;$A459,'Promo Calendar'!$G$6:$G$400,"&gt;0")&gt;0,_xlfn.MINIFS('Promo Calendar'!$G$6:$G$400,'Promo Calendar'!$A$6:$A$400,$C459,'Promo Calendar'!$D$6:$D$400,"All",'Promo Calendar'!$I$6:$I$400,"&lt;="&amp;$A459,'Promo Calendar'!$J$6:$J$400,"&gt;="&amp;$A459,'Promo Calendar'!$G$6:$G$400,"&gt;0"),IFERROR(IF(INDEX('Chain Program'!$M$6:$M$120,MATCH($C459,'Chain Program'!$A$6:$A$120,0))="","Not set",INDEX('Chain Program'!$M$6:$M$120,MATCH($C459,'Chain Program'!$A$6:$A$120,0))),"Not set"))))</f>
        <v/>
      </c>
      <c r="I459" s="61" t="n"/>
      <c r="J459" s="45">
        <f>IF($I459="","",IF(NOT(ISNUMBER($H459)),"No plan price",IF(ABS($I459-$H459)&lt;0.005,"Match",IF($I459&gt;$H459,"Over plan","Under plan"))))</f>
        <v/>
      </c>
      <c r="K459" s="60" t="n"/>
      <c r="L459" s="60" t="n"/>
      <c r="M459" s="60" t="n"/>
      <c r="N459" s="60" t="n"/>
      <c r="O459" s="60" t="n"/>
      <c r="P459" s="62" t="n"/>
      <c r="Q459" s="62" t="n"/>
      <c r="R459" s="60" t="n"/>
      <c r="S459" s="59" t="n"/>
      <c r="T459" s="60" t="n"/>
      <c r="U459" s="59" t="n"/>
      <c r="V459" s="45">
        <f>IF(OR($A459="",$T459="",$T459="No Issue"),"",IF($T459="Resolved",IF($U459="","",$U459-$A459),TODAY()-$A459))</f>
        <v/>
      </c>
      <c r="W459" s="47">
        <f>IF(AND($C459&lt;&gt;"",$C459='Store History'!$C$4,OR('Store History'!$C$5="",$F459='Store History'!$C$5)),1,0)</f>
        <v/>
      </c>
      <c r="X459" s="47">
        <f>IF($W459=1,SUM($W459:$W$1005),"")</f>
        <v/>
      </c>
    </row>
    <row r="460">
      <c r="A460" s="59" t="n"/>
      <c r="B460" s="60" t="n"/>
      <c r="C460" s="60" t="n"/>
      <c r="D460" s="45">
        <f>IF($C460="","",IFERROR(INDEX('Chain Program'!$B$6:$B$120,MATCH($C460,'Chain Program'!$A$6:$A$120,0)),"Unknown ID"))</f>
        <v/>
      </c>
      <c r="E460" s="45">
        <f>IF($C460="","",IFERROR(INDEX('Chain Program'!$D$6:$D$120,MATCH($C460,'Chain Program'!$A$6:$A$120,0)),"Unknown ID"))</f>
        <v/>
      </c>
      <c r="F460" s="60" t="n"/>
      <c r="G460" s="60" t="n"/>
      <c r="H460" s="56">
        <f>IF(OR($C460="",$A460=""),"",IF(COUNTIFS('Promo Calendar'!$A$6:$A$400,$C460,'Promo Calendar'!$D$6:$D$400,IF($G460="","All",$G460),'Promo Calendar'!$I$6:$I$400,"&lt;="&amp;$A460,'Promo Calendar'!$J$6:$J$400,"&gt;="&amp;$A460,'Promo Calendar'!$G$6:$G$400,"&gt;0")&gt;0,_xlfn.MINIFS('Promo Calendar'!$G$6:$G$400,'Promo Calendar'!$A$6:$A$400,$C460,'Promo Calendar'!$D$6:$D$400,IF($G460="","All",$G460),'Promo Calendar'!$I$6:$I$400,"&lt;="&amp;$A460,'Promo Calendar'!$J$6:$J$400,"&gt;="&amp;$A460,'Promo Calendar'!$G$6:$G$400,"&gt;0"),IF(COUNTIFS('Promo Calendar'!$A$6:$A$400,$C460,'Promo Calendar'!$D$6:$D$400,"All",'Promo Calendar'!$I$6:$I$400,"&lt;="&amp;$A460,'Promo Calendar'!$J$6:$J$400,"&gt;="&amp;$A460,'Promo Calendar'!$G$6:$G$400,"&gt;0")&gt;0,_xlfn.MINIFS('Promo Calendar'!$G$6:$G$400,'Promo Calendar'!$A$6:$A$400,$C460,'Promo Calendar'!$D$6:$D$400,"All",'Promo Calendar'!$I$6:$I$400,"&lt;="&amp;$A460,'Promo Calendar'!$J$6:$J$400,"&gt;="&amp;$A460,'Promo Calendar'!$G$6:$G$400,"&gt;0"),IFERROR(IF(INDEX('Chain Program'!$M$6:$M$120,MATCH($C460,'Chain Program'!$A$6:$A$120,0))="","Not set",INDEX('Chain Program'!$M$6:$M$120,MATCH($C460,'Chain Program'!$A$6:$A$120,0))),"Not set"))))</f>
        <v/>
      </c>
      <c r="I460" s="61" t="n"/>
      <c r="J460" s="45">
        <f>IF($I460="","",IF(NOT(ISNUMBER($H460)),"No plan price",IF(ABS($I460-$H460)&lt;0.005,"Match",IF($I460&gt;$H460,"Over plan","Under plan"))))</f>
        <v/>
      </c>
      <c r="K460" s="60" t="n"/>
      <c r="L460" s="60" t="n"/>
      <c r="M460" s="60" t="n"/>
      <c r="N460" s="60" t="n"/>
      <c r="O460" s="60" t="n"/>
      <c r="P460" s="62" t="n"/>
      <c r="Q460" s="62" t="n"/>
      <c r="R460" s="60" t="n"/>
      <c r="S460" s="59" t="n"/>
      <c r="T460" s="60" t="n"/>
      <c r="U460" s="59" t="n"/>
      <c r="V460" s="45">
        <f>IF(OR($A460="",$T460="",$T460="No Issue"),"",IF($T460="Resolved",IF($U460="","",$U460-$A460),TODAY()-$A460))</f>
        <v/>
      </c>
      <c r="W460" s="47">
        <f>IF(AND($C460&lt;&gt;"",$C460='Store History'!$C$4,OR('Store History'!$C$5="",$F460='Store History'!$C$5)),1,0)</f>
        <v/>
      </c>
      <c r="X460" s="47">
        <f>IF($W460=1,SUM($W460:$W$1005),"")</f>
        <v/>
      </c>
    </row>
    <row r="461">
      <c r="A461" s="59" t="n"/>
      <c r="B461" s="60" t="n"/>
      <c r="C461" s="60" t="n"/>
      <c r="D461" s="45">
        <f>IF($C461="","",IFERROR(INDEX('Chain Program'!$B$6:$B$120,MATCH($C461,'Chain Program'!$A$6:$A$120,0)),"Unknown ID"))</f>
        <v/>
      </c>
      <c r="E461" s="45">
        <f>IF($C461="","",IFERROR(INDEX('Chain Program'!$D$6:$D$120,MATCH($C461,'Chain Program'!$A$6:$A$120,0)),"Unknown ID"))</f>
        <v/>
      </c>
      <c r="F461" s="60" t="n"/>
      <c r="G461" s="60" t="n"/>
      <c r="H461" s="56">
        <f>IF(OR($C461="",$A461=""),"",IF(COUNTIFS('Promo Calendar'!$A$6:$A$400,$C461,'Promo Calendar'!$D$6:$D$400,IF($G461="","All",$G461),'Promo Calendar'!$I$6:$I$400,"&lt;="&amp;$A461,'Promo Calendar'!$J$6:$J$400,"&gt;="&amp;$A461,'Promo Calendar'!$G$6:$G$400,"&gt;0")&gt;0,_xlfn.MINIFS('Promo Calendar'!$G$6:$G$400,'Promo Calendar'!$A$6:$A$400,$C461,'Promo Calendar'!$D$6:$D$400,IF($G461="","All",$G461),'Promo Calendar'!$I$6:$I$400,"&lt;="&amp;$A461,'Promo Calendar'!$J$6:$J$400,"&gt;="&amp;$A461,'Promo Calendar'!$G$6:$G$400,"&gt;0"),IF(COUNTIFS('Promo Calendar'!$A$6:$A$400,$C461,'Promo Calendar'!$D$6:$D$400,"All",'Promo Calendar'!$I$6:$I$400,"&lt;="&amp;$A461,'Promo Calendar'!$J$6:$J$400,"&gt;="&amp;$A461,'Promo Calendar'!$G$6:$G$400,"&gt;0")&gt;0,_xlfn.MINIFS('Promo Calendar'!$G$6:$G$400,'Promo Calendar'!$A$6:$A$400,$C461,'Promo Calendar'!$D$6:$D$400,"All",'Promo Calendar'!$I$6:$I$400,"&lt;="&amp;$A461,'Promo Calendar'!$J$6:$J$400,"&gt;="&amp;$A461,'Promo Calendar'!$G$6:$G$400,"&gt;0"),IFERROR(IF(INDEX('Chain Program'!$M$6:$M$120,MATCH($C461,'Chain Program'!$A$6:$A$120,0))="","Not set",INDEX('Chain Program'!$M$6:$M$120,MATCH($C461,'Chain Program'!$A$6:$A$120,0))),"Not set"))))</f>
        <v/>
      </c>
      <c r="I461" s="61" t="n"/>
      <c r="J461" s="45">
        <f>IF($I461="","",IF(NOT(ISNUMBER($H461)),"No plan price",IF(ABS($I461-$H461)&lt;0.005,"Match",IF($I461&gt;$H461,"Over plan","Under plan"))))</f>
        <v/>
      </c>
      <c r="K461" s="60" t="n"/>
      <c r="L461" s="60" t="n"/>
      <c r="M461" s="60" t="n"/>
      <c r="N461" s="60" t="n"/>
      <c r="O461" s="60" t="n"/>
      <c r="P461" s="62" t="n"/>
      <c r="Q461" s="62" t="n"/>
      <c r="R461" s="60" t="n"/>
      <c r="S461" s="59" t="n"/>
      <c r="T461" s="60" t="n"/>
      <c r="U461" s="59" t="n"/>
      <c r="V461" s="45">
        <f>IF(OR($A461="",$T461="",$T461="No Issue"),"",IF($T461="Resolved",IF($U461="","",$U461-$A461),TODAY()-$A461))</f>
        <v/>
      </c>
      <c r="W461" s="47">
        <f>IF(AND($C461&lt;&gt;"",$C461='Store History'!$C$4,OR('Store History'!$C$5="",$F461='Store History'!$C$5)),1,0)</f>
        <v/>
      </c>
      <c r="X461" s="47">
        <f>IF($W461=1,SUM($W461:$W$1005),"")</f>
        <v/>
      </c>
    </row>
    <row r="462">
      <c r="A462" s="59" t="n"/>
      <c r="B462" s="60" t="n"/>
      <c r="C462" s="60" t="n"/>
      <c r="D462" s="45">
        <f>IF($C462="","",IFERROR(INDEX('Chain Program'!$B$6:$B$120,MATCH($C462,'Chain Program'!$A$6:$A$120,0)),"Unknown ID"))</f>
        <v/>
      </c>
      <c r="E462" s="45">
        <f>IF($C462="","",IFERROR(INDEX('Chain Program'!$D$6:$D$120,MATCH($C462,'Chain Program'!$A$6:$A$120,0)),"Unknown ID"))</f>
        <v/>
      </c>
      <c r="F462" s="60" t="n"/>
      <c r="G462" s="60" t="n"/>
      <c r="H462" s="56">
        <f>IF(OR($C462="",$A462=""),"",IF(COUNTIFS('Promo Calendar'!$A$6:$A$400,$C462,'Promo Calendar'!$D$6:$D$400,IF($G462="","All",$G462),'Promo Calendar'!$I$6:$I$400,"&lt;="&amp;$A462,'Promo Calendar'!$J$6:$J$400,"&gt;="&amp;$A462,'Promo Calendar'!$G$6:$G$400,"&gt;0")&gt;0,_xlfn.MINIFS('Promo Calendar'!$G$6:$G$400,'Promo Calendar'!$A$6:$A$400,$C462,'Promo Calendar'!$D$6:$D$400,IF($G462="","All",$G462),'Promo Calendar'!$I$6:$I$400,"&lt;="&amp;$A462,'Promo Calendar'!$J$6:$J$400,"&gt;="&amp;$A462,'Promo Calendar'!$G$6:$G$400,"&gt;0"),IF(COUNTIFS('Promo Calendar'!$A$6:$A$400,$C462,'Promo Calendar'!$D$6:$D$400,"All",'Promo Calendar'!$I$6:$I$400,"&lt;="&amp;$A462,'Promo Calendar'!$J$6:$J$400,"&gt;="&amp;$A462,'Promo Calendar'!$G$6:$G$400,"&gt;0")&gt;0,_xlfn.MINIFS('Promo Calendar'!$G$6:$G$400,'Promo Calendar'!$A$6:$A$400,$C462,'Promo Calendar'!$D$6:$D$400,"All",'Promo Calendar'!$I$6:$I$400,"&lt;="&amp;$A462,'Promo Calendar'!$J$6:$J$400,"&gt;="&amp;$A462,'Promo Calendar'!$G$6:$G$400,"&gt;0"),IFERROR(IF(INDEX('Chain Program'!$M$6:$M$120,MATCH($C462,'Chain Program'!$A$6:$A$120,0))="","Not set",INDEX('Chain Program'!$M$6:$M$120,MATCH($C462,'Chain Program'!$A$6:$A$120,0))),"Not set"))))</f>
        <v/>
      </c>
      <c r="I462" s="61" t="n"/>
      <c r="J462" s="45">
        <f>IF($I462="","",IF(NOT(ISNUMBER($H462)),"No plan price",IF(ABS($I462-$H462)&lt;0.005,"Match",IF($I462&gt;$H462,"Over plan","Under plan"))))</f>
        <v/>
      </c>
      <c r="K462" s="60" t="n"/>
      <c r="L462" s="60" t="n"/>
      <c r="M462" s="60" t="n"/>
      <c r="N462" s="60" t="n"/>
      <c r="O462" s="60" t="n"/>
      <c r="P462" s="62" t="n"/>
      <c r="Q462" s="62" t="n"/>
      <c r="R462" s="60" t="n"/>
      <c r="S462" s="59" t="n"/>
      <c r="T462" s="60" t="n"/>
      <c r="U462" s="59" t="n"/>
      <c r="V462" s="45">
        <f>IF(OR($A462="",$T462="",$T462="No Issue"),"",IF($T462="Resolved",IF($U462="","",$U462-$A462),TODAY()-$A462))</f>
        <v/>
      </c>
      <c r="W462" s="47">
        <f>IF(AND($C462&lt;&gt;"",$C462='Store History'!$C$4,OR('Store History'!$C$5="",$F462='Store History'!$C$5)),1,0)</f>
        <v/>
      </c>
      <c r="X462" s="47">
        <f>IF($W462=1,SUM($W462:$W$1005),"")</f>
        <v/>
      </c>
    </row>
    <row r="463">
      <c r="A463" s="59" t="n"/>
      <c r="B463" s="60" t="n"/>
      <c r="C463" s="60" t="n"/>
      <c r="D463" s="45">
        <f>IF($C463="","",IFERROR(INDEX('Chain Program'!$B$6:$B$120,MATCH($C463,'Chain Program'!$A$6:$A$120,0)),"Unknown ID"))</f>
        <v/>
      </c>
      <c r="E463" s="45">
        <f>IF($C463="","",IFERROR(INDEX('Chain Program'!$D$6:$D$120,MATCH($C463,'Chain Program'!$A$6:$A$120,0)),"Unknown ID"))</f>
        <v/>
      </c>
      <c r="F463" s="60" t="n"/>
      <c r="G463" s="60" t="n"/>
      <c r="H463" s="56">
        <f>IF(OR($C463="",$A463=""),"",IF(COUNTIFS('Promo Calendar'!$A$6:$A$400,$C463,'Promo Calendar'!$D$6:$D$400,IF($G463="","All",$G463),'Promo Calendar'!$I$6:$I$400,"&lt;="&amp;$A463,'Promo Calendar'!$J$6:$J$400,"&gt;="&amp;$A463,'Promo Calendar'!$G$6:$G$400,"&gt;0")&gt;0,_xlfn.MINIFS('Promo Calendar'!$G$6:$G$400,'Promo Calendar'!$A$6:$A$400,$C463,'Promo Calendar'!$D$6:$D$400,IF($G463="","All",$G463),'Promo Calendar'!$I$6:$I$400,"&lt;="&amp;$A463,'Promo Calendar'!$J$6:$J$400,"&gt;="&amp;$A463,'Promo Calendar'!$G$6:$G$400,"&gt;0"),IF(COUNTIFS('Promo Calendar'!$A$6:$A$400,$C463,'Promo Calendar'!$D$6:$D$400,"All",'Promo Calendar'!$I$6:$I$400,"&lt;="&amp;$A463,'Promo Calendar'!$J$6:$J$400,"&gt;="&amp;$A463,'Promo Calendar'!$G$6:$G$400,"&gt;0")&gt;0,_xlfn.MINIFS('Promo Calendar'!$G$6:$G$400,'Promo Calendar'!$A$6:$A$400,$C463,'Promo Calendar'!$D$6:$D$400,"All",'Promo Calendar'!$I$6:$I$400,"&lt;="&amp;$A463,'Promo Calendar'!$J$6:$J$400,"&gt;="&amp;$A463,'Promo Calendar'!$G$6:$G$400,"&gt;0"),IFERROR(IF(INDEX('Chain Program'!$M$6:$M$120,MATCH($C463,'Chain Program'!$A$6:$A$120,0))="","Not set",INDEX('Chain Program'!$M$6:$M$120,MATCH($C463,'Chain Program'!$A$6:$A$120,0))),"Not set"))))</f>
        <v/>
      </c>
      <c r="I463" s="61" t="n"/>
      <c r="J463" s="45">
        <f>IF($I463="","",IF(NOT(ISNUMBER($H463)),"No plan price",IF(ABS($I463-$H463)&lt;0.005,"Match",IF($I463&gt;$H463,"Over plan","Under plan"))))</f>
        <v/>
      </c>
      <c r="K463" s="60" t="n"/>
      <c r="L463" s="60" t="n"/>
      <c r="M463" s="60" t="n"/>
      <c r="N463" s="60" t="n"/>
      <c r="O463" s="60" t="n"/>
      <c r="P463" s="62" t="n"/>
      <c r="Q463" s="62" t="n"/>
      <c r="R463" s="60" t="n"/>
      <c r="S463" s="59" t="n"/>
      <c r="T463" s="60" t="n"/>
      <c r="U463" s="59" t="n"/>
      <c r="V463" s="45">
        <f>IF(OR($A463="",$T463="",$T463="No Issue"),"",IF($T463="Resolved",IF($U463="","",$U463-$A463),TODAY()-$A463))</f>
        <v/>
      </c>
      <c r="W463" s="47">
        <f>IF(AND($C463&lt;&gt;"",$C463='Store History'!$C$4,OR('Store History'!$C$5="",$F463='Store History'!$C$5)),1,0)</f>
        <v/>
      </c>
      <c r="X463" s="47">
        <f>IF($W463=1,SUM($W463:$W$1005),"")</f>
        <v/>
      </c>
    </row>
    <row r="464">
      <c r="A464" s="59" t="n"/>
      <c r="B464" s="60" t="n"/>
      <c r="C464" s="60" t="n"/>
      <c r="D464" s="45">
        <f>IF($C464="","",IFERROR(INDEX('Chain Program'!$B$6:$B$120,MATCH($C464,'Chain Program'!$A$6:$A$120,0)),"Unknown ID"))</f>
        <v/>
      </c>
      <c r="E464" s="45">
        <f>IF($C464="","",IFERROR(INDEX('Chain Program'!$D$6:$D$120,MATCH($C464,'Chain Program'!$A$6:$A$120,0)),"Unknown ID"))</f>
        <v/>
      </c>
      <c r="F464" s="60" t="n"/>
      <c r="G464" s="60" t="n"/>
      <c r="H464" s="56">
        <f>IF(OR($C464="",$A464=""),"",IF(COUNTIFS('Promo Calendar'!$A$6:$A$400,$C464,'Promo Calendar'!$D$6:$D$400,IF($G464="","All",$G464),'Promo Calendar'!$I$6:$I$400,"&lt;="&amp;$A464,'Promo Calendar'!$J$6:$J$400,"&gt;="&amp;$A464,'Promo Calendar'!$G$6:$G$400,"&gt;0")&gt;0,_xlfn.MINIFS('Promo Calendar'!$G$6:$G$400,'Promo Calendar'!$A$6:$A$400,$C464,'Promo Calendar'!$D$6:$D$400,IF($G464="","All",$G464),'Promo Calendar'!$I$6:$I$400,"&lt;="&amp;$A464,'Promo Calendar'!$J$6:$J$400,"&gt;="&amp;$A464,'Promo Calendar'!$G$6:$G$400,"&gt;0"),IF(COUNTIFS('Promo Calendar'!$A$6:$A$400,$C464,'Promo Calendar'!$D$6:$D$400,"All",'Promo Calendar'!$I$6:$I$400,"&lt;="&amp;$A464,'Promo Calendar'!$J$6:$J$400,"&gt;="&amp;$A464,'Promo Calendar'!$G$6:$G$400,"&gt;0")&gt;0,_xlfn.MINIFS('Promo Calendar'!$G$6:$G$400,'Promo Calendar'!$A$6:$A$400,$C464,'Promo Calendar'!$D$6:$D$400,"All",'Promo Calendar'!$I$6:$I$400,"&lt;="&amp;$A464,'Promo Calendar'!$J$6:$J$400,"&gt;="&amp;$A464,'Promo Calendar'!$G$6:$G$400,"&gt;0"),IFERROR(IF(INDEX('Chain Program'!$M$6:$M$120,MATCH($C464,'Chain Program'!$A$6:$A$120,0))="","Not set",INDEX('Chain Program'!$M$6:$M$120,MATCH($C464,'Chain Program'!$A$6:$A$120,0))),"Not set"))))</f>
        <v/>
      </c>
      <c r="I464" s="61" t="n"/>
      <c r="J464" s="45">
        <f>IF($I464="","",IF(NOT(ISNUMBER($H464)),"No plan price",IF(ABS($I464-$H464)&lt;0.005,"Match",IF($I464&gt;$H464,"Over plan","Under plan"))))</f>
        <v/>
      </c>
      <c r="K464" s="60" t="n"/>
      <c r="L464" s="60" t="n"/>
      <c r="M464" s="60" t="n"/>
      <c r="N464" s="60" t="n"/>
      <c r="O464" s="60" t="n"/>
      <c r="P464" s="62" t="n"/>
      <c r="Q464" s="62" t="n"/>
      <c r="R464" s="60" t="n"/>
      <c r="S464" s="59" t="n"/>
      <c r="T464" s="60" t="n"/>
      <c r="U464" s="59" t="n"/>
      <c r="V464" s="45">
        <f>IF(OR($A464="",$T464="",$T464="No Issue"),"",IF($T464="Resolved",IF($U464="","",$U464-$A464),TODAY()-$A464))</f>
        <v/>
      </c>
      <c r="W464" s="47">
        <f>IF(AND($C464&lt;&gt;"",$C464='Store History'!$C$4,OR('Store History'!$C$5="",$F464='Store History'!$C$5)),1,0)</f>
        <v/>
      </c>
      <c r="X464" s="47">
        <f>IF($W464=1,SUM($W464:$W$1005),"")</f>
        <v/>
      </c>
    </row>
    <row r="465">
      <c r="A465" s="59" t="n"/>
      <c r="B465" s="60" t="n"/>
      <c r="C465" s="60" t="n"/>
      <c r="D465" s="45">
        <f>IF($C465="","",IFERROR(INDEX('Chain Program'!$B$6:$B$120,MATCH($C465,'Chain Program'!$A$6:$A$120,0)),"Unknown ID"))</f>
        <v/>
      </c>
      <c r="E465" s="45">
        <f>IF($C465="","",IFERROR(INDEX('Chain Program'!$D$6:$D$120,MATCH($C465,'Chain Program'!$A$6:$A$120,0)),"Unknown ID"))</f>
        <v/>
      </c>
      <c r="F465" s="60" t="n"/>
      <c r="G465" s="60" t="n"/>
      <c r="H465" s="56">
        <f>IF(OR($C465="",$A465=""),"",IF(COUNTIFS('Promo Calendar'!$A$6:$A$400,$C465,'Promo Calendar'!$D$6:$D$400,IF($G465="","All",$G465),'Promo Calendar'!$I$6:$I$400,"&lt;="&amp;$A465,'Promo Calendar'!$J$6:$J$400,"&gt;="&amp;$A465,'Promo Calendar'!$G$6:$G$400,"&gt;0")&gt;0,_xlfn.MINIFS('Promo Calendar'!$G$6:$G$400,'Promo Calendar'!$A$6:$A$400,$C465,'Promo Calendar'!$D$6:$D$400,IF($G465="","All",$G465),'Promo Calendar'!$I$6:$I$400,"&lt;="&amp;$A465,'Promo Calendar'!$J$6:$J$400,"&gt;="&amp;$A465,'Promo Calendar'!$G$6:$G$400,"&gt;0"),IF(COUNTIFS('Promo Calendar'!$A$6:$A$400,$C465,'Promo Calendar'!$D$6:$D$400,"All",'Promo Calendar'!$I$6:$I$400,"&lt;="&amp;$A465,'Promo Calendar'!$J$6:$J$400,"&gt;="&amp;$A465,'Promo Calendar'!$G$6:$G$400,"&gt;0")&gt;0,_xlfn.MINIFS('Promo Calendar'!$G$6:$G$400,'Promo Calendar'!$A$6:$A$400,$C465,'Promo Calendar'!$D$6:$D$400,"All",'Promo Calendar'!$I$6:$I$400,"&lt;="&amp;$A465,'Promo Calendar'!$J$6:$J$400,"&gt;="&amp;$A465,'Promo Calendar'!$G$6:$G$400,"&gt;0"),IFERROR(IF(INDEX('Chain Program'!$M$6:$M$120,MATCH($C465,'Chain Program'!$A$6:$A$120,0))="","Not set",INDEX('Chain Program'!$M$6:$M$120,MATCH($C465,'Chain Program'!$A$6:$A$120,0))),"Not set"))))</f>
        <v/>
      </c>
      <c r="I465" s="61" t="n"/>
      <c r="J465" s="45">
        <f>IF($I465="","",IF(NOT(ISNUMBER($H465)),"No plan price",IF(ABS($I465-$H465)&lt;0.005,"Match",IF($I465&gt;$H465,"Over plan","Under plan"))))</f>
        <v/>
      </c>
      <c r="K465" s="60" t="n"/>
      <c r="L465" s="60" t="n"/>
      <c r="M465" s="60" t="n"/>
      <c r="N465" s="60" t="n"/>
      <c r="O465" s="60" t="n"/>
      <c r="P465" s="62" t="n"/>
      <c r="Q465" s="62" t="n"/>
      <c r="R465" s="60" t="n"/>
      <c r="S465" s="59" t="n"/>
      <c r="T465" s="60" t="n"/>
      <c r="U465" s="59" t="n"/>
      <c r="V465" s="45">
        <f>IF(OR($A465="",$T465="",$T465="No Issue"),"",IF($T465="Resolved",IF($U465="","",$U465-$A465),TODAY()-$A465))</f>
        <v/>
      </c>
      <c r="W465" s="47">
        <f>IF(AND($C465&lt;&gt;"",$C465='Store History'!$C$4,OR('Store History'!$C$5="",$F465='Store History'!$C$5)),1,0)</f>
        <v/>
      </c>
      <c r="X465" s="47">
        <f>IF($W465=1,SUM($W465:$W$1005),"")</f>
        <v/>
      </c>
    </row>
    <row r="466">
      <c r="A466" s="59" t="n"/>
      <c r="B466" s="60" t="n"/>
      <c r="C466" s="60" t="n"/>
      <c r="D466" s="45">
        <f>IF($C466="","",IFERROR(INDEX('Chain Program'!$B$6:$B$120,MATCH($C466,'Chain Program'!$A$6:$A$120,0)),"Unknown ID"))</f>
        <v/>
      </c>
      <c r="E466" s="45">
        <f>IF($C466="","",IFERROR(INDEX('Chain Program'!$D$6:$D$120,MATCH($C466,'Chain Program'!$A$6:$A$120,0)),"Unknown ID"))</f>
        <v/>
      </c>
      <c r="F466" s="60" t="n"/>
      <c r="G466" s="60" t="n"/>
      <c r="H466" s="56">
        <f>IF(OR($C466="",$A466=""),"",IF(COUNTIFS('Promo Calendar'!$A$6:$A$400,$C466,'Promo Calendar'!$D$6:$D$400,IF($G466="","All",$G466),'Promo Calendar'!$I$6:$I$400,"&lt;="&amp;$A466,'Promo Calendar'!$J$6:$J$400,"&gt;="&amp;$A466,'Promo Calendar'!$G$6:$G$400,"&gt;0")&gt;0,_xlfn.MINIFS('Promo Calendar'!$G$6:$G$400,'Promo Calendar'!$A$6:$A$400,$C466,'Promo Calendar'!$D$6:$D$400,IF($G466="","All",$G466),'Promo Calendar'!$I$6:$I$400,"&lt;="&amp;$A466,'Promo Calendar'!$J$6:$J$400,"&gt;="&amp;$A466,'Promo Calendar'!$G$6:$G$400,"&gt;0"),IF(COUNTIFS('Promo Calendar'!$A$6:$A$400,$C466,'Promo Calendar'!$D$6:$D$400,"All",'Promo Calendar'!$I$6:$I$400,"&lt;="&amp;$A466,'Promo Calendar'!$J$6:$J$400,"&gt;="&amp;$A466,'Promo Calendar'!$G$6:$G$400,"&gt;0")&gt;0,_xlfn.MINIFS('Promo Calendar'!$G$6:$G$400,'Promo Calendar'!$A$6:$A$400,$C466,'Promo Calendar'!$D$6:$D$400,"All",'Promo Calendar'!$I$6:$I$400,"&lt;="&amp;$A466,'Promo Calendar'!$J$6:$J$400,"&gt;="&amp;$A466,'Promo Calendar'!$G$6:$G$400,"&gt;0"),IFERROR(IF(INDEX('Chain Program'!$M$6:$M$120,MATCH($C466,'Chain Program'!$A$6:$A$120,0))="","Not set",INDEX('Chain Program'!$M$6:$M$120,MATCH($C466,'Chain Program'!$A$6:$A$120,0))),"Not set"))))</f>
        <v/>
      </c>
      <c r="I466" s="61" t="n"/>
      <c r="J466" s="45">
        <f>IF($I466="","",IF(NOT(ISNUMBER($H466)),"No plan price",IF(ABS($I466-$H466)&lt;0.005,"Match",IF($I466&gt;$H466,"Over plan","Under plan"))))</f>
        <v/>
      </c>
      <c r="K466" s="60" t="n"/>
      <c r="L466" s="60" t="n"/>
      <c r="M466" s="60" t="n"/>
      <c r="N466" s="60" t="n"/>
      <c r="O466" s="60" t="n"/>
      <c r="P466" s="62" t="n"/>
      <c r="Q466" s="62" t="n"/>
      <c r="R466" s="60" t="n"/>
      <c r="S466" s="59" t="n"/>
      <c r="T466" s="60" t="n"/>
      <c r="U466" s="59" t="n"/>
      <c r="V466" s="45">
        <f>IF(OR($A466="",$T466="",$T466="No Issue"),"",IF($T466="Resolved",IF($U466="","",$U466-$A466),TODAY()-$A466))</f>
        <v/>
      </c>
      <c r="W466" s="47">
        <f>IF(AND($C466&lt;&gt;"",$C466='Store History'!$C$4,OR('Store History'!$C$5="",$F466='Store History'!$C$5)),1,0)</f>
        <v/>
      </c>
      <c r="X466" s="47">
        <f>IF($W466=1,SUM($W466:$W$1005),"")</f>
        <v/>
      </c>
    </row>
    <row r="467">
      <c r="A467" s="59" t="n"/>
      <c r="B467" s="60" t="n"/>
      <c r="C467" s="60" t="n"/>
      <c r="D467" s="45">
        <f>IF($C467="","",IFERROR(INDEX('Chain Program'!$B$6:$B$120,MATCH($C467,'Chain Program'!$A$6:$A$120,0)),"Unknown ID"))</f>
        <v/>
      </c>
      <c r="E467" s="45">
        <f>IF($C467="","",IFERROR(INDEX('Chain Program'!$D$6:$D$120,MATCH($C467,'Chain Program'!$A$6:$A$120,0)),"Unknown ID"))</f>
        <v/>
      </c>
      <c r="F467" s="60" t="n"/>
      <c r="G467" s="60" t="n"/>
      <c r="H467" s="56">
        <f>IF(OR($C467="",$A467=""),"",IF(COUNTIFS('Promo Calendar'!$A$6:$A$400,$C467,'Promo Calendar'!$D$6:$D$400,IF($G467="","All",$G467),'Promo Calendar'!$I$6:$I$400,"&lt;="&amp;$A467,'Promo Calendar'!$J$6:$J$400,"&gt;="&amp;$A467,'Promo Calendar'!$G$6:$G$400,"&gt;0")&gt;0,_xlfn.MINIFS('Promo Calendar'!$G$6:$G$400,'Promo Calendar'!$A$6:$A$400,$C467,'Promo Calendar'!$D$6:$D$400,IF($G467="","All",$G467),'Promo Calendar'!$I$6:$I$400,"&lt;="&amp;$A467,'Promo Calendar'!$J$6:$J$400,"&gt;="&amp;$A467,'Promo Calendar'!$G$6:$G$400,"&gt;0"),IF(COUNTIFS('Promo Calendar'!$A$6:$A$400,$C467,'Promo Calendar'!$D$6:$D$400,"All",'Promo Calendar'!$I$6:$I$400,"&lt;="&amp;$A467,'Promo Calendar'!$J$6:$J$400,"&gt;="&amp;$A467,'Promo Calendar'!$G$6:$G$400,"&gt;0")&gt;0,_xlfn.MINIFS('Promo Calendar'!$G$6:$G$400,'Promo Calendar'!$A$6:$A$400,$C467,'Promo Calendar'!$D$6:$D$400,"All",'Promo Calendar'!$I$6:$I$400,"&lt;="&amp;$A467,'Promo Calendar'!$J$6:$J$400,"&gt;="&amp;$A467,'Promo Calendar'!$G$6:$G$400,"&gt;0"),IFERROR(IF(INDEX('Chain Program'!$M$6:$M$120,MATCH($C467,'Chain Program'!$A$6:$A$120,0))="","Not set",INDEX('Chain Program'!$M$6:$M$120,MATCH($C467,'Chain Program'!$A$6:$A$120,0))),"Not set"))))</f>
        <v/>
      </c>
      <c r="I467" s="61" t="n"/>
      <c r="J467" s="45">
        <f>IF($I467="","",IF(NOT(ISNUMBER($H467)),"No plan price",IF(ABS($I467-$H467)&lt;0.005,"Match",IF($I467&gt;$H467,"Over plan","Under plan"))))</f>
        <v/>
      </c>
      <c r="K467" s="60" t="n"/>
      <c r="L467" s="60" t="n"/>
      <c r="M467" s="60" t="n"/>
      <c r="N467" s="60" t="n"/>
      <c r="O467" s="60" t="n"/>
      <c r="P467" s="62" t="n"/>
      <c r="Q467" s="62" t="n"/>
      <c r="R467" s="60" t="n"/>
      <c r="S467" s="59" t="n"/>
      <c r="T467" s="60" t="n"/>
      <c r="U467" s="59" t="n"/>
      <c r="V467" s="45">
        <f>IF(OR($A467="",$T467="",$T467="No Issue"),"",IF($T467="Resolved",IF($U467="","",$U467-$A467),TODAY()-$A467))</f>
        <v/>
      </c>
      <c r="W467" s="47">
        <f>IF(AND($C467&lt;&gt;"",$C467='Store History'!$C$4,OR('Store History'!$C$5="",$F467='Store History'!$C$5)),1,0)</f>
        <v/>
      </c>
      <c r="X467" s="47">
        <f>IF($W467=1,SUM($W467:$W$1005),"")</f>
        <v/>
      </c>
    </row>
    <row r="468">
      <c r="A468" s="59" t="n"/>
      <c r="B468" s="60" t="n"/>
      <c r="C468" s="60" t="n"/>
      <c r="D468" s="45">
        <f>IF($C468="","",IFERROR(INDEX('Chain Program'!$B$6:$B$120,MATCH($C468,'Chain Program'!$A$6:$A$120,0)),"Unknown ID"))</f>
        <v/>
      </c>
      <c r="E468" s="45">
        <f>IF($C468="","",IFERROR(INDEX('Chain Program'!$D$6:$D$120,MATCH($C468,'Chain Program'!$A$6:$A$120,0)),"Unknown ID"))</f>
        <v/>
      </c>
      <c r="F468" s="60" t="n"/>
      <c r="G468" s="60" t="n"/>
      <c r="H468" s="56">
        <f>IF(OR($C468="",$A468=""),"",IF(COUNTIFS('Promo Calendar'!$A$6:$A$400,$C468,'Promo Calendar'!$D$6:$D$400,IF($G468="","All",$G468),'Promo Calendar'!$I$6:$I$400,"&lt;="&amp;$A468,'Promo Calendar'!$J$6:$J$400,"&gt;="&amp;$A468,'Promo Calendar'!$G$6:$G$400,"&gt;0")&gt;0,_xlfn.MINIFS('Promo Calendar'!$G$6:$G$400,'Promo Calendar'!$A$6:$A$400,$C468,'Promo Calendar'!$D$6:$D$400,IF($G468="","All",$G468),'Promo Calendar'!$I$6:$I$400,"&lt;="&amp;$A468,'Promo Calendar'!$J$6:$J$400,"&gt;="&amp;$A468,'Promo Calendar'!$G$6:$G$400,"&gt;0"),IF(COUNTIFS('Promo Calendar'!$A$6:$A$400,$C468,'Promo Calendar'!$D$6:$D$400,"All",'Promo Calendar'!$I$6:$I$400,"&lt;="&amp;$A468,'Promo Calendar'!$J$6:$J$400,"&gt;="&amp;$A468,'Promo Calendar'!$G$6:$G$400,"&gt;0")&gt;0,_xlfn.MINIFS('Promo Calendar'!$G$6:$G$400,'Promo Calendar'!$A$6:$A$400,$C468,'Promo Calendar'!$D$6:$D$400,"All",'Promo Calendar'!$I$6:$I$400,"&lt;="&amp;$A468,'Promo Calendar'!$J$6:$J$400,"&gt;="&amp;$A468,'Promo Calendar'!$G$6:$G$400,"&gt;0"),IFERROR(IF(INDEX('Chain Program'!$M$6:$M$120,MATCH($C468,'Chain Program'!$A$6:$A$120,0))="","Not set",INDEX('Chain Program'!$M$6:$M$120,MATCH($C468,'Chain Program'!$A$6:$A$120,0))),"Not set"))))</f>
        <v/>
      </c>
      <c r="I468" s="61" t="n"/>
      <c r="J468" s="45">
        <f>IF($I468="","",IF(NOT(ISNUMBER($H468)),"No plan price",IF(ABS($I468-$H468)&lt;0.005,"Match",IF($I468&gt;$H468,"Over plan","Under plan"))))</f>
        <v/>
      </c>
      <c r="K468" s="60" t="n"/>
      <c r="L468" s="60" t="n"/>
      <c r="M468" s="60" t="n"/>
      <c r="N468" s="60" t="n"/>
      <c r="O468" s="60" t="n"/>
      <c r="P468" s="62" t="n"/>
      <c r="Q468" s="62" t="n"/>
      <c r="R468" s="60" t="n"/>
      <c r="S468" s="59" t="n"/>
      <c r="T468" s="60" t="n"/>
      <c r="U468" s="59" t="n"/>
      <c r="V468" s="45">
        <f>IF(OR($A468="",$T468="",$T468="No Issue"),"",IF($T468="Resolved",IF($U468="","",$U468-$A468),TODAY()-$A468))</f>
        <v/>
      </c>
      <c r="W468" s="47">
        <f>IF(AND($C468&lt;&gt;"",$C468='Store History'!$C$4,OR('Store History'!$C$5="",$F468='Store History'!$C$5)),1,0)</f>
        <v/>
      </c>
      <c r="X468" s="47">
        <f>IF($W468=1,SUM($W468:$W$1005),"")</f>
        <v/>
      </c>
    </row>
    <row r="469">
      <c r="A469" s="59" t="n"/>
      <c r="B469" s="60" t="n"/>
      <c r="C469" s="60" t="n"/>
      <c r="D469" s="45">
        <f>IF($C469="","",IFERROR(INDEX('Chain Program'!$B$6:$B$120,MATCH($C469,'Chain Program'!$A$6:$A$120,0)),"Unknown ID"))</f>
        <v/>
      </c>
      <c r="E469" s="45">
        <f>IF($C469="","",IFERROR(INDEX('Chain Program'!$D$6:$D$120,MATCH($C469,'Chain Program'!$A$6:$A$120,0)),"Unknown ID"))</f>
        <v/>
      </c>
      <c r="F469" s="60" t="n"/>
      <c r="G469" s="60" t="n"/>
      <c r="H469" s="56">
        <f>IF(OR($C469="",$A469=""),"",IF(COUNTIFS('Promo Calendar'!$A$6:$A$400,$C469,'Promo Calendar'!$D$6:$D$400,IF($G469="","All",$G469),'Promo Calendar'!$I$6:$I$400,"&lt;="&amp;$A469,'Promo Calendar'!$J$6:$J$400,"&gt;="&amp;$A469,'Promo Calendar'!$G$6:$G$400,"&gt;0")&gt;0,_xlfn.MINIFS('Promo Calendar'!$G$6:$G$400,'Promo Calendar'!$A$6:$A$400,$C469,'Promo Calendar'!$D$6:$D$400,IF($G469="","All",$G469),'Promo Calendar'!$I$6:$I$400,"&lt;="&amp;$A469,'Promo Calendar'!$J$6:$J$400,"&gt;="&amp;$A469,'Promo Calendar'!$G$6:$G$400,"&gt;0"),IF(COUNTIFS('Promo Calendar'!$A$6:$A$400,$C469,'Promo Calendar'!$D$6:$D$400,"All",'Promo Calendar'!$I$6:$I$400,"&lt;="&amp;$A469,'Promo Calendar'!$J$6:$J$400,"&gt;="&amp;$A469,'Promo Calendar'!$G$6:$G$400,"&gt;0")&gt;0,_xlfn.MINIFS('Promo Calendar'!$G$6:$G$400,'Promo Calendar'!$A$6:$A$400,$C469,'Promo Calendar'!$D$6:$D$400,"All",'Promo Calendar'!$I$6:$I$400,"&lt;="&amp;$A469,'Promo Calendar'!$J$6:$J$400,"&gt;="&amp;$A469,'Promo Calendar'!$G$6:$G$400,"&gt;0"),IFERROR(IF(INDEX('Chain Program'!$M$6:$M$120,MATCH($C469,'Chain Program'!$A$6:$A$120,0))="","Not set",INDEX('Chain Program'!$M$6:$M$120,MATCH($C469,'Chain Program'!$A$6:$A$120,0))),"Not set"))))</f>
        <v/>
      </c>
      <c r="I469" s="61" t="n"/>
      <c r="J469" s="45">
        <f>IF($I469="","",IF(NOT(ISNUMBER($H469)),"No plan price",IF(ABS($I469-$H469)&lt;0.005,"Match",IF($I469&gt;$H469,"Over plan","Under plan"))))</f>
        <v/>
      </c>
      <c r="K469" s="60" t="n"/>
      <c r="L469" s="60" t="n"/>
      <c r="M469" s="60" t="n"/>
      <c r="N469" s="60" t="n"/>
      <c r="O469" s="60" t="n"/>
      <c r="P469" s="62" t="n"/>
      <c r="Q469" s="62" t="n"/>
      <c r="R469" s="60" t="n"/>
      <c r="S469" s="59" t="n"/>
      <c r="T469" s="60" t="n"/>
      <c r="U469" s="59" t="n"/>
      <c r="V469" s="45">
        <f>IF(OR($A469="",$T469="",$T469="No Issue"),"",IF($T469="Resolved",IF($U469="","",$U469-$A469),TODAY()-$A469))</f>
        <v/>
      </c>
      <c r="W469" s="47">
        <f>IF(AND($C469&lt;&gt;"",$C469='Store History'!$C$4,OR('Store History'!$C$5="",$F469='Store History'!$C$5)),1,0)</f>
        <v/>
      </c>
      <c r="X469" s="47">
        <f>IF($W469=1,SUM($W469:$W$1005),"")</f>
        <v/>
      </c>
    </row>
    <row r="470">
      <c r="A470" s="59" t="n"/>
      <c r="B470" s="60" t="n"/>
      <c r="C470" s="60" t="n"/>
      <c r="D470" s="45">
        <f>IF($C470="","",IFERROR(INDEX('Chain Program'!$B$6:$B$120,MATCH($C470,'Chain Program'!$A$6:$A$120,0)),"Unknown ID"))</f>
        <v/>
      </c>
      <c r="E470" s="45">
        <f>IF($C470="","",IFERROR(INDEX('Chain Program'!$D$6:$D$120,MATCH($C470,'Chain Program'!$A$6:$A$120,0)),"Unknown ID"))</f>
        <v/>
      </c>
      <c r="F470" s="60" t="n"/>
      <c r="G470" s="60" t="n"/>
      <c r="H470" s="56">
        <f>IF(OR($C470="",$A470=""),"",IF(COUNTIFS('Promo Calendar'!$A$6:$A$400,$C470,'Promo Calendar'!$D$6:$D$400,IF($G470="","All",$G470),'Promo Calendar'!$I$6:$I$400,"&lt;="&amp;$A470,'Promo Calendar'!$J$6:$J$400,"&gt;="&amp;$A470,'Promo Calendar'!$G$6:$G$400,"&gt;0")&gt;0,_xlfn.MINIFS('Promo Calendar'!$G$6:$G$400,'Promo Calendar'!$A$6:$A$400,$C470,'Promo Calendar'!$D$6:$D$400,IF($G470="","All",$G470),'Promo Calendar'!$I$6:$I$400,"&lt;="&amp;$A470,'Promo Calendar'!$J$6:$J$400,"&gt;="&amp;$A470,'Promo Calendar'!$G$6:$G$400,"&gt;0"),IF(COUNTIFS('Promo Calendar'!$A$6:$A$400,$C470,'Promo Calendar'!$D$6:$D$400,"All",'Promo Calendar'!$I$6:$I$400,"&lt;="&amp;$A470,'Promo Calendar'!$J$6:$J$400,"&gt;="&amp;$A470,'Promo Calendar'!$G$6:$G$400,"&gt;0")&gt;0,_xlfn.MINIFS('Promo Calendar'!$G$6:$G$400,'Promo Calendar'!$A$6:$A$400,$C470,'Promo Calendar'!$D$6:$D$400,"All",'Promo Calendar'!$I$6:$I$400,"&lt;="&amp;$A470,'Promo Calendar'!$J$6:$J$400,"&gt;="&amp;$A470,'Promo Calendar'!$G$6:$G$400,"&gt;0"),IFERROR(IF(INDEX('Chain Program'!$M$6:$M$120,MATCH($C470,'Chain Program'!$A$6:$A$120,0))="","Not set",INDEX('Chain Program'!$M$6:$M$120,MATCH($C470,'Chain Program'!$A$6:$A$120,0))),"Not set"))))</f>
        <v/>
      </c>
      <c r="I470" s="61" t="n"/>
      <c r="J470" s="45">
        <f>IF($I470="","",IF(NOT(ISNUMBER($H470)),"No plan price",IF(ABS($I470-$H470)&lt;0.005,"Match",IF($I470&gt;$H470,"Over plan","Under plan"))))</f>
        <v/>
      </c>
      <c r="K470" s="60" t="n"/>
      <c r="L470" s="60" t="n"/>
      <c r="M470" s="60" t="n"/>
      <c r="N470" s="60" t="n"/>
      <c r="O470" s="60" t="n"/>
      <c r="P470" s="62" t="n"/>
      <c r="Q470" s="62" t="n"/>
      <c r="R470" s="60" t="n"/>
      <c r="S470" s="59" t="n"/>
      <c r="T470" s="60" t="n"/>
      <c r="U470" s="59" t="n"/>
      <c r="V470" s="45">
        <f>IF(OR($A470="",$T470="",$T470="No Issue"),"",IF($T470="Resolved",IF($U470="","",$U470-$A470),TODAY()-$A470))</f>
        <v/>
      </c>
      <c r="W470" s="47">
        <f>IF(AND($C470&lt;&gt;"",$C470='Store History'!$C$4,OR('Store History'!$C$5="",$F470='Store History'!$C$5)),1,0)</f>
        <v/>
      </c>
      <c r="X470" s="47">
        <f>IF($W470=1,SUM($W470:$W$1005),"")</f>
        <v/>
      </c>
    </row>
    <row r="471">
      <c r="A471" s="59" t="n"/>
      <c r="B471" s="60" t="n"/>
      <c r="C471" s="60" t="n"/>
      <c r="D471" s="45">
        <f>IF($C471="","",IFERROR(INDEX('Chain Program'!$B$6:$B$120,MATCH($C471,'Chain Program'!$A$6:$A$120,0)),"Unknown ID"))</f>
        <v/>
      </c>
      <c r="E471" s="45">
        <f>IF($C471="","",IFERROR(INDEX('Chain Program'!$D$6:$D$120,MATCH($C471,'Chain Program'!$A$6:$A$120,0)),"Unknown ID"))</f>
        <v/>
      </c>
      <c r="F471" s="60" t="n"/>
      <c r="G471" s="60" t="n"/>
      <c r="H471" s="56">
        <f>IF(OR($C471="",$A471=""),"",IF(COUNTIFS('Promo Calendar'!$A$6:$A$400,$C471,'Promo Calendar'!$D$6:$D$400,IF($G471="","All",$G471),'Promo Calendar'!$I$6:$I$400,"&lt;="&amp;$A471,'Promo Calendar'!$J$6:$J$400,"&gt;="&amp;$A471,'Promo Calendar'!$G$6:$G$400,"&gt;0")&gt;0,_xlfn.MINIFS('Promo Calendar'!$G$6:$G$400,'Promo Calendar'!$A$6:$A$400,$C471,'Promo Calendar'!$D$6:$D$400,IF($G471="","All",$G471),'Promo Calendar'!$I$6:$I$400,"&lt;="&amp;$A471,'Promo Calendar'!$J$6:$J$400,"&gt;="&amp;$A471,'Promo Calendar'!$G$6:$G$400,"&gt;0"),IF(COUNTIFS('Promo Calendar'!$A$6:$A$400,$C471,'Promo Calendar'!$D$6:$D$400,"All",'Promo Calendar'!$I$6:$I$400,"&lt;="&amp;$A471,'Promo Calendar'!$J$6:$J$400,"&gt;="&amp;$A471,'Promo Calendar'!$G$6:$G$400,"&gt;0")&gt;0,_xlfn.MINIFS('Promo Calendar'!$G$6:$G$400,'Promo Calendar'!$A$6:$A$400,$C471,'Promo Calendar'!$D$6:$D$400,"All",'Promo Calendar'!$I$6:$I$400,"&lt;="&amp;$A471,'Promo Calendar'!$J$6:$J$400,"&gt;="&amp;$A471,'Promo Calendar'!$G$6:$G$400,"&gt;0"),IFERROR(IF(INDEX('Chain Program'!$M$6:$M$120,MATCH($C471,'Chain Program'!$A$6:$A$120,0))="","Not set",INDEX('Chain Program'!$M$6:$M$120,MATCH($C471,'Chain Program'!$A$6:$A$120,0))),"Not set"))))</f>
        <v/>
      </c>
      <c r="I471" s="61" t="n"/>
      <c r="J471" s="45">
        <f>IF($I471="","",IF(NOT(ISNUMBER($H471)),"No plan price",IF(ABS($I471-$H471)&lt;0.005,"Match",IF($I471&gt;$H471,"Over plan","Under plan"))))</f>
        <v/>
      </c>
      <c r="K471" s="60" t="n"/>
      <c r="L471" s="60" t="n"/>
      <c r="M471" s="60" t="n"/>
      <c r="N471" s="60" t="n"/>
      <c r="O471" s="60" t="n"/>
      <c r="P471" s="62" t="n"/>
      <c r="Q471" s="62" t="n"/>
      <c r="R471" s="60" t="n"/>
      <c r="S471" s="59" t="n"/>
      <c r="T471" s="60" t="n"/>
      <c r="U471" s="59" t="n"/>
      <c r="V471" s="45">
        <f>IF(OR($A471="",$T471="",$T471="No Issue"),"",IF($T471="Resolved",IF($U471="","",$U471-$A471),TODAY()-$A471))</f>
        <v/>
      </c>
      <c r="W471" s="47">
        <f>IF(AND($C471&lt;&gt;"",$C471='Store History'!$C$4,OR('Store History'!$C$5="",$F471='Store History'!$C$5)),1,0)</f>
        <v/>
      </c>
      <c r="X471" s="47">
        <f>IF($W471=1,SUM($W471:$W$1005),"")</f>
        <v/>
      </c>
    </row>
    <row r="472">
      <c r="A472" s="59" t="n"/>
      <c r="B472" s="60" t="n"/>
      <c r="C472" s="60" t="n"/>
      <c r="D472" s="45">
        <f>IF($C472="","",IFERROR(INDEX('Chain Program'!$B$6:$B$120,MATCH($C472,'Chain Program'!$A$6:$A$120,0)),"Unknown ID"))</f>
        <v/>
      </c>
      <c r="E472" s="45">
        <f>IF($C472="","",IFERROR(INDEX('Chain Program'!$D$6:$D$120,MATCH($C472,'Chain Program'!$A$6:$A$120,0)),"Unknown ID"))</f>
        <v/>
      </c>
      <c r="F472" s="60" t="n"/>
      <c r="G472" s="60" t="n"/>
      <c r="H472" s="56">
        <f>IF(OR($C472="",$A472=""),"",IF(COUNTIFS('Promo Calendar'!$A$6:$A$400,$C472,'Promo Calendar'!$D$6:$D$400,IF($G472="","All",$G472),'Promo Calendar'!$I$6:$I$400,"&lt;="&amp;$A472,'Promo Calendar'!$J$6:$J$400,"&gt;="&amp;$A472,'Promo Calendar'!$G$6:$G$400,"&gt;0")&gt;0,_xlfn.MINIFS('Promo Calendar'!$G$6:$G$400,'Promo Calendar'!$A$6:$A$400,$C472,'Promo Calendar'!$D$6:$D$400,IF($G472="","All",$G472),'Promo Calendar'!$I$6:$I$400,"&lt;="&amp;$A472,'Promo Calendar'!$J$6:$J$400,"&gt;="&amp;$A472,'Promo Calendar'!$G$6:$G$400,"&gt;0"),IF(COUNTIFS('Promo Calendar'!$A$6:$A$400,$C472,'Promo Calendar'!$D$6:$D$400,"All",'Promo Calendar'!$I$6:$I$400,"&lt;="&amp;$A472,'Promo Calendar'!$J$6:$J$400,"&gt;="&amp;$A472,'Promo Calendar'!$G$6:$G$400,"&gt;0")&gt;0,_xlfn.MINIFS('Promo Calendar'!$G$6:$G$400,'Promo Calendar'!$A$6:$A$400,$C472,'Promo Calendar'!$D$6:$D$400,"All",'Promo Calendar'!$I$6:$I$400,"&lt;="&amp;$A472,'Promo Calendar'!$J$6:$J$400,"&gt;="&amp;$A472,'Promo Calendar'!$G$6:$G$400,"&gt;0"),IFERROR(IF(INDEX('Chain Program'!$M$6:$M$120,MATCH($C472,'Chain Program'!$A$6:$A$120,0))="","Not set",INDEX('Chain Program'!$M$6:$M$120,MATCH($C472,'Chain Program'!$A$6:$A$120,0))),"Not set"))))</f>
        <v/>
      </c>
      <c r="I472" s="61" t="n"/>
      <c r="J472" s="45">
        <f>IF($I472="","",IF(NOT(ISNUMBER($H472)),"No plan price",IF(ABS($I472-$H472)&lt;0.005,"Match",IF($I472&gt;$H472,"Over plan","Under plan"))))</f>
        <v/>
      </c>
      <c r="K472" s="60" t="n"/>
      <c r="L472" s="60" t="n"/>
      <c r="M472" s="60" t="n"/>
      <c r="N472" s="60" t="n"/>
      <c r="O472" s="60" t="n"/>
      <c r="P472" s="62" t="n"/>
      <c r="Q472" s="62" t="n"/>
      <c r="R472" s="60" t="n"/>
      <c r="S472" s="59" t="n"/>
      <c r="T472" s="60" t="n"/>
      <c r="U472" s="59" t="n"/>
      <c r="V472" s="45">
        <f>IF(OR($A472="",$T472="",$T472="No Issue"),"",IF($T472="Resolved",IF($U472="","",$U472-$A472),TODAY()-$A472))</f>
        <v/>
      </c>
      <c r="W472" s="47">
        <f>IF(AND($C472&lt;&gt;"",$C472='Store History'!$C$4,OR('Store History'!$C$5="",$F472='Store History'!$C$5)),1,0)</f>
        <v/>
      </c>
      <c r="X472" s="47">
        <f>IF($W472=1,SUM($W472:$W$1005),"")</f>
        <v/>
      </c>
    </row>
    <row r="473">
      <c r="A473" s="59" t="n"/>
      <c r="B473" s="60" t="n"/>
      <c r="C473" s="60" t="n"/>
      <c r="D473" s="45">
        <f>IF($C473="","",IFERROR(INDEX('Chain Program'!$B$6:$B$120,MATCH($C473,'Chain Program'!$A$6:$A$120,0)),"Unknown ID"))</f>
        <v/>
      </c>
      <c r="E473" s="45">
        <f>IF($C473="","",IFERROR(INDEX('Chain Program'!$D$6:$D$120,MATCH($C473,'Chain Program'!$A$6:$A$120,0)),"Unknown ID"))</f>
        <v/>
      </c>
      <c r="F473" s="60" t="n"/>
      <c r="G473" s="60" t="n"/>
      <c r="H473" s="56">
        <f>IF(OR($C473="",$A473=""),"",IF(COUNTIFS('Promo Calendar'!$A$6:$A$400,$C473,'Promo Calendar'!$D$6:$D$400,IF($G473="","All",$G473),'Promo Calendar'!$I$6:$I$400,"&lt;="&amp;$A473,'Promo Calendar'!$J$6:$J$400,"&gt;="&amp;$A473,'Promo Calendar'!$G$6:$G$400,"&gt;0")&gt;0,_xlfn.MINIFS('Promo Calendar'!$G$6:$G$400,'Promo Calendar'!$A$6:$A$400,$C473,'Promo Calendar'!$D$6:$D$400,IF($G473="","All",$G473),'Promo Calendar'!$I$6:$I$400,"&lt;="&amp;$A473,'Promo Calendar'!$J$6:$J$400,"&gt;="&amp;$A473,'Promo Calendar'!$G$6:$G$400,"&gt;0"),IF(COUNTIFS('Promo Calendar'!$A$6:$A$400,$C473,'Promo Calendar'!$D$6:$D$400,"All",'Promo Calendar'!$I$6:$I$400,"&lt;="&amp;$A473,'Promo Calendar'!$J$6:$J$400,"&gt;="&amp;$A473,'Promo Calendar'!$G$6:$G$400,"&gt;0")&gt;0,_xlfn.MINIFS('Promo Calendar'!$G$6:$G$400,'Promo Calendar'!$A$6:$A$400,$C473,'Promo Calendar'!$D$6:$D$400,"All",'Promo Calendar'!$I$6:$I$400,"&lt;="&amp;$A473,'Promo Calendar'!$J$6:$J$400,"&gt;="&amp;$A473,'Promo Calendar'!$G$6:$G$400,"&gt;0"),IFERROR(IF(INDEX('Chain Program'!$M$6:$M$120,MATCH($C473,'Chain Program'!$A$6:$A$120,0))="","Not set",INDEX('Chain Program'!$M$6:$M$120,MATCH($C473,'Chain Program'!$A$6:$A$120,0))),"Not set"))))</f>
        <v/>
      </c>
      <c r="I473" s="61" t="n"/>
      <c r="J473" s="45">
        <f>IF($I473="","",IF(NOT(ISNUMBER($H473)),"No plan price",IF(ABS($I473-$H473)&lt;0.005,"Match",IF($I473&gt;$H473,"Over plan","Under plan"))))</f>
        <v/>
      </c>
      <c r="K473" s="60" t="n"/>
      <c r="L473" s="60" t="n"/>
      <c r="M473" s="60" t="n"/>
      <c r="N473" s="60" t="n"/>
      <c r="O473" s="60" t="n"/>
      <c r="P473" s="62" t="n"/>
      <c r="Q473" s="62" t="n"/>
      <c r="R473" s="60" t="n"/>
      <c r="S473" s="59" t="n"/>
      <c r="T473" s="60" t="n"/>
      <c r="U473" s="59" t="n"/>
      <c r="V473" s="45">
        <f>IF(OR($A473="",$T473="",$T473="No Issue"),"",IF($T473="Resolved",IF($U473="","",$U473-$A473),TODAY()-$A473))</f>
        <v/>
      </c>
      <c r="W473" s="47">
        <f>IF(AND($C473&lt;&gt;"",$C473='Store History'!$C$4,OR('Store History'!$C$5="",$F473='Store History'!$C$5)),1,0)</f>
        <v/>
      </c>
      <c r="X473" s="47">
        <f>IF($W473=1,SUM($W473:$W$1005),"")</f>
        <v/>
      </c>
    </row>
    <row r="474">
      <c r="A474" s="59" t="n"/>
      <c r="B474" s="60" t="n"/>
      <c r="C474" s="60" t="n"/>
      <c r="D474" s="45">
        <f>IF($C474="","",IFERROR(INDEX('Chain Program'!$B$6:$B$120,MATCH($C474,'Chain Program'!$A$6:$A$120,0)),"Unknown ID"))</f>
        <v/>
      </c>
      <c r="E474" s="45">
        <f>IF($C474="","",IFERROR(INDEX('Chain Program'!$D$6:$D$120,MATCH($C474,'Chain Program'!$A$6:$A$120,0)),"Unknown ID"))</f>
        <v/>
      </c>
      <c r="F474" s="60" t="n"/>
      <c r="G474" s="60" t="n"/>
      <c r="H474" s="56">
        <f>IF(OR($C474="",$A474=""),"",IF(COUNTIFS('Promo Calendar'!$A$6:$A$400,$C474,'Promo Calendar'!$D$6:$D$400,IF($G474="","All",$G474),'Promo Calendar'!$I$6:$I$400,"&lt;="&amp;$A474,'Promo Calendar'!$J$6:$J$400,"&gt;="&amp;$A474,'Promo Calendar'!$G$6:$G$400,"&gt;0")&gt;0,_xlfn.MINIFS('Promo Calendar'!$G$6:$G$400,'Promo Calendar'!$A$6:$A$400,$C474,'Promo Calendar'!$D$6:$D$400,IF($G474="","All",$G474),'Promo Calendar'!$I$6:$I$400,"&lt;="&amp;$A474,'Promo Calendar'!$J$6:$J$400,"&gt;="&amp;$A474,'Promo Calendar'!$G$6:$G$400,"&gt;0"),IF(COUNTIFS('Promo Calendar'!$A$6:$A$400,$C474,'Promo Calendar'!$D$6:$D$400,"All",'Promo Calendar'!$I$6:$I$400,"&lt;="&amp;$A474,'Promo Calendar'!$J$6:$J$400,"&gt;="&amp;$A474,'Promo Calendar'!$G$6:$G$400,"&gt;0")&gt;0,_xlfn.MINIFS('Promo Calendar'!$G$6:$G$400,'Promo Calendar'!$A$6:$A$400,$C474,'Promo Calendar'!$D$6:$D$400,"All",'Promo Calendar'!$I$6:$I$400,"&lt;="&amp;$A474,'Promo Calendar'!$J$6:$J$400,"&gt;="&amp;$A474,'Promo Calendar'!$G$6:$G$400,"&gt;0"),IFERROR(IF(INDEX('Chain Program'!$M$6:$M$120,MATCH($C474,'Chain Program'!$A$6:$A$120,0))="","Not set",INDEX('Chain Program'!$M$6:$M$120,MATCH($C474,'Chain Program'!$A$6:$A$120,0))),"Not set"))))</f>
        <v/>
      </c>
      <c r="I474" s="61" t="n"/>
      <c r="J474" s="45">
        <f>IF($I474="","",IF(NOT(ISNUMBER($H474)),"No plan price",IF(ABS($I474-$H474)&lt;0.005,"Match",IF($I474&gt;$H474,"Over plan","Under plan"))))</f>
        <v/>
      </c>
      <c r="K474" s="60" t="n"/>
      <c r="L474" s="60" t="n"/>
      <c r="M474" s="60" t="n"/>
      <c r="N474" s="60" t="n"/>
      <c r="O474" s="60" t="n"/>
      <c r="P474" s="62" t="n"/>
      <c r="Q474" s="62" t="n"/>
      <c r="R474" s="60" t="n"/>
      <c r="S474" s="59" t="n"/>
      <c r="T474" s="60" t="n"/>
      <c r="U474" s="59" t="n"/>
      <c r="V474" s="45">
        <f>IF(OR($A474="",$T474="",$T474="No Issue"),"",IF($T474="Resolved",IF($U474="","",$U474-$A474),TODAY()-$A474))</f>
        <v/>
      </c>
      <c r="W474" s="47">
        <f>IF(AND($C474&lt;&gt;"",$C474='Store History'!$C$4,OR('Store History'!$C$5="",$F474='Store History'!$C$5)),1,0)</f>
        <v/>
      </c>
      <c r="X474" s="47">
        <f>IF($W474=1,SUM($W474:$W$1005),"")</f>
        <v/>
      </c>
    </row>
    <row r="475">
      <c r="A475" s="59" t="n"/>
      <c r="B475" s="60" t="n"/>
      <c r="C475" s="60" t="n"/>
      <c r="D475" s="45">
        <f>IF($C475="","",IFERROR(INDEX('Chain Program'!$B$6:$B$120,MATCH($C475,'Chain Program'!$A$6:$A$120,0)),"Unknown ID"))</f>
        <v/>
      </c>
      <c r="E475" s="45">
        <f>IF($C475="","",IFERROR(INDEX('Chain Program'!$D$6:$D$120,MATCH($C475,'Chain Program'!$A$6:$A$120,0)),"Unknown ID"))</f>
        <v/>
      </c>
      <c r="F475" s="60" t="n"/>
      <c r="G475" s="60" t="n"/>
      <c r="H475" s="56">
        <f>IF(OR($C475="",$A475=""),"",IF(COUNTIFS('Promo Calendar'!$A$6:$A$400,$C475,'Promo Calendar'!$D$6:$D$400,IF($G475="","All",$G475),'Promo Calendar'!$I$6:$I$400,"&lt;="&amp;$A475,'Promo Calendar'!$J$6:$J$400,"&gt;="&amp;$A475,'Promo Calendar'!$G$6:$G$400,"&gt;0")&gt;0,_xlfn.MINIFS('Promo Calendar'!$G$6:$G$400,'Promo Calendar'!$A$6:$A$400,$C475,'Promo Calendar'!$D$6:$D$400,IF($G475="","All",$G475),'Promo Calendar'!$I$6:$I$400,"&lt;="&amp;$A475,'Promo Calendar'!$J$6:$J$400,"&gt;="&amp;$A475,'Promo Calendar'!$G$6:$G$400,"&gt;0"),IF(COUNTIFS('Promo Calendar'!$A$6:$A$400,$C475,'Promo Calendar'!$D$6:$D$400,"All",'Promo Calendar'!$I$6:$I$400,"&lt;="&amp;$A475,'Promo Calendar'!$J$6:$J$400,"&gt;="&amp;$A475,'Promo Calendar'!$G$6:$G$400,"&gt;0")&gt;0,_xlfn.MINIFS('Promo Calendar'!$G$6:$G$400,'Promo Calendar'!$A$6:$A$400,$C475,'Promo Calendar'!$D$6:$D$400,"All",'Promo Calendar'!$I$6:$I$400,"&lt;="&amp;$A475,'Promo Calendar'!$J$6:$J$400,"&gt;="&amp;$A475,'Promo Calendar'!$G$6:$G$400,"&gt;0"),IFERROR(IF(INDEX('Chain Program'!$M$6:$M$120,MATCH($C475,'Chain Program'!$A$6:$A$120,0))="","Not set",INDEX('Chain Program'!$M$6:$M$120,MATCH($C475,'Chain Program'!$A$6:$A$120,0))),"Not set"))))</f>
        <v/>
      </c>
      <c r="I475" s="61" t="n"/>
      <c r="J475" s="45">
        <f>IF($I475="","",IF(NOT(ISNUMBER($H475)),"No plan price",IF(ABS($I475-$H475)&lt;0.005,"Match",IF($I475&gt;$H475,"Over plan","Under plan"))))</f>
        <v/>
      </c>
      <c r="K475" s="60" t="n"/>
      <c r="L475" s="60" t="n"/>
      <c r="M475" s="60" t="n"/>
      <c r="N475" s="60" t="n"/>
      <c r="O475" s="60" t="n"/>
      <c r="P475" s="62" t="n"/>
      <c r="Q475" s="62" t="n"/>
      <c r="R475" s="60" t="n"/>
      <c r="S475" s="59" t="n"/>
      <c r="T475" s="60" t="n"/>
      <c r="U475" s="59" t="n"/>
      <c r="V475" s="45">
        <f>IF(OR($A475="",$T475="",$T475="No Issue"),"",IF($T475="Resolved",IF($U475="","",$U475-$A475),TODAY()-$A475))</f>
        <v/>
      </c>
      <c r="W475" s="47">
        <f>IF(AND($C475&lt;&gt;"",$C475='Store History'!$C$4,OR('Store History'!$C$5="",$F475='Store History'!$C$5)),1,0)</f>
        <v/>
      </c>
      <c r="X475" s="47">
        <f>IF($W475=1,SUM($W475:$W$1005),"")</f>
        <v/>
      </c>
    </row>
    <row r="476">
      <c r="A476" s="59" t="n"/>
      <c r="B476" s="60" t="n"/>
      <c r="C476" s="60" t="n"/>
      <c r="D476" s="45">
        <f>IF($C476="","",IFERROR(INDEX('Chain Program'!$B$6:$B$120,MATCH($C476,'Chain Program'!$A$6:$A$120,0)),"Unknown ID"))</f>
        <v/>
      </c>
      <c r="E476" s="45">
        <f>IF($C476="","",IFERROR(INDEX('Chain Program'!$D$6:$D$120,MATCH($C476,'Chain Program'!$A$6:$A$120,0)),"Unknown ID"))</f>
        <v/>
      </c>
      <c r="F476" s="60" t="n"/>
      <c r="G476" s="60" t="n"/>
      <c r="H476" s="56">
        <f>IF(OR($C476="",$A476=""),"",IF(COUNTIFS('Promo Calendar'!$A$6:$A$400,$C476,'Promo Calendar'!$D$6:$D$400,IF($G476="","All",$G476),'Promo Calendar'!$I$6:$I$400,"&lt;="&amp;$A476,'Promo Calendar'!$J$6:$J$400,"&gt;="&amp;$A476,'Promo Calendar'!$G$6:$G$400,"&gt;0")&gt;0,_xlfn.MINIFS('Promo Calendar'!$G$6:$G$400,'Promo Calendar'!$A$6:$A$400,$C476,'Promo Calendar'!$D$6:$D$400,IF($G476="","All",$G476),'Promo Calendar'!$I$6:$I$400,"&lt;="&amp;$A476,'Promo Calendar'!$J$6:$J$400,"&gt;="&amp;$A476,'Promo Calendar'!$G$6:$G$400,"&gt;0"),IF(COUNTIFS('Promo Calendar'!$A$6:$A$400,$C476,'Promo Calendar'!$D$6:$D$400,"All",'Promo Calendar'!$I$6:$I$400,"&lt;="&amp;$A476,'Promo Calendar'!$J$6:$J$400,"&gt;="&amp;$A476,'Promo Calendar'!$G$6:$G$400,"&gt;0")&gt;0,_xlfn.MINIFS('Promo Calendar'!$G$6:$G$400,'Promo Calendar'!$A$6:$A$400,$C476,'Promo Calendar'!$D$6:$D$400,"All",'Promo Calendar'!$I$6:$I$400,"&lt;="&amp;$A476,'Promo Calendar'!$J$6:$J$400,"&gt;="&amp;$A476,'Promo Calendar'!$G$6:$G$400,"&gt;0"),IFERROR(IF(INDEX('Chain Program'!$M$6:$M$120,MATCH($C476,'Chain Program'!$A$6:$A$120,0))="","Not set",INDEX('Chain Program'!$M$6:$M$120,MATCH($C476,'Chain Program'!$A$6:$A$120,0))),"Not set"))))</f>
        <v/>
      </c>
      <c r="I476" s="61" t="n"/>
      <c r="J476" s="45">
        <f>IF($I476="","",IF(NOT(ISNUMBER($H476)),"No plan price",IF(ABS($I476-$H476)&lt;0.005,"Match",IF($I476&gt;$H476,"Over plan","Under plan"))))</f>
        <v/>
      </c>
      <c r="K476" s="60" t="n"/>
      <c r="L476" s="60" t="n"/>
      <c r="M476" s="60" t="n"/>
      <c r="N476" s="60" t="n"/>
      <c r="O476" s="60" t="n"/>
      <c r="P476" s="62" t="n"/>
      <c r="Q476" s="62" t="n"/>
      <c r="R476" s="60" t="n"/>
      <c r="S476" s="59" t="n"/>
      <c r="T476" s="60" t="n"/>
      <c r="U476" s="59" t="n"/>
      <c r="V476" s="45">
        <f>IF(OR($A476="",$T476="",$T476="No Issue"),"",IF($T476="Resolved",IF($U476="","",$U476-$A476),TODAY()-$A476))</f>
        <v/>
      </c>
      <c r="W476" s="47">
        <f>IF(AND($C476&lt;&gt;"",$C476='Store History'!$C$4,OR('Store History'!$C$5="",$F476='Store History'!$C$5)),1,0)</f>
        <v/>
      </c>
      <c r="X476" s="47">
        <f>IF($W476=1,SUM($W476:$W$1005),"")</f>
        <v/>
      </c>
    </row>
    <row r="477">
      <c r="A477" s="59" t="n"/>
      <c r="B477" s="60" t="n"/>
      <c r="C477" s="60" t="n"/>
      <c r="D477" s="45">
        <f>IF($C477="","",IFERROR(INDEX('Chain Program'!$B$6:$B$120,MATCH($C477,'Chain Program'!$A$6:$A$120,0)),"Unknown ID"))</f>
        <v/>
      </c>
      <c r="E477" s="45">
        <f>IF($C477="","",IFERROR(INDEX('Chain Program'!$D$6:$D$120,MATCH($C477,'Chain Program'!$A$6:$A$120,0)),"Unknown ID"))</f>
        <v/>
      </c>
      <c r="F477" s="60" t="n"/>
      <c r="G477" s="60" t="n"/>
      <c r="H477" s="56">
        <f>IF(OR($C477="",$A477=""),"",IF(COUNTIFS('Promo Calendar'!$A$6:$A$400,$C477,'Promo Calendar'!$D$6:$D$400,IF($G477="","All",$G477),'Promo Calendar'!$I$6:$I$400,"&lt;="&amp;$A477,'Promo Calendar'!$J$6:$J$400,"&gt;="&amp;$A477,'Promo Calendar'!$G$6:$G$400,"&gt;0")&gt;0,_xlfn.MINIFS('Promo Calendar'!$G$6:$G$400,'Promo Calendar'!$A$6:$A$400,$C477,'Promo Calendar'!$D$6:$D$400,IF($G477="","All",$G477),'Promo Calendar'!$I$6:$I$400,"&lt;="&amp;$A477,'Promo Calendar'!$J$6:$J$400,"&gt;="&amp;$A477,'Promo Calendar'!$G$6:$G$400,"&gt;0"),IF(COUNTIFS('Promo Calendar'!$A$6:$A$400,$C477,'Promo Calendar'!$D$6:$D$400,"All",'Promo Calendar'!$I$6:$I$400,"&lt;="&amp;$A477,'Promo Calendar'!$J$6:$J$400,"&gt;="&amp;$A477,'Promo Calendar'!$G$6:$G$400,"&gt;0")&gt;0,_xlfn.MINIFS('Promo Calendar'!$G$6:$G$400,'Promo Calendar'!$A$6:$A$400,$C477,'Promo Calendar'!$D$6:$D$400,"All",'Promo Calendar'!$I$6:$I$400,"&lt;="&amp;$A477,'Promo Calendar'!$J$6:$J$400,"&gt;="&amp;$A477,'Promo Calendar'!$G$6:$G$400,"&gt;0"),IFERROR(IF(INDEX('Chain Program'!$M$6:$M$120,MATCH($C477,'Chain Program'!$A$6:$A$120,0))="","Not set",INDEX('Chain Program'!$M$6:$M$120,MATCH($C477,'Chain Program'!$A$6:$A$120,0))),"Not set"))))</f>
        <v/>
      </c>
      <c r="I477" s="61" t="n"/>
      <c r="J477" s="45">
        <f>IF($I477="","",IF(NOT(ISNUMBER($H477)),"No plan price",IF(ABS($I477-$H477)&lt;0.005,"Match",IF($I477&gt;$H477,"Over plan","Under plan"))))</f>
        <v/>
      </c>
      <c r="K477" s="60" t="n"/>
      <c r="L477" s="60" t="n"/>
      <c r="M477" s="60" t="n"/>
      <c r="N477" s="60" t="n"/>
      <c r="O477" s="60" t="n"/>
      <c r="P477" s="62" t="n"/>
      <c r="Q477" s="62" t="n"/>
      <c r="R477" s="60" t="n"/>
      <c r="S477" s="59" t="n"/>
      <c r="T477" s="60" t="n"/>
      <c r="U477" s="59" t="n"/>
      <c r="V477" s="45">
        <f>IF(OR($A477="",$T477="",$T477="No Issue"),"",IF($T477="Resolved",IF($U477="","",$U477-$A477),TODAY()-$A477))</f>
        <v/>
      </c>
      <c r="W477" s="47">
        <f>IF(AND($C477&lt;&gt;"",$C477='Store History'!$C$4,OR('Store History'!$C$5="",$F477='Store History'!$C$5)),1,0)</f>
        <v/>
      </c>
      <c r="X477" s="47">
        <f>IF($W477=1,SUM($W477:$W$1005),"")</f>
        <v/>
      </c>
    </row>
    <row r="478">
      <c r="A478" s="59" t="n"/>
      <c r="B478" s="60" t="n"/>
      <c r="C478" s="60" t="n"/>
      <c r="D478" s="45">
        <f>IF($C478="","",IFERROR(INDEX('Chain Program'!$B$6:$B$120,MATCH($C478,'Chain Program'!$A$6:$A$120,0)),"Unknown ID"))</f>
        <v/>
      </c>
      <c r="E478" s="45">
        <f>IF($C478="","",IFERROR(INDEX('Chain Program'!$D$6:$D$120,MATCH($C478,'Chain Program'!$A$6:$A$120,0)),"Unknown ID"))</f>
        <v/>
      </c>
      <c r="F478" s="60" t="n"/>
      <c r="G478" s="60" t="n"/>
      <c r="H478" s="56">
        <f>IF(OR($C478="",$A478=""),"",IF(COUNTIFS('Promo Calendar'!$A$6:$A$400,$C478,'Promo Calendar'!$D$6:$D$400,IF($G478="","All",$G478),'Promo Calendar'!$I$6:$I$400,"&lt;="&amp;$A478,'Promo Calendar'!$J$6:$J$400,"&gt;="&amp;$A478,'Promo Calendar'!$G$6:$G$400,"&gt;0")&gt;0,_xlfn.MINIFS('Promo Calendar'!$G$6:$G$400,'Promo Calendar'!$A$6:$A$400,$C478,'Promo Calendar'!$D$6:$D$400,IF($G478="","All",$G478),'Promo Calendar'!$I$6:$I$400,"&lt;="&amp;$A478,'Promo Calendar'!$J$6:$J$400,"&gt;="&amp;$A478,'Promo Calendar'!$G$6:$G$400,"&gt;0"),IF(COUNTIFS('Promo Calendar'!$A$6:$A$400,$C478,'Promo Calendar'!$D$6:$D$400,"All",'Promo Calendar'!$I$6:$I$400,"&lt;="&amp;$A478,'Promo Calendar'!$J$6:$J$400,"&gt;="&amp;$A478,'Promo Calendar'!$G$6:$G$400,"&gt;0")&gt;0,_xlfn.MINIFS('Promo Calendar'!$G$6:$G$400,'Promo Calendar'!$A$6:$A$400,$C478,'Promo Calendar'!$D$6:$D$400,"All",'Promo Calendar'!$I$6:$I$400,"&lt;="&amp;$A478,'Promo Calendar'!$J$6:$J$400,"&gt;="&amp;$A478,'Promo Calendar'!$G$6:$G$400,"&gt;0"),IFERROR(IF(INDEX('Chain Program'!$M$6:$M$120,MATCH($C478,'Chain Program'!$A$6:$A$120,0))="","Not set",INDEX('Chain Program'!$M$6:$M$120,MATCH($C478,'Chain Program'!$A$6:$A$120,0))),"Not set"))))</f>
        <v/>
      </c>
      <c r="I478" s="61" t="n"/>
      <c r="J478" s="45">
        <f>IF($I478="","",IF(NOT(ISNUMBER($H478)),"No plan price",IF(ABS($I478-$H478)&lt;0.005,"Match",IF($I478&gt;$H478,"Over plan","Under plan"))))</f>
        <v/>
      </c>
      <c r="K478" s="60" t="n"/>
      <c r="L478" s="60" t="n"/>
      <c r="M478" s="60" t="n"/>
      <c r="N478" s="60" t="n"/>
      <c r="O478" s="60" t="n"/>
      <c r="P478" s="62" t="n"/>
      <c r="Q478" s="62" t="n"/>
      <c r="R478" s="60" t="n"/>
      <c r="S478" s="59" t="n"/>
      <c r="T478" s="60" t="n"/>
      <c r="U478" s="59" t="n"/>
      <c r="V478" s="45">
        <f>IF(OR($A478="",$T478="",$T478="No Issue"),"",IF($T478="Resolved",IF($U478="","",$U478-$A478),TODAY()-$A478))</f>
        <v/>
      </c>
      <c r="W478" s="47">
        <f>IF(AND($C478&lt;&gt;"",$C478='Store History'!$C$4,OR('Store History'!$C$5="",$F478='Store History'!$C$5)),1,0)</f>
        <v/>
      </c>
      <c r="X478" s="47">
        <f>IF($W478=1,SUM($W478:$W$1005),"")</f>
        <v/>
      </c>
    </row>
    <row r="479">
      <c r="A479" s="59" t="n"/>
      <c r="B479" s="60" t="n"/>
      <c r="C479" s="60" t="n"/>
      <c r="D479" s="45">
        <f>IF($C479="","",IFERROR(INDEX('Chain Program'!$B$6:$B$120,MATCH($C479,'Chain Program'!$A$6:$A$120,0)),"Unknown ID"))</f>
        <v/>
      </c>
      <c r="E479" s="45">
        <f>IF($C479="","",IFERROR(INDEX('Chain Program'!$D$6:$D$120,MATCH($C479,'Chain Program'!$A$6:$A$120,0)),"Unknown ID"))</f>
        <v/>
      </c>
      <c r="F479" s="60" t="n"/>
      <c r="G479" s="60" t="n"/>
      <c r="H479" s="56">
        <f>IF(OR($C479="",$A479=""),"",IF(COUNTIFS('Promo Calendar'!$A$6:$A$400,$C479,'Promo Calendar'!$D$6:$D$400,IF($G479="","All",$G479),'Promo Calendar'!$I$6:$I$400,"&lt;="&amp;$A479,'Promo Calendar'!$J$6:$J$400,"&gt;="&amp;$A479,'Promo Calendar'!$G$6:$G$400,"&gt;0")&gt;0,_xlfn.MINIFS('Promo Calendar'!$G$6:$G$400,'Promo Calendar'!$A$6:$A$400,$C479,'Promo Calendar'!$D$6:$D$400,IF($G479="","All",$G479),'Promo Calendar'!$I$6:$I$400,"&lt;="&amp;$A479,'Promo Calendar'!$J$6:$J$400,"&gt;="&amp;$A479,'Promo Calendar'!$G$6:$G$400,"&gt;0"),IF(COUNTIFS('Promo Calendar'!$A$6:$A$400,$C479,'Promo Calendar'!$D$6:$D$400,"All",'Promo Calendar'!$I$6:$I$400,"&lt;="&amp;$A479,'Promo Calendar'!$J$6:$J$400,"&gt;="&amp;$A479,'Promo Calendar'!$G$6:$G$400,"&gt;0")&gt;0,_xlfn.MINIFS('Promo Calendar'!$G$6:$G$400,'Promo Calendar'!$A$6:$A$400,$C479,'Promo Calendar'!$D$6:$D$400,"All",'Promo Calendar'!$I$6:$I$400,"&lt;="&amp;$A479,'Promo Calendar'!$J$6:$J$400,"&gt;="&amp;$A479,'Promo Calendar'!$G$6:$G$400,"&gt;0"),IFERROR(IF(INDEX('Chain Program'!$M$6:$M$120,MATCH($C479,'Chain Program'!$A$6:$A$120,0))="","Not set",INDEX('Chain Program'!$M$6:$M$120,MATCH($C479,'Chain Program'!$A$6:$A$120,0))),"Not set"))))</f>
        <v/>
      </c>
      <c r="I479" s="61" t="n"/>
      <c r="J479" s="45">
        <f>IF($I479="","",IF(NOT(ISNUMBER($H479)),"No plan price",IF(ABS($I479-$H479)&lt;0.005,"Match",IF($I479&gt;$H479,"Over plan","Under plan"))))</f>
        <v/>
      </c>
      <c r="K479" s="60" t="n"/>
      <c r="L479" s="60" t="n"/>
      <c r="M479" s="60" t="n"/>
      <c r="N479" s="60" t="n"/>
      <c r="O479" s="60" t="n"/>
      <c r="P479" s="62" t="n"/>
      <c r="Q479" s="62" t="n"/>
      <c r="R479" s="60" t="n"/>
      <c r="S479" s="59" t="n"/>
      <c r="T479" s="60" t="n"/>
      <c r="U479" s="59" t="n"/>
      <c r="V479" s="45">
        <f>IF(OR($A479="",$T479="",$T479="No Issue"),"",IF($T479="Resolved",IF($U479="","",$U479-$A479),TODAY()-$A479))</f>
        <v/>
      </c>
      <c r="W479" s="47">
        <f>IF(AND($C479&lt;&gt;"",$C479='Store History'!$C$4,OR('Store History'!$C$5="",$F479='Store History'!$C$5)),1,0)</f>
        <v/>
      </c>
      <c r="X479" s="47">
        <f>IF($W479=1,SUM($W479:$W$1005),"")</f>
        <v/>
      </c>
    </row>
    <row r="480">
      <c r="A480" s="59" t="n"/>
      <c r="B480" s="60" t="n"/>
      <c r="C480" s="60" t="n"/>
      <c r="D480" s="45">
        <f>IF($C480="","",IFERROR(INDEX('Chain Program'!$B$6:$B$120,MATCH($C480,'Chain Program'!$A$6:$A$120,0)),"Unknown ID"))</f>
        <v/>
      </c>
      <c r="E480" s="45">
        <f>IF($C480="","",IFERROR(INDEX('Chain Program'!$D$6:$D$120,MATCH($C480,'Chain Program'!$A$6:$A$120,0)),"Unknown ID"))</f>
        <v/>
      </c>
      <c r="F480" s="60" t="n"/>
      <c r="G480" s="60" t="n"/>
      <c r="H480" s="56">
        <f>IF(OR($C480="",$A480=""),"",IF(COUNTIFS('Promo Calendar'!$A$6:$A$400,$C480,'Promo Calendar'!$D$6:$D$400,IF($G480="","All",$G480),'Promo Calendar'!$I$6:$I$400,"&lt;="&amp;$A480,'Promo Calendar'!$J$6:$J$400,"&gt;="&amp;$A480,'Promo Calendar'!$G$6:$G$400,"&gt;0")&gt;0,_xlfn.MINIFS('Promo Calendar'!$G$6:$G$400,'Promo Calendar'!$A$6:$A$400,$C480,'Promo Calendar'!$D$6:$D$400,IF($G480="","All",$G480),'Promo Calendar'!$I$6:$I$400,"&lt;="&amp;$A480,'Promo Calendar'!$J$6:$J$400,"&gt;="&amp;$A480,'Promo Calendar'!$G$6:$G$400,"&gt;0"),IF(COUNTIFS('Promo Calendar'!$A$6:$A$400,$C480,'Promo Calendar'!$D$6:$D$400,"All",'Promo Calendar'!$I$6:$I$400,"&lt;="&amp;$A480,'Promo Calendar'!$J$6:$J$400,"&gt;="&amp;$A480,'Promo Calendar'!$G$6:$G$400,"&gt;0")&gt;0,_xlfn.MINIFS('Promo Calendar'!$G$6:$G$400,'Promo Calendar'!$A$6:$A$400,$C480,'Promo Calendar'!$D$6:$D$400,"All",'Promo Calendar'!$I$6:$I$400,"&lt;="&amp;$A480,'Promo Calendar'!$J$6:$J$400,"&gt;="&amp;$A480,'Promo Calendar'!$G$6:$G$400,"&gt;0"),IFERROR(IF(INDEX('Chain Program'!$M$6:$M$120,MATCH($C480,'Chain Program'!$A$6:$A$120,0))="","Not set",INDEX('Chain Program'!$M$6:$M$120,MATCH($C480,'Chain Program'!$A$6:$A$120,0))),"Not set"))))</f>
        <v/>
      </c>
      <c r="I480" s="61" t="n"/>
      <c r="J480" s="45">
        <f>IF($I480="","",IF(NOT(ISNUMBER($H480)),"No plan price",IF(ABS($I480-$H480)&lt;0.005,"Match",IF($I480&gt;$H480,"Over plan","Under plan"))))</f>
        <v/>
      </c>
      <c r="K480" s="60" t="n"/>
      <c r="L480" s="60" t="n"/>
      <c r="M480" s="60" t="n"/>
      <c r="N480" s="60" t="n"/>
      <c r="O480" s="60" t="n"/>
      <c r="P480" s="62" t="n"/>
      <c r="Q480" s="62" t="n"/>
      <c r="R480" s="60" t="n"/>
      <c r="S480" s="59" t="n"/>
      <c r="T480" s="60" t="n"/>
      <c r="U480" s="59" t="n"/>
      <c r="V480" s="45">
        <f>IF(OR($A480="",$T480="",$T480="No Issue"),"",IF($T480="Resolved",IF($U480="","",$U480-$A480),TODAY()-$A480))</f>
        <v/>
      </c>
      <c r="W480" s="47">
        <f>IF(AND($C480&lt;&gt;"",$C480='Store History'!$C$4,OR('Store History'!$C$5="",$F480='Store History'!$C$5)),1,0)</f>
        <v/>
      </c>
      <c r="X480" s="47">
        <f>IF($W480=1,SUM($W480:$W$1005),"")</f>
        <v/>
      </c>
    </row>
    <row r="481">
      <c r="A481" s="59" t="n"/>
      <c r="B481" s="60" t="n"/>
      <c r="C481" s="60" t="n"/>
      <c r="D481" s="45">
        <f>IF($C481="","",IFERROR(INDEX('Chain Program'!$B$6:$B$120,MATCH($C481,'Chain Program'!$A$6:$A$120,0)),"Unknown ID"))</f>
        <v/>
      </c>
      <c r="E481" s="45">
        <f>IF($C481="","",IFERROR(INDEX('Chain Program'!$D$6:$D$120,MATCH($C481,'Chain Program'!$A$6:$A$120,0)),"Unknown ID"))</f>
        <v/>
      </c>
      <c r="F481" s="60" t="n"/>
      <c r="G481" s="60" t="n"/>
      <c r="H481" s="56">
        <f>IF(OR($C481="",$A481=""),"",IF(COUNTIFS('Promo Calendar'!$A$6:$A$400,$C481,'Promo Calendar'!$D$6:$D$400,IF($G481="","All",$G481),'Promo Calendar'!$I$6:$I$400,"&lt;="&amp;$A481,'Promo Calendar'!$J$6:$J$400,"&gt;="&amp;$A481,'Promo Calendar'!$G$6:$G$400,"&gt;0")&gt;0,_xlfn.MINIFS('Promo Calendar'!$G$6:$G$400,'Promo Calendar'!$A$6:$A$400,$C481,'Promo Calendar'!$D$6:$D$400,IF($G481="","All",$G481),'Promo Calendar'!$I$6:$I$400,"&lt;="&amp;$A481,'Promo Calendar'!$J$6:$J$400,"&gt;="&amp;$A481,'Promo Calendar'!$G$6:$G$400,"&gt;0"),IF(COUNTIFS('Promo Calendar'!$A$6:$A$400,$C481,'Promo Calendar'!$D$6:$D$400,"All",'Promo Calendar'!$I$6:$I$400,"&lt;="&amp;$A481,'Promo Calendar'!$J$6:$J$400,"&gt;="&amp;$A481,'Promo Calendar'!$G$6:$G$400,"&gt;0")&gt;0,_xlfn.MINIFS('Promo Calendar'!$G$6:$G$400,'Promo Calendar'!$A$6:$A$400,$C481,'Promo Calendar'!$D$6:$D$400,"All",'Promo Calendar'!$I$6:$I$400,"&lt;="&amp;$A481,'Promo Calendar'!$J$6:$J$400,"&gt;="&amp;$A481,'Promo Calendar'!$G$6:$G$400,"&gt;0"),IFERROR(IF(INDEX('Chain Program'!$M$6:$M$120,MATCH($C481,'Chain Program'!$A$6:$A$120,0))="","Not set",INDEX('Chain Program'!$M$6:$M$120,MATCH($C481,'Chain Program'!$A$6:$A$120,0))),"Not set"))))</f>
        <v/>
      </c>
      <c r="I481" s="61" t="n"/>
      <c r="J481" s="45">
        <f>IF($I481="","",IF(NOT(ISNUMBER($H481)),"No plan price",IF(ABS($I481-$H481)&lt;0.005,"Match",IF($I481&gt;$H481,"Over plan","Under plan"))))</f>
        <v/>
      </c>
      <c r="K481" s="60" t="n"/>
      <c r="L481" s="60" t="n"/>
      <c r="M481" s="60" t="n"/>
      <c r="N481" s="60" t="n"/>
      <c r="O481" s="60" t="n"/>
      <c r="P481" s="62" t="n"/>
      <c r="Q481" s="62" t="n"/>
      <c r="R481" s="60" t="n"/>
      <c r="S481" s="59" t="n"/>
      <c r="T481" s="60" t="n"/>
      <c r="U481" s="59" t="n"/>
      <c r="V481" s="45">
        <f>IF(OR($A481="",$T481="",$T481="No Issue"),"",IF($T481="Resolved",IF($U481="","",$U481-$A481),TODAY()-$A481))</f>
        <v/>
      </c>
      <c r="W481" s="47">
        <f>IF(AND($C481&lt;&gt;"",$C481='Store History'!$C$4,OR('Store History'!$C$5="",$F481='Store History'!$C$5)),1,0)</f>
        <v/>
      </c>
      <c r="X481" s="47">
        <f>IF($W481=1,SUM($W481:$W$1005),"")</f>
        <v/>
      </c>
    </row>
    <row r="482">
      <c r="A482" s="59" t="n"/>
      <c r="B482" s="60" t="n"/>
      <c r="C482" s="60" t="n"/>
      <c r="D482" s="45">
        <f>IF($C482="","",IFERROR(INDEX('Chain Program'!$B$6:$B$120,MATCH($C482,'Chain Program'!$A$6:$A$120,0)),"Unknown ID"))</f>
        <v/>
      </c>
      <c r="E482" s="45">
        <f>IF($C482="","",IFERROR(INDEX('Chain Program'!$D$6:$D$120,MATCH($C482,'Chain Program'!$A$6:$A$120,0)),"Unknown ID"))</f>
        <v/>
      </c>
      <c r="F482" s="60" t="n"/>
      <c r="G482" s="60" t="n"/>
      <c r="H482" s="56">
        <f>IF(OR($C482="",$A482=""),"",IF(COUNTIFS('Promo Calendar'!$A$6:$A$400,$C482,'Promo Calendar'!$D$6:$D$400,IF($G482="","All",$G482),'Promo Calendar'!$I$6:$I$400,"&lt;="&amp;$A482,'Promo Calendar'!$J$6:$J$400,"&gt;="&amp;$A482,'Promo Calendar'!$G$6:$G$400,"&gt;0")&gt;0,_xlfn.MINIFS('Promo Calendar'!$G$6:$G$400,'Promo Calendar'!$A$6:$A$400,$C482,'Promo Calendar'!$D$6:$D$400,IF($G482="","All",$G482),'Promo Calendar'!$I$6:$I$400,"&lt;="&amp;$A482,'Promo Calendar'!$J$6:$J$400,"&gt;="&amp;$A482,'Promo Calendar'!$G$6:$G$400,"&gt;0"),IF(COUNTIFS('Promo Calendar'!$A$6:$A$400,$C482,'Promo Calendar'!$D$6:$D$400,"All",'Promo Calendar'!$I$6:$I$400,"&lt;="&amp;$A482,'Promo Calendar'!$J$6:$J$400,"&gt;="&amp;$A482,'Promo Calendar'!$G$6:$G$400,"&gt;0")&gt;0,_xlfn.MINIFS('Promo Calendar'!$G$6:$G$400,'Promo Calendar'!$A$6:$A$400,$C482,'Promo Calendar'!$D$6:$D$400,"All",'Promo Calendar'!$I$6:$I$400,"&lt;="&amp;$A482,'Promo Calendar'!$J$6:$J$400,"&gt;="&amp;$A482,'Promo Calendar'!$G$6:$G$400,"&gt;0"),IFERROR(IF(INDEX('Chain Program'!$M$6:$M$120,MATCH($C482,'Chain Program'!$A$6:$A$120,0))="","Not set",INDEX('Chain Program'!$M$6:$M$120,MATCH($C482,'Chain Program'!$A$6:$A$120,0))),"Not set"))))</f>
        <v/>
      </c>
      <c r="I482" s="61" t="n"/>
      <c r="J482" s="45">
        <f>IF($I482="","",IF(NOT(ISNUMBER($H482)),"No plan price",IF(ABS($I482-$H482)&lt;0.005,"Match",IF($I482&gt;$H482,"Over plan","Under plan"))))</f>
        <v/>
      </c>
      <c r="K482" s="60" t="n"/>
      <c r="L482" s="60" t="n"/>
      <c r="M482" s="60" t="n"/>
      <c r="N482" s="60" t="n"/>
      <c r="O482" s="60" t="n"/>
      <c r="P482" s="62" t="n"/>
      <c r="Q482" s="62" t="n"/>
      <c r="R482" s="60" t="n"/>
      <c r="S482" s="59" t="n"/>
      <c r="T482" s="60" t="n"/>
      <c r="U482" s="59" t="n"/>
      <c r="V482" s="45">
        <f>IF(OR($A482="",$T482="",$T482="No Issue"),"",IF($T482="Resolved",IF($U482="","",$U482-$A482),TODAY()-$A482))</f>
        <v/>
      </c>
      <c r="W482" s="47">
        <f>IF(AND($C482&lt;&gt;"",$C482='Store History'!$C$4,OR('Store History'!$C$5="",$F482='Store History'!$C$5)),1,0)</f>
        <v/>
      </c>
      <c r="X482" s="47">
        <f>IF($W482=1,SUM($W482:$W$1005),"")</f>
        <v/>
      </c>
    </row>
    <row r="483">
      <c r="A483" s="59" t="n"/>
      <c r="B483" s="60" t="n"/>
      <c r="C483" s="60" t="n"/>
      <c r="D483" s="45">
        <f>IF($C483="","",IFERROR(INDEX('Chain Program'!$B$6:$B$120,MATCH($C483,'Chain Program'!$A$6:$A$120,0)),"Unknown ID"))</f>
        <v/>
      </c>
      <c r="E483" s="45">
        <f>IF($C483="","",IFERROR(INDEX('Chain Program'!$D$6:$D$120,MATCH($C483,'Chain Program'!$A$6:$A$120,0)),"Unknown ID"))</f>
        <v/>
      </c>
      <c r="F483" s="60" t="n"/>
      <c r="G483" s="60" t="n"/>
      <c r="H483" s="56">
        <f>IF(OR($C483="",$A483=""),"",IF(COUNTIFS('Promo Calendar'!$A$6:$A$400,$C483,'Promo Calendar'!$D$6:$D$400,IF($G483="","All",$G483),'Promo Calendar'!$I$6:$I$400,"&lt;="&amp;$A483,'Promo Calendar'!$J$6:$J$400,"&gt;="&amp;$A483,'Promo Calendar'!$G$6:$G$400,"&gt;0")&gt;0,_xlfn.MINIFS('Promo Calendar'!$G$6:$G$400,'Promo Calendar'!$A$6:$A$400,$C483,'Promo Calendar'!$D$6:$D$400,IF($G483="","All",$G483),'Promo Calendar'!$I$6:$I$400,"&lt;="&amp;$A483,'Promo Calendar'!$J$6:$J$400,"&gt;="&amp;$A483,'Promo Calendar'!$G$6:$G$400,"&gt;0"),IF(COUNTIFS('Promo Calendar'!$A$6:$A$400,$C483,'Promo Calendar'!$D$6:$D$400,"All",'Promo Calendar'!$I$6:$I$400,"&lt;="&amp;$A483,'Promo Calendar'!$J$6:$J$400,"&gt;="&amp;$A483,'Promo Calendar'!$G$6:$G$400,"&gt;0")&gt;0,_xlfn.MINIFS('Promo Calendar'!$G$6:$G$400,'Promo Calendar'!$A$6:$A$400,$C483,'Promo Calendar'!$D$6:$D$400,"All",'Promo Calendar'!$I$6:$I$400,"&lt;="&amp;$A483,'Promo Calendar'!$J$6:$J$400,"&gt;="&amp;$A483,'Promo Calendar'!$G$6:$G$400,"&gt;0"),IFERROR(IF(INDEX('Chain Program'!$M$6:$M$120,MATCH($C483,'Chain Program'!$A$6:$A$120,0))="","Not set",INDEX('Chain Program'!$M$6:$M$120,MATCH($C483,'Chain Program'!$A$6:$A$120,0))),"Not set"))))</f>
        <v/>
      </c>
      <c r="I483" s="61" t="n"/>
      <c r="J483" s="45">
        <f>IF($I483="","",IF(NOT(ISNUMBER($H483)),"No plan price",IF(ABS($I483-$H483)&lt;0.005,"Match",IF($I483&gt;$H483,"Over plan","Under plan"))))</f>
        <v/>
      </c>
      <c r="K483" s="60" t="n"/>
      <c r="L483" s="60" t="n"/>
      <c r="M483" s="60" t="n"/>
      <c r="N483" s="60" t="n"/>
      <c r="O483" s="60" t="n"/>
      <c r="P483" s="62" t="n"/>
      <c r="Q483" s="62" t="n"/>
      <c r="R483" s="60" t="n"/>
      <c r="S483" s="59" t="n"/>
      <c r="T483" s="60" t="n"/>
      <c r="U483" s="59" t="n"/>
      <c r="V483" s="45">
        <f>IF(OR($A483="",$T483="",$T483="No Issue"),"",IF($T483="Resolved",IF($U483="","",$U483-$A483),TODAY()-$A483))</f>
        <v/>
      </c>
      <c r="W483" s="47">
        <f>IF(AND($C483&lt;&gt;"",$C483='Store History'!$C$4,OR('Store History'!$C$5="",$F483='Store History'!$C$5)),1,0)</f>
        <v/>
      </c>
      <c r="X483" s="47">
        <f>IF($W483=1,SUM($W483:$W$1005),"")</f>
        <v/>
      </c>
    </row>
    <row r="484">
      <c r="A484" s="59" t="n"/>
      <c r="B484" s="60" t="n"/>
      <c r="C484" s="60" t="n"/>
      <c r="D484" s="45">
        <f>IF($C484="","",IFERROR(INDEX('Chain Program'!$B$6:$B$120,MATCH($C484,'Chain Program'!$A$6:$A$120,0)),"Unknown ID"))</f>
        <v/>
      </c>
      <c r="E484" s="45">
        <f>IF($C484="","",IFERROR(INDEX('Chain Program'!$D$6:$D$120,MATCH($C484,'Chain Program'!$A$6:$A$120,0)),"Unknown ID"))</f>
        <v/>
      </c>
      <c r="F484" s="60" t="n"/>
      <c r="G484" s="60" t="n"/>
      <c r="H484" s="56">
        <f>IF(OR($C484="",$A484=""),"",IF(COUNTIFS('Promo Calendar'!$A$6:$A$400,$C484,'Promo Calendar'!$D$6:$D$400,IF($G484="","All",$G484),'Promo Calendar'!$I$6:$I$400,"&lt;="&amp;$A484,'Promo Calendar'!$J$6:$J$400,"&gt;="&amp;$A484,'Promo Calendar'!$G$6:$G$400,"&gt;0")&gt;0,_xlfn.MINIFS('Promo Calendar'!$G$6:$G$400,'Promo Calendar'!$A$6:$A$400,$C484,'Promo Calendar'!$D$6:$D$400,IF($G484="","All",$G484),'Promo Calendar'!$I$6:$I$400,"&lt;="&amp;$A484,'Promo Calendar'!$J$6:$J$400,"&gt;="&amp;$A484,'Promo Calendar'!$G$6:$G$400,"&gt;0"),IF(COUNTIFS('Promo Calendar'!$A$6:$A$400,$C484,'Promo Calendar'!$D$6:$D$400,"All",'Promo Calendar'!$I$6:$I$400,"&lt;="&amp;$A484,'Promo Calendar'!$J$6:$J$400,"&gt;="&amp;$A484,'Promo Calendar'!$G$6:$G$400,"&gt;0")&gt;0,_xlfn.MINIFS('Promo Calendar'!$G$6:$G$400,'Promo Calendar'!$A$6:$A$400,$C484,'Promo Calendar'!$D$6:$D$400,"All",'Promo Calendar'!$I$6:$I$400,"&lt;="&amp;$A484,'Promo Calendar'!$J$6:$J$400,"&gt;="&amp;$A484,'Promo Calendar'!$G$6:$G$400,"&gt;0"),IFERROR(IF(INDEX('Chain Program'!$M$6:$M$120,MATCH($C484,'Chain Program'!$A$6:$A$120,0))="","Not set",INDEX('Chain Program'!$M$6:$M$120,MATCH($C484,'Chain Program'!$A$6:$A$120,0))),"Not set"))))</f>
        <v/>
      </c>
      <c r="I484" s="61" t="n"/>
      <c r="J484" s="45">
        <f>IF($I484="","",IF(NOT(ISNUMBER($H484)),"No plan price",IF(ABS($I484-$H484)&lt;0.005,"Match",IF($I484&gt;$H484,"Over plan","Under plan"))))</f>
        <v/>
      </c>
      <c r="K484" s="60" t="n"/>
      <c r="L484" s="60" t="n"/>
      <c r="M484" s="60" t="n"/>
      <c r="N484" s="60" t="n"/>
      <c r="O484" s="60" t="n"/>
      <c r="P484" s="62" t="n"/>
      <c r="Q484" s="62" t="n"/>
      <c r="R484" s="60" t="n"/>
      <c r="S484" s="59" t="n"/>
      <c r="T484" s="60" t="n"/>
      <c r="U484" s="59" t="n"/>
      <c r="V484" s="45">
        <f>IF(OR($A484="",$T484="",$T484="No Issue"),"",IF($T484="Resolved",IF($U484="","",$U484-$A484),TODAY()-$A484))</f>
        <v/>
      </c>
      <c r="W484" s="47">
        <f>IF(AND($C484&lt;&gt;"",$C484='Store History'!$C$4,OR('Store History'!$C$5="",$F484='Store History'!$C$5)),1,0)</f>
        <v/>
      </c>
      <c r="X484" s="47">
        <f>IF($W484=1,SUM($W484:$W$1005),"")</f>
        <v/>
      </c>
    </row>
    <row r="485">
      <c r="A485" s="59" t="n"/>
      <c r="B485" s="60" t="n"/>
      <c r="C485" s="60" t="n"/>
      <c r="D485" s="45">
        <f>IF($C485="","",IFERROR(INDEX('Chain Program'!$B$6:$B$120,MATCH($C485,'Chain Program'!$A$6:$A$120,0)),"Unknown ID"))</f>
        <v/>
      </c>
      <c r="E485" s="45">
        <f>IF($C485="","",IFERROR(INDEX('Chain Program'!$D$6:$D$120,MATCH($C485,'Chain Program'!$A$6:$A$120,0)),"Unknown ID"))</f>
        <v/>
      </c>
      <c r="F485" s="60" t="n"/>
      <c r="G485" s="60" t="n"/>
      <c r="H485" s="56">
        <f>IF(OR($C485="",$A485=""),"",IF(COUNTIFS('Promo Calendar'!$A$6:$A$400,$C485,'Promo Calendar'!$D$6:$D$400,IF($G485="","All",$G485),'Promo Calendar'!$I$6:$I$400,"&lt;="&amp;$A485,'Promo Calendar'!$J$6:$J$400,"&gt;="&amp;$A485,'Promo Calendar'!$G$6:$G$400,"&gt;0")&gt;0,_xlfn.MINIFS('Promo Calendar'!$G$6:$G$400,'Promo Calendar'!$A$6:$A$400,$C485,'Promo Calendar'!$D$6:$D$400,IF($G485="","All",$G485),'Promo Calendar'!$I$6:$I$400,"&lt;="&amp;$A485,'Promo Calendar'!$J$6:$J$400,"&gt;="&amp;$A485,'Promo Calendar'!$G$6:$G$400,"&gt;0"),IF(COUNTIFS('Promo Calendar'!$A$6:$A$400,$C485,'Promo Calendar'!$D$6:$D$400,"All",'Promo Calendar'!$I$6:$I$400,"&lt;="&amp;$A485,'Promo Calendar'!$J$6:$J$400,"&gt;="&amp;$A485,'Promo Calendar'!$G$6:$G$400,"&gt;0")&gt;0,_xlfn.MINIFS('Promo Calendar'!$G$6:$G$400,'Promo Calendar'!$A$6:$A$400,$C485,'Promo Calendar'!$D$6:$D$400,"All",'Promo Calendar'!$I$6:$I$400,"&lt;="&amp;$A485,'Promo Calendar'!$J$6:$J$400,"&gt;="&amp;$A485,'Promo Calendar'!$G$6:$G$400,"&gt;0"),IFERROR(IF(INDEX('Chain Program'!$M$6:$M$120,MATCH($C485,'Chain Program'!$A$6:$A$120,0))="","Not set",INDEX('Chain Program'!$M$6:$M$120,MATCH($C485,'Chain Program'!$A$6:$A$120,0))),"Not set"))))</f>
        <v/>
      </c>
      <c r="I485" s="61" t="n"/>
      <c r="J485" s="45">
        <f>IF($I485="","",IF(NOT(ISNUMBER($H485)),"No plan price",IF(ABS($I485-$H485)&lt;0.005,"Match",IF($I485&gt;$H485,"Over plan","Under plan"))))</f>
        <v/>
      </c>
      <c r="K485" s="60" t="n"/>
      <c r="L485" s="60" t="n"/>
      <c r="M485" s="60" t="n"/>
      <c r="N485" s="60" t="n"/>
      <c r="O485" s="60" t="n"/>
      <c r="P485" s="62" t="n"/>
      <c r="Q485" s="62" t="n"/>
      <c r="R485" s="60" t="n"/>
      <c r="S485" s="59" t="n"/>
      <c r="T485" s="60" t="n"/>
      <c r="U485" s="59" t="n"/>
      <c r="V485" s="45">
        <f>IF(OR($A485="",$T485="",$T485="No Issue"),"",IF($T485="Resolved",IF($U485="","",$U485-$A485),TODAY()-$A485))</f>
        <v/>
      </c>
      <c r="W485" s="47">
        <f>IF(AND($C485&lt;&gt;"",$C485='Store History'!$C$4,OR('Store History'!$C$5="",$F485='Store History'!$C$5)),1,0)</f>
        <v/>
      </c>
      <c r="X485" s="47">
        <f>IF($W485=1,SUM($W485:$W$1005),"")</f>
        <v/>
      </c>
    </row>
    <row r="486">
      <c r="A486" s="59" t="n"/>
      <c r="B486" s="60" t="n"/>
      <c r="C486" s="60" t="n"/>
      <c r="D486" s="45">
        <f>IF($C486="","",IFERROR(INDEX('Chain Program'!$B$6:$B$120,MATCH($C486,'Chain Program'!$A$6:$A$120,0)),"Unknown ID"))</f>
        <v/>
      </c>
      <c r="E486" s="45">
        <f>IF($C486="","",IFERROR(INDEX('Chain Program'!$D$6:$D$120,MATCH($C486,'Chain Program'!$A$6:$A$120,0)),"Unknown ID"))</f>
        <v/>
      </c>
      <c r="F486" s="60" t="n"/>
      <c r="G486" s="60" t="n"/>
      <c r="H486" s="56">
        <f>IF(OR($C486="",$A486=""),"",IF(COUNTIFS('Promo Calendar'!$A$6:$A$400,$C486,'Promo Calendar'!$D$6:$D$400,IF($G486="","All",$G486),'Promo Calendar'!$I$6:$I$400,"&lt;="&amp;$A486,'Promo Calendar'!$J$6:$J$400,"&gt;="&amp;$A486,'Promo Calendar'!$G$6:$G$400,"&gt;0")&gt;0,_xlfn.MINIFS('Promo Calendar'!$G$6:$G$400,'Promo Calendar'!$A$6:$A$400,$C486,'Promo Calendar'!$D$6:$D$400,IF($G486="","All",$G486),'Promo Calendar'!$I$6:$I$400,"&lt;="&amp;$A486,'Promo Calendar'!$J$6:$J$400,"&gt;="&amp;$A486,'Promo Calendar'!$G$6:$G$400,"&gt;0"),IF(COUNTIFS('Promo Calendar'!$A$6:$A$400,$C486,'Promo Calendar'!$D$6:$D$400,"All",'Promo Calendar'!$I$6:$I$400,"&lt;="&amp;$A486,'Promo Calendar'!$J$6:$J$400,"&gt;="&amp;$A486,'Promo Calendar'!$G$6:$G$400,"&gt;0")&gt;0,_xlfn.MINIFS('Promo Calendar'!$G$6:$G$400,'Promo Calendar'!$A$6:$A$400,$C486,'Promo Calendar'!$D$6:$D$400,"All",'Promo Calendar'!$I$6:$I$400,"&lt;="&amp;$A486,'Promo Calendar'!$J$6:$J$400,"&gt;="&amp;$A486,'Promo Calendar'!$G$6:$G$400,"&gt;0"),IFERROR(IF(INDEX('Chain Program'!$M$6:$M$120,MATCH($C486,'Chain Program'!$A$6:$A$120,0))="","Not set",INDEX('Chain Program'!$M$6:$M$120,MATCH($C486,'Chain Program'!$A$6:$A$120,0))),"Not set"))))</f>
        <v/>
      </c>
      <c r="I486" s="61" t="n"/>
      <c r="J486" s="45">
        <f>IF($I486="","",IF(NOT(ISNUMBER($H486)),"No plan price",IF(ABS($I486-$H486)&lt;0.005,"Match",IF($I486&gt;$H486,"Over plan","Under plan"))))</f>
        <v/>
      </c>
      <c r="K486" s="60" t="n"/>
      <c r="L486" s="60" t="n"/>
      <c r="M486" s="60" t="n"/>
      <c r="N486" s="60" t="n"/>
      <c r="O486" s="60" t="n"/>
      <c r="P486" s="62" t="n"/>
      <c r="Q486" s="62" t="n"/>
      <c r="R486" s="60" t="n"/>
      <c r="S486" s="59" t="n"/>
      <c r="T486" s="60" t="n"/>
      <c r="U486" s="59" t="n"/>
      <c r="V486" s="45">
        <f>IF(OR($A486="",$T486="",$T486="No Issue"),"",IF($T486="Resolved",IF($U486="","",$U486-$A486),TODAY()-$A486))</f>
        <v/>
      </c>
      <c r="W486" s="47">
        <f>IF(AND($C486&lt;&gt;"",$C486='Store History'!$C$4,OR('Store History'!$C$5="",$F486='Store History'!$C$5)),1,0)</f>
        <v/>
      </c>
      <c r="X486" s="47">
        <f>IF($W486=1,SUM($W486:$W$1005),"")</f>
        <v/>
      </c>
    </row>
    <row r="487">
      <c r="A487" s="59" t="n"/>
      <c r="B487" s="60" t="n"/>
      <c r="C487" s="60" t="n"/>
      <c r="D487" s="45">
        <f>IF($C487="","",IFERROR(INDEX('Chain Program'!$B$6:$B$120,MATCH($C487,'Chain Program'!$A$6:$A$120,0)),"Unknown ID"))</f>
        <v/>
      </c>
      <c r="E487" s="45">
        <f>IF($C487="","",IFERROR(INDEX('Chain Program'!$D$6:$D$120,MATCH($C487,'Chain Program'!$A$6:$A$120,0)),"Unknown ID"))</f>
        <v/>
      </c>
      <c r="F487" s="60" t="n"/>
      <c r="G487" s="60" t="n"/>
      <c r="H487" s="56">
        <f>IF(OR($C487="",$A487=""),"",IF(COUNTIFS('Promo Calendar'!$A$6:$A$400,$C487,'Promo Calendar'!$D$6:$D$400,IF($G487="","All",$G487),'Promo Calendar'!$I$6:$I$400,"&lt;="&amp;$A487,'Promo Calendar'!$J$6:$J$400,"&gt;="&amp;$A487,'Promo Calendar'!$G$6:$G$400,"&gt;0")&gt;0,_xlfn.MINIFS('Promo Calendar'!$G$6:$G$400,'Promo Calendar'!$A$6:$A$400,$C487,'Promo Calendar'!$D$6:$D$400,IF($G487="","All",$G487),'Promo Calendar'!$I$6:$I$400,"&lt;="&amp;$A487,'Promo Calendar'!$J$6:$J$400,"&gt;="&amp;$A487,'Promo Calendar'!$G$6:$G$400,"&gt;0"),IF(COUNTIFS('Promo Calendar'!$A$6:$A$400,$C487,'Promo Calendar'!$D$6:$D$400,"All",'Promo Calendar'!$I$6:$I$400,"&lt;="&amp;$A487,'Promo Calendar'!$J$6:$J$400,"&gt;="&amp;$A487,'Promo Calendar'!$G$6:$G$400,"&gt;0")&gt;0,_xlfn.MINIFS('Promo Calendar'!$G$6:$G$400,'Promo Calendar'!$A$6:$A$400,$C487,'Promo Calendar'!$D$6:$D$400,"All",'Promo Calendar'!$I$6:$I$400,"&lt;="&amp;$A487,'Promo Calendar'!$J$6:$J$400,"&gt;="&amp;$A487,'Promo Calendar'!$G$6:$G$400,"&gt;0"),IFERROR(IF(INDEX('Chain Program'!$M$6:$M$120,MATCH($C487,'Chain Program'!$A$6:$A$120,0))="","Not set",INDEX('Chain Program'!$M$6:$M$120,MATCH($C487,'Chain Program'!$A$6:$A$120,0))),"Not set"))))</f>
        <v/>
      </c>
      <c r="I487" s="61" t="n"/>
      <c r="J487" s="45">
        <f>IF($I487="","",IF(NOT(ISNUMBER($H487)),"No plan price",IF(ABS($I487-$H487)&lt;0.005,"Match",IF($I487&gt;$H487,"Over plan","Under plan"))))</f>
        <v/>
      </c>
      <c r="K487" s="60" t="n"/>
      <c r="L487" s="60" t="n"/>
      <c r="M487" s="60" t="n"/>
      <c r="N487" s="60" t="n"/>
      <c r="O487" s="60" t="n"/>
      <c r="P487" s="62" t="n"/>
      <c r="Q487" s="62" t="n"/>
      <c r="R487" s="60" t="n"/>
      <c r="S487" s="59" t="n"/>
      <c r="T487" s="60" t="n"/>
      <c r="U487" s="59" t="n"/>
      <c r="V487" s="45">
        <f>IF(OR($A487="",$T487="",$T487="No Issue"),"",IF($T487="Resolved",IF($U487="","",$U487-$A487),TODAY()-$A487))</f>
        <v/>
      </c>
      <c r="W487" s="47">
        <f>IF(AND($C487&lt;&gt;"",$C487='Store History'!$C$4,OR('Store History'!$C$5="",$F487='Store History'!$C$5)),1,0)</f>
        <v/>
      </c>
      <c r="X487" s="47">
        <f>IF($W487=1,SUM($W487:$W$1005),"")</f>
        <v/>
      </c>
    </row>
    <row r="488">
      <c r="A488" s="59" t="n"/>
      <c r="B488" s="60" t="n"/>
      <c r="C488" s="60" t="n"/>
      <c r="D488" s="45">
        <f>IF($C488="","",IFERROR(INDEX('Chain Program'!$B$6:$B$120,MATCH($C488,'Chain Program'!$A$6:$A$120,0)),"Unknown ID"))</f>
        <v/>
      </c>
      <c r="E488" s="45">
        <f>IF($C488="","",IFERROR(INDEX('Chain Program'!$D$6:$D$120,MATCH($C488,'Chain Program'!$A$6:$A$120,0)),"Unknown ID"))</f>
        <v/>
      </c>
      <c r="F488" s="60" t="n"/>
      <c r="G488" s="60" t="n"/>
      <c r="H488" s="56">
        <f>IF(OR($C488="",$A488=""),"",IF(COUNTIFS('Promo Calendar'!$A$6:$A$400,$C488,'Promo Calendar'!$D$6:$D$400,IF($G488="","All",$G488),'Promo Calendar'!$I$6:$I$400,"&lt;="&amp;$A488,'Promo Calendar'!$J$6:$J$400,"&gt;="&amp;$A488,'Promo Calendar'!$G$6:$G$400,"&gt;0")&gt;0,_xlfn.MINIFS('Promo Calendar'!$G$6:$G$400,'Promo Calendar'!$A$6:$A$400,$C488,'Promo Calendar'!$D$6:$D$400,IF($G488="","All",$G488),'Promo Calendar'!$I$6:$I$400,"&lt;="&amp;$A488,'Promo Calendar'!$J$6:$J$400,"&gt;="&amp;$A488,'Promo Calendar'!$G$6:$G$400,"&gt;0"),IF(COUNTIFS('Promo Calendar'!$A$6:$A$400,$C488,'Promo Calendar'!$D$6:$D$400,"All",'Promo Calendar'!$I$6:$I$400,"&lt;="&amp;$A488,'Promo Calendar'!$J$6:$J$400,"&gt;="&amp;$A488,'Promo Calendar'!$G$6:$G$400,"&gt;0")&gt;0,_xlfn.MINIFS('Promo Calendar'!$G$6:$G$400,'Promo Calendar'!$A$6:$A$400,$C488,'Promo Calendar'!$D$6:$D$400,"All",'Promo Calendar'!$I$6:$I$400,"&lt;="&amp;$A488,'Promo Calendar'!$J$6:$J$400,"&gt;="&amp;$A488,'Promo Calendar'!$G$6:$G$400,"&gt;0"),IFERROR(IF(INDEX('Chain Program'!$M$6:$M$120,MATCH($C488,'Chain Program'!$A$6:$A$120,0))="","Not set",INDEX('Chain Program'!$M$6:$M$120,MATCH($C488,'Chain Program'!$A$6:$A$120,0))),"Not set"))))</f>
        <v/>
      </c>
      <c r="I488" s="61" t="n"/>
      <c r="J488" s="45">
        <f>IF($I488="","",IF(NOT(ISNUMBER($H488)),"No plan price",IF(ABS($I488-$H488)&lt;0.005,"Match",IF($I488&gt;$H488,"Over plan","Under plan"))))</f>
        <v/>
      </c>
      <c r="K488" s="60" t="n"/>
      <c r="L488" s="60" t="n"/>
      <c r="M488" s="60" t="n"/>
      <c r="N488" s="60" t="n"/>
      <c r="O488" s="60" t="n"/>
      <c r="P488" s="62" t="n"/>
      <c r="Q488" s="62" t="n"/>
      <c r="R488" s="60" t="n"/>
      <c r="S488" s="59" t="n"/>
      <c r="T488" s="60" t="n"/>
      <c r="U488" s="59" t="n"/>
      <c r="V488" s="45">
        <f>IF(OR($A488="",$T488="",$T488="No Issue"),"",IF($T488="Resolved",IF($U488="","",$U488-$A488),TODAY()-$A488))</f>
        <v/>
      </c>
      <c r="W488" s="47">
        <f>IF(AND($C488&lt;&gt;"",$C488='Store History'!$C$4,OR('Store History'!$C$5="",$F488='Store History'!$C$5)),1,0)</f>
        <v/>
      </c>
      <c r="X488" s="47">
        <f>IF($W488=1,SUM($W488:$W$1005),"")</f>
        <v/>
      </c>
    </row>
    <row r="489">
      <c r="A489" s="59" t="n"/>
      <c r="B489" s="60" t="n"/>
      <c r="C489" s="60" t="n"/>
      <c r="D489" s="45">
        <f>IF($C489="","",IFERROR(INDEX('Chain Program'!$B$6:$B$120,MATCH($C489,'Chain Program'!$A$6:$A$120,0)),"Unknown ID"))</f>
        <v/>
      </c>
      <c r="E489" s="45">
        <f>IF($C489="","",IFERROR(INDEX('Chain Program'!$D$6:$D$120,MATCH($C489,'Chain Program'!$A$6:$A$120,0)),"Unknown ID"))</f>
        <v/>
      </c>
      <c r="F489" s="60" t="n"/>
      <c r="G489" s="60" t="n"/>
      <c r="H489" s="56">
        <f>IF(OR($C489="",$A489=""),"",IF(COUNTIFS('Promo Calendar'!$A$6:$A$400,$C489,'Promo Calendar'!$D$6:$D$400,IF($G489="","All",$G489),'Promo Calendar'!$I$6:$I$400,"&lt;="&amp;$A489,'Promo Calendar'!$J$6:$J$400,"&gt;="&amp;$A489,'Promo Calendar'!$G$6:$G$400,"&gt;0")&gt;0,_xlfn.MINIFS('Promo Calendar'!$G$6:$G$400,'Promo Calendar'!$A$6:$A$400,$C489,'Promo Calendar'!$D$6:$D$400,IF($G489="","All",$G489),'Promo Calendar'!$I$6:$I$400,"&lt;="&amp;$A489,'Promo Calendar'!$J$6:$J$400,"&gt;="&amp;$A489,'Promo Calendar'!$G$6:$G$400,"&gt;0"),IF(COUNTIFS('Promo Calendar'!$A$6:$A$400,$C489,'Promo Calendar'!$D$6:$D$400,"All",'Promo Calendar'!$I$6:$I$400,"&lt;="&amp;$A489,'Promo Calendar'!$J$6:$J$400,"&gt;="&amp;$A489,'Promo Calendar'!$G$6:$G$400,"&gt;0")&gt;0,_xlfn.MINIFS('Promo Calendar'!$G$6:$G$400,'Promo Calendar'!$A$6:$A$400,$C489,'Promo Calendar'!$D$6:$D$400,"All",'Promo Calendar'!$I$6:$I$400,"&lt;="&amp;$A489,'Promo Calendar'!$J$6:$J$400,"&gt;="&amp;$A489,'Promo Calendar'!$G$6:$G$400,"&gt;0"),IFERROR(IF(INDEX('Chain Program'!$M$6:$M$120,MATCH($C489,'Chain Program'!$A$6:$A$120,0))="","Not set",INDEX('Chain Program'!$M$6:$M$120,MATCH($C489,'Chain Program'!$A$6:$A$120,0))),"Not set"))))</f>
        <v/>
      </c>
      <c r="I489" s="61" t="n"/>
      <c r="J489" s="45">
        <f>IF($I489="","",IF(NOT(ISNUMBER($H489)),"No plan price",IF(ABS($I489-$H489)&lt;0.005,"Match",IF($I489&gt;$H489,"Over plan","Under plan"))))</f>
        <v/>
      </c>
      <c r="K489" s="60" t="n"/>
      <c r="L489" s="60" t="n"/>
      <c r="M489" s="60" t="n"/>
      <c r="N489" s="60" t="n"/>
      <c r="O489" s="60" t="n"/>
      <c r="P489" s="62" t="n"/>
      <c r="Q489" s="62" t="n"/>
      <c r="R489" s="60" t="n"/>
      <c r="S489" s="59" t="n"/>
      <c r="T489" s="60" t="n"/>
      <c r="U489" s="59" t="n"/>
      <c r="V489" s="45">
        <f>IF(OR($A489="",$T489="",$T489="No Issue"),"",IF($T489="Resolved",IF($U489="","",$U489-$A489),TODAY()-$A489))</f>
        <v/>
      </c>
      <c r="W489" s="47">
        <f>IF(AND($C489&lt;&gt;"",$C489='Store History'!$C$4,OR('Store History'!$C$5="",$F489='Store History'!$C$5)),1,0)</f>
        <v/>
      </c>
      <c r="X489" s="47">
        <f>IF($W489=1,SUM($W489:$W$1005),"")</f>
        <v/>
      </c>
    </row>
    <row r="490">
      <c r="A490" s="59" t="n"/>
      <c r="B490" s="60" t="n"/>
      <c r="C490" s="60" t="n"/>
      <c r="D490" s="45">
        <f>IF($C490="","",IFERROR(INDEX('Chain Program'!$B$6:$B$120,MATCH($C490,'Chain Program'!$A$6:$A$120,0)),"Unknown ID"))</f>
        <v/>
      </c>
      <c r="E490" s="45">
        <f>IF($C490="","",IFERROR(INDEX('Chain Program'!$D$6:$D$120,MATCH($C490,'Chain Program'!$A$6:$A$120,0)),"Unknown ID"))</f>
        <v/>
      </c>
      <c r="F490" s="60" t="n"/>
      <c r="G490" s="60" t="n"/>
      <c r="H490" s="56">
        <f>IF(OR($C490="",$A490=""),"",IF(COUNTIFS('Promo Calendar'!$A$6:$A$400,$C490,'Promo Calendar'!$D$6:$D$400,IF($G490="","All",$G490),'Promo Calendar'!$I$6:$I$400,"&lt;="&amp;$A490,'Promo Calendar'!$J$6:$J$400,"&gt;="&amp;$A490,'Promo Calendar'!$G$6:$G$400,"&gt;0")&gt;0,_xlfn.MINIFS('Promo Calendar'!$G$6:$G$400,'Promo Calendar'!$A$6:$A$400,$C490,'Promo Calendar'!$D$6:$D$400,IF($G490="","All",$G490),'Promo Calendar'!$I$6:$I$400,"&lt;="&amp;$A490,'Promo Calendar'!$J$6:$J$400,"&gt;="&amp;$A490,'Promo Calendar'!$G$6:$G$400,"&gt;0"),IF(COUNTIFS('Promo Calendar'!$A$6:$A$400,$C490,'Promo Calendar'!$D$6:$D$400,"All",'Promo Calendar'!$I$6:$I$400,"&lt;="&amp;$A490,'Promo Calendar'!$J$6:$J$400,"&gt;="&amp;$A490,'Promo Calendar'!$G$6:$G$400,"&gt;0")&gt;0,_xlfn.MINIFS('Promo Calendar'!$G$6:$G$400,'Promo Calendar'!$A$6:$A$400,$C490,'Promo Calendar'!$D$6:$D$400,"All",'Promo Calendar'!$I$6:$I$400,"&lt;="&amp;$A490,'Promo Calendar'!$J$6:$J$400,"&gt;="&amp;$A490,'Promo Calendar'!$G$6:$G$400,"&gt;0"),IFERROR(IF(INDEX('Chain Program'!$M$6:$M$120,MATCH($C490,'Chain Program'!$A$6:$A$120,0))="","Not set",INDEX('Chain Program'!$M$6:$M$120,MATCH($C490,'Chain Program'!$A$6:$A$120,0))),"Not set"))))</f>
        <v/>
      </c>
      <c r="I490" s="61" t="n"/>
      <c r="J490" s="45">
        <f>IF($I490="","",IF(NOT(ISNUMBER($H490)),"No plan price",IF(ABS($I490-$H490)&lt;0.005,"Match",IF($I490&gt;$H490,"Over plan","Under plan"))))</f>
        <v/>
      </c>
      <c r="K490" s="60" t="n"/>
      <c r="L490" s="60" t="n"/>
      <c r="M490" s="60" t="n"/>
      <c r="N490" s="60" t="n"/>
      <c r="O490" s="60" t="n"/>
      <c r="P490" s="62" t="n"/>
      <c r="Q490" s="62" t="n"/>
      <c r="R490" s="60" t="n"/>
      <c r="S490" s="59" t="n"/>
      <c r="T490" s="60" t="n"/>
      <c r="U490" s="59" t="n"/>
      <c r="V490" s="45">
        <f>IF(OR($A490="",$T490="",$T490="No Issue"),"",IF($T490="Resolved",IF($U490="","",$U490-$A490),TODAY()-$A490))</f>
        <v/>
      </c>
      <c r="W490" s="47">
        <f>IF(AND($C490&lt;&gt;"",$C490='Store History'!$C$4,OR('Store History'!$C$5="",$F490='Store History'!$C$5)),1,0)</f>
        <v/>
      </c>
      <c r="X490" s="47">
        <f>IF($W490=1,SUM($W490:$W$1005),"")</f>
        <v/>
      </c>
    </row>
    <row r="491">
      <c r="A491" s="59" t="n"/>
      <c r="B491" s="60" t="n"/>
      <c r="C491" s="60" t="n"/>
      <c r="D491" s="45">
        <f>IF($C491="","",IFERROR(INDEX('Chain Program'!$B$6:$B$120,MATCH($C491,'Chain Program'!$A$6:$A$120,0)),"Unknown ID"))</f>
        <v/>
      </c>
      <c r="E491" s="45">
        <f>IF($C491="","",IFERROR(INDEX('Chain Program'!$D$6:$D$120,MATCH($C491,'Chain Program'!$A$6:$A$120,0)),"Unknown ID"))</f>
        <v/>
      </c>
      <c r="F491" s="60" t="n"/>
      <c r="G491" s="60" t="n"/>
      <c r="H491" s="56">
        <f>IF(OR($C491="",$A491=""),"",IF(COUNTIFS('Promo Calendar'!$A$6:$A$400,$C491,'Promo Calendar'!$D$6:$D$400,IF($G491="","All",$G491),'Promo Calendar'!$I$6:$I$400,"&lt;="&amp;$A491,'Promo Calendar'!$J$6:$J$400,"&gt;="&amp;$A491,'Promo Calendar'!$G$6:$G$400,"&gt;0")&gt;0,_xlfn.MINIFS('Promo Calendar'!$G$6:$G$400,'Promo Calendar'!$A$6:$A$400,$C491,'Promo Calendar'!$D$6:$D$400,IF($G491="","All",$G491),'Promo Calendar'!$I$6:$I$400,"&lt;="&amp;$A491,'Promo Calendar'!$J$6:$J$400,"&gt;="&amp;$A491,'Promo Calendar'!$G$6:$G$400,"&gt;0"),IF(COUNTIFS('Promo Calendar'!$A$6:$A$400,$C491,'Promo Calendar'!$D$6:$D$400,"All",'Promo Calendar'!$I$6:$I$400,"&lt;="&amp;$A491,'Promo Calendar'!$J$6:$J$400,"&gt;="&amp;$A491,'Promo Calendar'!$G$6:$G$400,"&gt;0")&gt;0,_xlfn.MINIFS('Promo Calendar'!$G$6:$G$400,'Promo Calendar'!$A$6:$A$400,$C491,'Promo Calendar'!$D$6:$D$400,"All",'Promo Calendar'!$I$6:$I$400,"&lt;="&amp;$A491,'Promo Calendar'!$J$6:$J$400,"&gt;="&amp;$A491,'Promo Calendar'!$G$6:$G$400,"&gt;0"),IFERROR(IF(INDEX('Chain Program'!$M$6:$M$120,MATCH($C491,'Chain Program'!$A$6:$A$120,0))="","Not set",INDEX('Chain Program'!$M$6:$M$120,MATCH($C491,'Chain Program'!$A$6:$A$120,0))),"Not set"))))</f>
        <v/>
      </c>
      <c r="I491" s="61" t="n"/>
      <c r="J491" s="45">
        <f>IF($I491="","",IF(NOT(ISNUMBER($H491)),"No plan price",IF(ABS($I491-$H491)&lt;0.005,"Match",IF($I491&gt;$H491,"Over plan","Under plan"))))</f>
        <v/>
      </c>
      <c r="K491" s="60" t="n"/>
      <c r="L491" s="60" t="n"/>
      <c r="M491" s="60" t="n"/>
      <c r="N491" s="60" t="n"/>
      <c r="O491" s="60" t="n"/>
      <c r="P491" s="62" t="n"/>
      <c r="Q491" s="62" t="n"/>
      <c r="R491" s="60" t="n"/>
      <c r="S491" s="59" t="n"/>
      <c r="T491" s="60" t="n"/>
      <c r="U491" s="59" t="n"/>
      <c r="V491" s="45">
        <f>IF(OR($A491="",$T491="",$T491="No Issue"),"",IF($T491="Resolved",IF($U491="","",$U491-$A491),TODAY()-$A491))</f>
        <v/>
      </c>
      <c r="W491" s="47">
        <f>IF(AND($C491&lt;&gt;"",$C491='Store History'!$C$4,OR('Store History'!$C$5="",$F491='Store History'!$C$5)),1,0)</f>
        <v/>
      </c>
      <c r="X491" s="47">
        <f>IF($W491=1,SUM($W491:$W$1005),"")</f>
        <v/>
      </c>
    </row>
    <row r="492">
      <c r="A492" s="59" t="n"/>
      <c r="B492" s="60" t="n"/>
      <c r="C492" s="60" t="n"/>
      <c r="D492" s="45">
        <f>IF($C492="","",IFERROR(INDEX('Chain Program'!$B$6:$B$120,MATCH($C492,'Chain Program'!$A$6:$A$120,0)),"Unknown ID"))</f>
        <v/>
      </c>
      <c r="E492" s="45">
        <f>IF($C492="","",IFERROR(INDEX('Chain Program'!$D$6:$D$120,MATCH($C492,'Chain Program'!$A$6:$A$120,0)),"Unknown ID"))</f>
        <v/>
      </c>
      <c r="F492" s="60" t="n"/>
      <c r="G492" s="60" t="n"/>
      <c r="H492" s="56">
        <f>IF(OR($C492="",$A492=""),"",IF(COUNTIFS('Promo Calendar'!$A$6:$A$400,$C492,'Promo Calendar'!$D$6:$D$400,IF($G492="","All",$G492),'Promo Calendar'!$I$6:$I$400,"&lt;="&amp;$A492,'Promo Calendar'!$J$6:$J$400,"&gt;="&amp;$A492,'Promo Calendar'!$G$6:$G$400,"&gt;0")&gt;0,_xlfn.MINIFS('Promo Calendar'!$G$6:$G$400,'Promo Calendar'!$A$6:$A$400,$C492,'Promo Calendar'!$D$6:$D$400,IF($G492="","All",$G492),'Promo Calendar'!$I$6:$I$400,"&lt;="&amp;$A492,'Promo Calendar'!$J$6:$J$400,"&gt;="&amp;$A492,'Promo Calendar'!$G$6:$G$400,"&gt;0"),IF(COUNTIFS('Promo Calendar'!$A$6:$A$400,$C492,'Promo Calendar'!$D$6:$D$400,"All",'Promo Calendar'!$I$6:$I$400,"&lt;="&amp;$A492,'Promo Calendar'!$J$6:$J$400,"&gt;="&amp;$A492,'Promo Calendar'!$G$6:$G$400,"&gt;0")&gt;0,_xlfn.MINIFS('Promo Calendar'!$G$6:$G$400,'Promo Calendar'!$A$6:$A$400,$C492,'Promo Calendar'!$D$6:$D$400,"All",'Promo Calendar'!$I$6:$I$400,"&lt;="&amp;$A492,'Promo Calendar'!$J$6:$J$400,"&gt;="&amp;$A492,'Promo Calendar'!$G$6:$G$400,"&gt;0"),IFERROR(IF(INDEX('Chain Program'!$M$6:$M$120,MATCH($C492,'Chain Program'!$A$6:$A$120,0))="","Not set",INDEX('Chain Program'!$M$6:$M$120,MATCH($C492,'Chain Program'!$A$6:$A$120,0))),"Not set"))))</f>
        <v/>
      </c>
      <c r="I492" s="61" t="n"/>
      <c r="J492" s="45">
        <f>IF($I492="","",IF(NOT(ISNUMBER($H492)),"No plan price",IF(ABS($I492-$H492)&lt;0.005,"Match",IF($I492&gt;$H492,"Over plan","Under plan"))))</f>
        <v/>
      </c>
      <c r="K492" s="60" t="n"/>
      <c r="L492" s="60" t="n"/>
      <c r="M492" s="60" t="n"/>
      <c r="N492" s="60" t="n"/>
      <c r="O492" s="60" t="n"/>
      <c r="P492" s="62" t="n"/>
      <c r="Q492" s="62" t="n"/>
      <c r="R492" s="60" t="n"/>
      <c r="S492" s="59" t="n"/>
      <c r="T492" s="60" t="n"/>
      <c r="U492" s="59" t="n"/>
      <c r="V492" s="45">
        <f>IF(OR($A492="",$T492="",$T492="No Issue"),"",IF($T492="Resolved",IF($U492="","",$U492-$A492),TODAY()-$A492))</f>
        <v/>
      </c>
      <c r="W492" s="47">
        <f>IF(AND($C492&lt;&gt;"",$C492='Store History'!$C$4,OR('Store History'!$C$5="",$F492='Store History'!$C$5)),1,0)</f>
        <v/>
      </c>
      <c r="X492" s="47">
        <f>IF($W492=1,SUM($W492:$W$1005),"")</f>
        <v/>
      </c>
    </row>
    <row r="493">
      <c r="A493" s="59" t="n"/>
      <c r="B493" s="60" t="n"/>
      <c r="C493" s="60" t="n"/>
      <c r="D493" s="45">
        <f>IF($C493="","",IFERROR(INDEX('Chain Program'!$B$6:$B$120,MATCH($C493,'Chain Program'!$A$6:$A$120,0)),"Unknown ID"))</f>
        <v/>
      </c>
      <c r="E493" s="45">
        <f>IF($C493="","",IFERROR(INDEX('Chain Program'!$D$6:$D$120,MATCH($C493,'Chain Program'!$A$6:$A$120,0)),"Unknown ID"))</f>
        <v/>
      </c>
      <c r="F493" s="60" t="n"/>
      <c r="G493" s="60" t="n"/>
      <c r="H493" s="56">
        <f>IF(OR($C493="",$A493=""),"",IF(COUNTIFS('Promo Calendar'!$A$6:$A$400,$C493,'Promo Calendar'!$D$6:$D$400,IF($G493="","All",$G493),'Promo Calendar'!$I$6:$I$400,"&lt;="&amp;$A493,'Promo Calendar'!$J$6:$J$400,"&gt;="&amp;$A493,'Promo Calendar'!$G$6:$G$400,"&gt;0")&gt;0,_xlfn.MINIFS('Promo Calendar'!$G$6:$G$400,'Promo Calendar'!$A$6:$A$400,$C493,'Promo Calendar'!$D$6:$D$400,IF($G493="","All",$G493),'Promo Calendar'!$I$6:$I$400,"&lt;="&amp;$A493,'Promo Calendar'!$J$6:$J$400,"&gt;="&amp;$A493,'Promo Calendar'!$G$6:$G$400,"&gt;0"),IF(COUNTIFS('Promo Calendar'!$A$6:$A$400,$C493,'Promo Calendar'!$D$6:$D$400,"All",'Promo Calendar'!$I$6:$I$400,"&lt;="&amp;$A493,'Promo Calendar'!$J$6:$J$400,"&gt;="&amp;$A493,'Promo Calendar'!$G$6:$G$400,"&gt;0")&gt;0,_xlfn.MINIFS('Promo Calendar'!$G$6:$G$400,'Promo Calendar'!$A$6:$A$400,$C493,'Promo Calendar'!$D$6:$D$400,"All",'Promo Calendar'!$I$6:$I$400,"&lt;="&amp;$A493,'Promo Calendar'!$J$6:$J$400,"&gt;="&amp;$A493,'Promo Calendar'!$G$6:$G$400,"&gt;0"),IFERROR(IF(INDEX('Chain Program'!$M$6:$M$120,MATCH($C493,'Chain Program'!$A$6:$A$120,0))="","Not set",INDEX('Chain Program'!$M$6:$M$120,MATCH($C493,'Chain Program'!$A$6:$A$120,0))),"Not set"))))</f>
        <v/>
      </c>
      <c r="I493" s="61" t="n"/>
      <c r="J493" s="45">
        <f>IF($I493="","",IF(NOT(ISNUMBER($H493)),"No plan price",IF(ABS($I493-$H493)&lt;0.005,"Match",IF($I493&gt;$H493,"Over plan","Under plan"))))</f>
        <v/>
      </c>
      <c r="K493" s="60" t="n"/>
      <c r="L493" s="60" t="n"/>
      <c r="M493" s="60" t="n"/>
      <c r="N493" s="60" t="n"/>
      <c r="O493" s="60" t="n"/>
      <c r="P493" s="62" t="n"/>
      <c r="Q493" s="62" t="n"/>
      <c r="R493" s="60" t="n"/>
      <c r="S493" s="59" t="n"/>
      <c r="T493" s="60" t="n"/>
      <c r="U493" s="59" t="n"/>
      <c r="V493" s="45">
        <f>IF(OR($A493="",$T493="",$T493="No Issue"),"",IF($T493="Resolved",IF($U493="","",$U493-$A493),TODAY()-$A493))</f>
        <v/>
      </c>
      <c r="W493" s="47">
        <f>IF(AND($C493&lt;&gt;"",$C493='Store History'!$C$4,OR('Store History'!$C$5="",$F493='Store History'!$C$5)),1,0)</f>
        <v/>
      </c>
      <c r="X493" s="47">
        <f>IF($W493=1,SUM($W493:$W$1005),"")</f>
        <v/>
      </c>
    </row>
    <row r="494">
      <c r="A494" s="59" t="n"/>
      <c r="B494" s="60" t="n"/>
      <c r="C494" s="60" t="n"/>
      <c r="D494" s="45">
        <f>IF($C494="","",IFERROR(INDEX('Chain Program'!$B$6:$B$120,MATCH($C494,'Chain Program'!$A$6:$A$120,0)),"Unknown ID"))</f>
        <v/>
      </c>
      <c r="E494" s="45">
        <f>IF($C494="","",IFERROR(INDEX('Chain Program'!$D$6:$D$120,MATCH($C494,'Chain Program'!$A$6:$A$120,0)),"Unknown ID"))</f>
        <v/>
      </c>
      <c r="F494" s="60" t="n"/>
      <c r="G494" s="60" t="n"/>
      <c r="H494" s="56">
        <f>IF(OR($C494="",$A494=""),"",IF(COUNTIFS('Promo Calendar'!$A$6:$A$400,$C494,'Promo Calendar'!$D$6:$D$400,IF($G494="","All",$G494),'Promo Calendar'!$I$6:$I$400,"&lt;="&amp;$A494,'Promo Calendar'!$J$6:$J$400,"&gt;="&amp;$A494,'Promo Calendar'!$G$6:$G$400,"&gt;0")&gt;0,_xlfn.MINIFS('Promo Calendar'!$G$6:$G$400,'Promo Calendar'!$A$6:$A$400,$C494,'Promo Calendar'!$D$6:$D$400,IF($G494="","All",$G494),'Promo Calendar'!$I$6:$I$400,"&lt;="&amp;$A494,'Promo Calendar'!$J$6:$J$400,"&gt;="&amp;$A494,'Promo Calendar'!$G$6:$G$400,"&gt;0"),IF(COUNTIFS('Promo Calendar'!$A$6:$A$400,$C494,'Promo Calendar'!$D$6:$D$400,"All",'Promo Calendar'!$I$6:$I$400,"&lt;="&amp;$A494,'Promo Calendar'!$J$6:$J$400,"&gt;="&amp;$A494,'Promo Calendar'!$G$6:$G$400,"&gt;0")&gt;0,_xlfn.MINIFS('Promo Calendar'!$G$6:$G$400,'Promo Calendar'!$A$6:$A$400,$C494,'Promo Calendar'!$D$6:$D$400,"All",'Promo Calendar'!$I$6:$I$400,"&lt;="&amp;$A494,'Promo Calendar'!$J$6:$J$400,"&gt;="&amp;$A494,'Promo Calendar'!$G$6:$G$400,"&gt;0"),IFERROR(IF(INDEX('Chain Program'!$M$6:$M$120,MATCH($C494,'Chain Program'!$A$6:$A$120,0))="","Not set",INDEX('Chain Program'!$M$6:$M$120,MATCH($C494,'Chain Program'!$A$6:$A$120,0))),"Not set"))))</f>
        <v/>
      </c>
      <c r="I494" s="61" t="n"/>
      <c r="J494" s="45">
        <f>IF($I494="","",IF(NOT(ISNUMBER($H494)),"No plan price",IF(ABS($I494-$H494)&lt;0.005,"Match",IF($I494&gt;$H494,"Over plan","Under plan"))))</f>
        <v/>
      </c>
      <c r="K494" s="60" t="n"/>
      <c r="L494" s="60" t="n"/>
      <c r="M494" s="60" t="n"/>
      <c r="N494" s="60" t="n"/>
      <c r="O494" s="60" t="n"/>
      <c r="P494" s="62" t="n"/>
      <c r="Q494" s="62" t="n"/>
      <c r="R494" s="60" t="n"/>
      <c r="S494" s="59" t="n"/>
      <c r="T494" s="60" t="n"/>
      <c r="U494" s="59" t="n"/>
      <c r="V494" s="45">
        <f>IF(OR($A494="",$T494="",$T494="No Issue"),"",IF($T494="Resolved",IF($U494="","",$U494-$A494),TODAY()-$A494))</f>
        <v/>
      </c>
      <c r="W494" s="47">
        <f>IF(AND($C494&lt;&gt;"",$C494='Store History'!$C$4,OR('Store History'!$C$5="",$F494='Store History'!$C$5)),1,0)</f>
        <v/>
      </c>
      <c r="X494" s="47">
        <f>IF($W494=1,SUM($W494:$W$1005),"")</f>
        <v/>
      </c>
    </row>
    <row r="495">
      <c r="A495" s="59" t="n"/>
      <c r="B495" s="60" t="n"/>
      <c r="C495" s="60" t="n"/>
      <c r="D495" s="45">
        <f>IF($C495="","",IFERROR(INDEX('Chain Program'!$B$6:$B$120,MATCH($C495,'Chain Program'!$A$6:$A$120,0)),"Unknown ID"))</f>
        <v/>
      </c>
      <c r="E495" s="45">
        <f>IF($C495="","",IFERROR(INDEX('Chain Program'!$D$6:$D$120,MATCH($C495,'Chain Program'!$A$6:$A$120,0)),"Unknown ID"))</f>
        <v/>
      </c>
      <c r="F495" s="60" t="n"/>
      <c r="G495" s="60" t="n"/>
      <c r="H495" s="56">
        <f>IF(OR($C495="",$A495=""),"",IF(COUNTIFS('Promo Calendar'!$A$6:$A$400,$C495,'Promo Calendar'!$D$6:$D$400,IF($G495="","All",$G495),'Promo Calendar'!$I$6:$I$400,"&lt;="&amp;$A495,'Promo Calendar'!$J$6:$J$400,"&gt;="&amp;$A495,'Promo Calendar'!$G$6:$G$400,"&gt;0")&gt;0,_xlfn.MINIFS('Promo Calendar'!$G$6:$G$400,'Promo Calendar'!$A$6:$A$400,$C495,'Promo Calendar'!$D$6:$D$400,IF($G495="","All",$G495),'Promo Calendar'!$I$6:$I$400,"&lt;="&amp;$A495,'Promo Calendar'!$J$6:$J$400,"&gt;="&amp;$A495,'Promo Calendar'!$G$6:$G$400,"&gt;0"),IF(COUNTIFS('Promo Calendar'!$A$6:$A$400,$C495,'Promo Calendar'!$D$6:$D$400,"All",'Promo Calendar'!$I$6:$I$400,"&lt;="&amp;$A495,'Promo Calendar'!$J$6:$J$400,"&gt;="&amp;$A495,'Promo Calendar'!$G$6:$G$400,"&gt;0")&gt;0,_xlfn.MINIFS('Promo Calendar'!$G$6:$G$400,'Promo Calendar'!$A$6:$A$400,$C495,'Promo Calendar'!$D$6:$D$400,"All",'Promo Calendar'!$I$6:$I$400,"&lt;="&amp;$A495,'Promo Calendar'!$J$6:$J$400,"&gt;="&amp;$A495,'Promo Calendar'!$G$6:$G$400,"&gt;0"),IFERROR(IF(INDEX('Chain Program'!$M$6:$M$120,MATCH($C495,'Chain Program'!$A$6:$A$120,0))="","Not set",INDEX('Chain Program'!$M$6:$M$120,MATCH($C495,'Chain Program'!$A$6:$A$120,0))),"Not set"))))</f>
        <v/>
      </c>
      <c r="I495" s="61" t="n"/>
      <c r="J495" s="45">
        <f>IF($I495="","",IF(NOT(ISNUMBER($H495)),"No plan price",IF(ABS($I495-$H495)&lt;0.005,"Match",IF($I495&gt;$H495,"Over plan","Under plan"))))</f>
        <v/>
      </c>
      <c r="K495" s="60" t="n"/>
      <c r="L495" s="60" t="n"/>
      <c r="M495" s="60" t="n"/>
      <c r="N495" s="60" t="n"/>
      <c r="O495" s="60" t="n"/>
      <c r="P495" s="62" t="n"/>
      <c r="Q495" s="62" t="n"/>
      <c r="R495" s="60" t="n"/>
      <c r="S495" s="59" t="n"/>
      <c r="T495" s="60" t="n"/>
      <c r="U495" s="59" t="n"/>
      <c r="V495" s="45">
        <f>IF(OR($A495="",$T495="",$T495="No Issue"),"",IF($T495="Resolved",IF($U495="","",$U495-$A495),TODAY()-$A495))</f>
        <v/>
      </c>
      <c r="W495" s="47">
        <f>IF(AND($C495&lt;&gt;"",$C495='Store History'!$C$4,OR('Store History'!$C$5="",$F495='Store History'!$C$5)),1,0)</f>
        <v/>
      </c>
      <c r="X495" s="47">
        <f>IF($W495=1,SUM($W495:$W$1005),"")</f>
        <v/>
      </c>
    </row>
    <row r="496">
      <c r="A496" s="59" t="n"/>
      <c r="B496" s="60" t="n"/>
      <c r="C496" s="60" t="n"/>
      <c r="D496" s="45">
        <f>IF($C496="","",IFERROR(INDEX('Chain Program'!$B$6:$B$120,MATCH($C496,'Chain Program'!$A$6:$A$120,0)),"Unknown ID"))</f>
        <v/>
      </c>
      <c r="E496" s="45">
        <f>IF($C496="","",IFERROR(INDEX('Chain Program'!$D$6:$D$120,MATCH($C496,'Chain Program'!$A$6:$A$120,0)),"Unknown ID"))</f>
        <v/>
      </c>
      <c r="F496" s="60" t="n"/>
      <c r="G496" s="60" t="n"/>
      <c r="H496" s="56">
        <f>IF(OR($C496="",$A496=""),"",IF(COUNTIFS('Promo Calendar'!$A$6:$A$400,$C496,'Promo Calendar'!$D$6:$D$400,IF($G496="","All",$G496),'Promo Calendar'!$I$6:$I$400,"&lt;="&amp;$A496,'Promo Calendar'!$J$6:$J$400,"&gt;="&amp;$A496,'Promo Calendar'!$G$6:$G$400,"&gt;0")&gt;0,_xlfn.MINIFS('Promo Calendar'!$G$6:$G$400,'Promo Calendar'!$A$6:$A$400,$C496,'Promo Calendar'!$D$6:$D$400,IF($G496="","All",$G496),'Promo Calendar'!$I$6:$I$400,"&lt;="&amp;$A496,'Promo Calendar'!$J$6:$J$400,"&gt;="&amp;$A496,'Promo Calendar'!$G$6:$G$400,"&gt;0"),IF(COUNTIFS('Promo Calendar'!$A$6:$A$400,$C496,'Promo Calendar'!$D$6:$D$400,"All",'Promo Calendar'!$I$6:$I$400,"&lt;="&amp;$A496,'Promo Calendar'!$J$6:$J$400,"&gt;="&amp;$A496,'Promo Calendar'!$G$6:$G$400,"&gt;0")&gt;0,_xlfn.MINIFS('Promo Calendar'!$G$6:$G$400,'Promo Calendar'!$A$6:$A$400,$C496,'Promo Calendar'!$D$6:$D$400,"All",'Promo Calendar'!$I$6:$I$400,"&lt;="&amp;$A496,'Promo Calendar'!$J$6:$J$400,"&gt;="&amp;$A496,'Promo Calendar'!$G$6:$G$400,"&gt;0"),IFERROR(IF(INDEX('Chain Program'!$M$6:$M$120,MATCH($C496,'Chain Program'!$A$6:$A$120,0))="","Not set",INDEX('Chain Program'!$M$6:$M$120,MATCH($C496,'Chain Program'!$A$6:$A$120,0))),"Not set"))))</f>
        <v/>
      </c>
      <c r="I496" s="61" t="n"/>
      <c r="J496" s="45">
        <f>IF($I496="","",IF(NOT(ISNUMBER($H496)),"No plan price",IF(ABS($I496-$H496)&lt;0.005,"Match",IF($I496&gt;$H496,"Over plan","Under plan"))))</f>
        <v/>
      </c>
      <c r="K496" s="60" t="n"/>
      <c r="L496" s="60" t="n"/>
      <c r="M496" s="60" t="n"/>
      <c r="N496" s="60" t="n"/>
      <c r="O496" s="60" t="n"/>
      <c r="P496" s="62" t="n"/>
      <c r="Q496" s="62" t="n"/>
      <c r="R496" s="60" t="n"/>
      <c r="S496" s="59" t="n"/>
      <c r="T496" s="60" t="n"/>
      <c r="U496" s="59" t="n"/>
      <c r="V496" s="45">
        <f>IF(OR($A496="",$T496="",$T496="No Issue"),"",IF($T496="Resolved",IF($U496="","",$U496-$A496),TODAY()-$A496))</f>
        <v/>
      </c>
      <c r="W496" s="47">
        <f>IF(AND($C496&lt;&gt;"",$C496='Store History'!$C$4,OR('Store History'!$C$5="",$F496='Store History'!$C$5)),1,0)</f>
        <v/>
      </c>
      <c r="X496" s="47">
        <f>IF($W496=1,SUM($W496:$W$1005),"")</f>
        <v/>
      </c>
    </row>
    <row r="497">
      <c r="A497" s="59" t="n"/>
      <c r="B497" s="60" t="n"/>
      <c r="C497" s="60" t="n"/>
      <c r="D497" s="45">
        <f>IF($C497="","",IFERROR(INDEX('Chain Program'!$B$6:$B$120,MATCH($C497,'Chain Program'!$A$6:$A$120,0)),"Unknown ID"))</f>
        <v/>
      </c>
      <c r="E497" s="45">
        <f>IF($C497="","",IFERROR(INDEX('Chain Program'!$D$6:$D$120,MATCH($C497,'Chain Program'!$A$6:$A$120,0)),"Unknown ID"))</f>
        <v/>
      </c>
      <c r="F497" s="60" t="n"/>
      <c r="G497" s="60" t="n"/>
      <c r="H497" s="56">
        <f>IF(OR($C497="",$A497=""),"",IF(COUNTIFS('Promo Calendar'!$A$6:$A$400,$C497,'Promo Calendar'!$D$6:$D$400,IF($G497="","All",$G497),'Promo Calendar'!$I$6:$I$400,"&lt;="&amp;$A497,'Promo Calendar'!$J$6:$J$400,"&gt;="&amp;$A497,'Promo Calendar'!$G$6:$G$400,"&gt;0")&gt;0,_xlfn.MINIFS('Promo Calendar'!$G$6:$G$400,'Promo Calendar'!$A$6:$A$400,$C497,'Promo Calendar'!$D$6:$D$400,IF($G497="","All",$G497),'Promo Calendar'!$I$6:$I$400,"&lt;="&amp;$A497,'Promo Calendar'!$J$6:$J$400,"&gt;="&amp;$A497,'Promo Calendar'!$G$6:$G$400,"&gt;0"),IF(COUNTIFS('Promo Calendar'!$A$6:$A$400,$C497,'Promo Calendar'!$D$6:$D$400,"All",'Promo Calendar'!$I$6:$I$400,"&lt;="&amp;$A497,'Promo Calendar'!$J$6:$J$400,"&gt;="&amp;$A497,'Promo Calendar'!$G$6:$G$400,"&gt;0")&gt;0,_xlfn.MINIFS('Promo Calendar'!$G$6:$G$400,'Promo Calendar'!$A$6:$A$400,$C497,'Promo Calendar'!$D$6:$D$400,"All",'Promo Calendar'!$I$6:$I$400,"&lt;="&amp;$A497,'Promo Calendar'!$J$6:$J$400,"&gt;="&amp;$A497,'Promo Calendar'!$G$6:$G$400,"&gt;0"),IFERROR(IF(INDEX('Chain Program'!$M$6:$M$120,MATCH($C497,'Chain Program'!$A$6:$A$120,0))="","Not set",INDEX('Chain Program'!$M$6:$M$120,MATCH($C497,'Chain Program'!$A$6:$A$120,0))),"Not set"))))</f>
        <v/>
      </c>
      <c r="I497" s="61" t="n"/>
      <c r="J497" s="45">
        <f>IF($I497="","",IF(NOT(ISNUMBER($H497)),"No plan price",IF(ABS($I497-$H497)&lt;0.005,"Match",IF($I497&gt;$H497,"Over plan","Under plan"))))</f>
        <v/>
      </c>
      <c r="K497" s="60" t="n"/>
      <c r="L497" s="60" t="n"/>
      <c r="M497" s="60" t="n"/>
      <c r="N497" s="60" t="n"/>
      <c r="O497" s="60" t="n"/>
      <c r="P497" s="62" t="n"/>
      <c r="Q497" s="62" t="n"/>
      <c r="R497" s="60" t="n"/>
      <c r="S497" s="59" t="n"/>
      <c r="T497" s="60" t="n"/>
      <c r="U497" s="59" t="n"/>
      <c r="V497" s="45">
        <f>IF(OR($A497="",$T497="",$T497="No Issue"),"",IF($T497="Resolved",IF($U497="","",$U497-$A497),TODAY()-$A497))</f>
        <v/>
      </c>
      <c r="W497" s="47">
        <f>IF(AND($C497&lt;&gt;"",$C497='Store History'!$C$4,OR('Store History'!$C$5="",$F497='Store History'!$C$5)),1,0)</f>
        <v/>
      </c>
      <c r="X497" s="47">
        <f>IF($W497=1,SUM($W497:$W$1005),"")</f>
        <v/>
      </c>
    </row>
    <row r="498">
      <c r="A498" s="59" t="n"/>
      <c r="B498" s="60" t="n"/>
      <c r="C498" s="60" t="n"/>
      <c r="D498" s="45">
        <f>IF($C498="","",IFERROR(INDEX('Chain Program'!$B$6:$B$120,MATCH($C498,'Chain Program'!$A$6:$A$120,0)),"Unknown ID"))</f>
        <v/>
      </c>
      <c r="E498" s="45">
        <f>IF($C498="","",IFERROR(INDEX('Chain Program'!$D$6:$D$120,MATCH($C498,'Chain Program'!$A$6:$A$120,0)),"Unknown ID"))</f>
        <v/>
      </c>
      <c r="F498" s="60" t="n"/>
      <c r="G498" s="60" t="n"/>
      <c r="H498" s="56">
        <f>IF(OR($C498="",$A498=""),"",IF(COUNTIFS('Promo Calendar'!$A$6:$A$400,$C498,'Promo Calendar'!$D$6:$D$400,IF($G498="","All",$G498),'Promo Calendar'!$I$6:$I$400,"&lt;="&amp;$A498,'Promo Calendar'!$J$6:$J$400,"&gt;="&amp;$A498,'Promo Calendar'!$G$6:$G$400,"&gt;0")&gt;0,_xlfn.MINIFS('Promo Calendar'!$G$6:$G$400,'Promo Calendar'!$A$6:$A$400,$C498,'Promo Calendar'!$D$6:$D$400,IF($G498="","All",$G498),'Promo Calendar'!$I$6:$I$400,"&lt;="&amp;$A498,'Promo Calendar'!$J$6:$J$400,"&gt;="&amp;$A498,'Promo Calendar'!$G$6:$G$400,"&gt;0"),IF(COUNTIFS('Promo Calendar'!$A$6:$A$400,$C498,'Promo Calendar'!$D$6:$D$400,"All",'Promo Calendar'!$I$6:$I$400,"&lt;="&amp;$A498,'Promo Calendar'!$J$6:$J$400,"&gt;="&amp;$A498,'Promo Calendar'!$G$6:$G$400,"&gt;0")&gt;0,_xlfn.MINIFS('Promo Calendar'!$G$6:$G$400,'Promo Calendar'!$A$6:$A$400,$C498,'Promo Calendar'!$D$6:$D$400,"All",'Promo Calendar'!$I$6:$I$400,"&lt;="&amp;$A498,'Promo Calendar'!$J$6:$J$400,"&gt;="&amp;$A498,'Promo Calendar'!$G$6:$G$400,"&gt;0"),IFERROR(IF(INDEX('Chain Program'!$M$6:$M$120,MATCH($C498,'Chain Program'!$A$6:$A$120,0))="","Not set",INDEX('Chain Program'!$M$6:$M$120,MATCH($C498,'Chain Program'!$A$6:$A$120,0))),"Not set"))))</f>
        <v/>
      </c>
      <c r="I498" s="61" t="n"/>
      <c r="J498" s="45">
        <f>IF($I498="","",IF(NOT(ISNUMBER($H498)),"No plan price",IF(ABS($I498-$H498)&lt;0.005,"Match",IF($I498&gt;$H498,"Over plan","Under plan"))))</f>
        <v/>
      </c>
      <c r="K498" s="60" t="n"/>
      <c r="L498" s="60" t="n"/>
      <c r="M498" s="60" t="n"/>
      <c r="N498" s="60" t="n"/>
      <c r="O498" s="60" t="n"/>
      <c r="P498" s="62" t="n"/>
      <c r="Q498" s="62" t="n"/>
      <c r="R498" s="60" t="n"/>
      <c r="S498" s="59" t="n"/>
      <c r="T498" s="60" t="n"/>
      <c r="U498" s="59" t="n"/>
      <c r="V498" s="45">
        <f>IF(OR($A498="",$T498="",$T498="No Issue"),"",IF($T498="Resolved",IF($U498="","",$U498-$A498),TODAY()-$A498))</f>
        <v/>
      </c>
      <c r="W498" s="47">
        <f>IF(AND($C498&lt;&gt;"",$C498='Store History'!$C$4,OR('Store History'!$C$5="",$F498='Store History'!$C$5)),1,0)</f>
        <v/>
      </c>
      <c r="X498" s="47">
        <f>IF($W498=1,SUM($W498:$W$1005),"")</f>
        <v/>
      </c>
    </row>
    <row r="499">
      <c r="A499" s="59" t="n"/>
      <c r="B499" s="60" t="n"/>
      <c r="C499" s="60" t="n"/>
      <c r="D499" s="45">
        <f>IF($C499="","",IFERROR(INDEX('Chain Program'!$B$6:$B$120,MATCH($C499,'Chain Program'!$A$6:$A$120,0)),"Unknown ID"))</f>
        <v/>
      </c>
      <c r="E499" s="45">
        <f>IF($C499="","",IFERROR(INDEX('Chain Program'!$D$6:$D$120,MATCH($C499,'Chain Program'!$A$6:$A$120,0)),"Unknown ID"))</f>
        <v/>
      </c>
      <c r="F499" s="60" t="n"/>
      <c r="G499" s="60" t="n"/>
      <c r="H499" s="56">
        <f>IF(OR($C499="",$A499=""),"",IF(COUNTIFS('Promo Calendar'!$A$6:$A$400,$C499,'Promo Calendar'!$D$6:$D$400,IF($G499="","All",$G499),'Promo Calendar'!$I$6:$I$400,"&lt;="&amp;$A499,'Promo Calendar'!$J$6:$J$400,"&gt;="&amp;$A499,'Promo Calendar'!$G$6:$G$400,"&gt;0")&gt;0,_xlfn.MINIFS('Promo Calendar'!$G$6:$G$400,'Promo Calendar'!$A$6:$A$400,$C499,'Promo Calendar'!$D$6:$D$400,IF($G499="","All",$G499),'Promo Calendar'!$I$6:$I$400,"&lt;="&amp;$A499,'Promo Calendar'!$J$6:$J$400,"&gt;="&amp;$A499,'Promo Calendar'!$G$6:$G$400,"&gt;0"),IF(COUNTIFS('Promo Calendar'!$A$6:$A$400,$C499,'Promo Calendar'!$D$6:$D$400,"All",'Promo Calendar'!$I$6:$I$400,"&lt;="&amp;$A499,'Promo Calendar'!$J$6:$J$400,"&gt;="&amp;$A499,'Promo Calendar'!$G$6:$G$400,"&gt;0")&gt;0,_xlfn.MINIFS('Promo Calendar'!$G$6:$G$400,'Promo Calendar'!$A$6:$A$400,$C499,'Promo Calendar'!$D$6:$D$400,"All",'Promo Calendar'!$I$6:$I$400,"&lt;="&amp;$A499,'Promo Calendar'!$J$6:$J$400,"&gt;="&amp;$A499,'Promo Calendar'!$G$6:$G$400,"&gt;0"),IFERROR(IF(INDEX('Chain Program'!$M$6:$M$120,MATCH($C499,'Chain Program'!$A$6:$A$120,0))="","Not set",INDEX('Chain Program'!$M$6:$M$120,MATCH($C499,'Chain Program'!$A$6:$A$120,0))),"Not set"))))</f>
        <v/>
      </c>
      <c r="I499" s="61" t="n"/>
      <c r="J499" s="45">
        <f>IF($I499="","",IF(NOT(ISNUMBER($H499)),"No plan price",IF(ABS($I499-$H499)&lt;0.005,"Match",IF($I499&gt;$H499,"Over plan","Under plan"))))</f>
        <v/>
      </c>
      <c r="K499" s="60" t="n"/>
      <c r="L499" s="60" t="n"/>
      <c r="M499" s="60" t="n"/>
      <c r="N499" s="60" t="n"/>
      <c r="O499" s="60" t="n"/>
      <c r="P499" s="62" t="n"/>
      <c r="Q499" s="62" t="n"/>
      <c r="R499" s="60" t="n"/>
      <c r="S499" s="59" t="n"/>
      <c r="T499" s="60" t="n"/>
      <c r="U499" s="59" t="n"/>
      <c r="V499" s="45">
        <f>IF(OR($A499="",$T499="",$T499="No Issue"),"",IF($T499="Resolved",IF($U499="","",$U499-$A499),TODAY()-$A499))</f>
        <v/>
      </c>
      <c r="W499" s="47">
        <f>IF(AND($C499&lt;&gt;"",$C499='Store History'!$C$4,OR('Store History'!$C$5="",$F499='Store History'!$C$5)),1,0)</f>
        <v/>
      </c>
      <c r="X499" s="47">
        <f>IF($W499=1,SUM($W499:$W$1005),"")</f>
        <v/>
      </c>
    </row>
    <row r="500">
      <c r="A500" s="59" t="n"/>
      <c r="B500" s="60" t="n"/>
      <c r="C500" s="60" t="n"/>
      <c r="D500" s="45">
        <f>IF($C500="","",IFERROR(INDEX('Chain Program'!$B$6:$B$120,MATCH($C500,'Chain Program'!$A$6:$A$120,0)),"Unknown ID"))</f>
        <v/>
      </c>
      <c r="E500" s="45">
        <f>IF($C500="","",IFERROR(INDEX('Chain Program'!$D$6:$D$120,MATCH($C500,'Chain Program'!$A$6:$A$120,0)),"Unknown ID"))</f>
        <v/>
      </c>
      <c r="F500" s="60" t="n"/>
      <c r="G500" s="60" t="n"/>
      <c r="H500" s="56">
        <f>IF(OR($C500="",$A500=""),"",IF(COUNTIFS('Promo Calendar'!$A$6:$A$400,$C500,'Promo Calendar'!$D$6:$D$400,IF($G500="","All",$G500),'Promo Calendar'!$I$6:$I$400,"&lt;="&amp;$A500,'Promo Calendar'!$J$6:$J$400,"&gt;="&amp;$A500,'Promo Calendar'!$G$6:$G$400,"&gt;0")&gt;0,_xlfn.MINIFS('Promo Calendar'!$G$6:$G$400,'Promo Calendar'!$A$6:$A$400,$C500,'Promo Calendar'!$D$6:$D$400,IF($G500="","All",$G500),'Promo Calendar'!$I$6:$I$400,"&lt;="&amp;$A500,'Promo Calendar'!$J$6:$J$400,"&gt;="&amp;$A500,'Promo Calendar'!$G$6:$G$400,"&gt;0"),IF(COUNTIFS('Promo Calendar'!$A$6:$A$400,$C500,'Promo Calendar'!$D$6:$D$400,"All",'Promo Calendar'!$I$6:$I$400,"&lt;="&amp;$A500,'Promo Calendar'!$J$6:$J$400,"&gt;="&amp;$A500,'Promo Calendar'!$G$6:$G$400,"&gt;0")&gt;0,_xlfn.MINIFS('Promo Calendar'!$G$6:$G$400,'Promo Calendar'!$A$6:$A$400,$C500,'Promo Calendar'!$D$6:$D$400,"All",'Promo Calendar'!$I$6:$I$400,"&lt;="&amp;$A500,'Promo Calendar'!$J$6:$J$400,"&gt;="&amp;$A500,'Promo Calendar'!$G$6:$G$400,"&gt;0"),IFERROR(IF(INDEX('Chain Program'!$M$6:$M$120,MATCH($C500,'Chain Program'!$A$6:$A$120,0))="","Not set",INDEX('Chain Program'!$M$6:$M$120,MATCH($C500,'Chain Program'!$A$6:$A$120,0))),"Not set"))))</f>
        <v/>
      </c>
      <c r="I500" s="61" t="n"/>
      <c r="J500" s="45">
        <f>IF($I500="","",IF(NOT(ISNUMBER($H500)),"No plan price",IF(ABS($I500-$H500)&lt;0.005,"Match",IF($I500&gt;$H500,"Over plan","Under plan"))))</f>
        <v/>
      </c>
      <c r="K500" s="60" t="n"/>
      <c r="L500" s="60" t="n"/>
      <c r="M500" s="60" t="n"/>
      <c r="N500" s="60" t="n"/>
      <c r="O500" s="60" t="n"/>
      <c r="P500" s="62" t="n"/>
      <c r="Q500" s="62" t="n"/>
      <c r="R500" s="60" t="n"/>
      <c r="S500" s="59" t="n"/>
      <c r="T500" s="60" t="n"/>
      <c r="U500" s="59" t="n"/>
      <c r="V500" s="45">
        <f>IF(OR($A500="",$T500="",$T500="No Issue"),"",IF($T500="Resolved",IF($U500="","",$U500-$A500),TODAY()-$A500))</f>
        <v/>
      </c>
      <c r="W500" s="47">
        <f>IF(AND($C500&lt;&gt;"",$C500='Store History'!$C$4,OR('Store History'!$C$5="",$F500='Store History'!$C$5)),1,0)</f>
        <v/>
      </c>
      <c r="X500" s="47">
        <f>IF($W500=1,SUM($W500:$W$1005),"")</f>
        <v/>
      </c>
    </row>
    <row r="501">
      <c r="A501" s="59" t="n"/>
      <c r="B501" s="60" t="n"/>
      <c r="C501" s="60" t="n"/>
      <c r="D501" s="45">
        <f>IF($C501="","",IFERROR(INDEX('Chain Program'!$B$6:$B$120,MATCH($C501,'Chain Program'!$A$6:$A$120,0)),"Unknown ID"))</f>
        <v/>
      </c>
      <c r="E501" s="45">
        <f>IF($C501="","",IFERROR(INDEX('Chain Program'!$D$6:$D$120,MATCH($C501,'Chain Program'!$A$6:$A$120,0)),"Unknown ID"))</f>
        <v/>
      </c>
      <c r="F501" s="60" t="n"/>
      <c r="G501" s="60" t="n"/>
      <c r="H501" s="56">
        <f>IF(OR($C501="",$A501=""),"",IF(COUNTIFS('Promo Calendar'!$A$6:$A$400,$C501,'Promo Calendar'!$D$6:$D$400,IF($G501="","All",$G501),'Promo Calendar'!$I$6:$I$400,"&lt;="&amp;$A501,'Promo Calendar'!$J$6:$J$400,"&gt;="&amp;$A501,'Promo Calendar'!$G$6:$G$400,"&gt;0")&gt;0,_xlfn.MINIFS('Promo Calendar'!$G$6:$G$400,'Promo Calendar'!$A$6:$A$400,$C501,'Promo Calendar'!$D$6:$D$400,IF($G501="","All",$G501),'Promo Calendar'!$I$6:$I$400,"&lt;="&amp;$A501,'Promo Calendar'!$J$6:$J$400,"&gt;="&amp;$A501,'Promo Calendar'!$G$6:$G$400,"&gt;0"),IF(COUNTIFS('Promo Calendar'!$A$6:$A$400,$C501,'Promo Calendar'!$D$6:$D$400,"All",'Promo Calendar'!$I$6:$I$400,"&lt;="&amp;$A501,'Promo Calendar'!$J$6:$J$400,"&gt;="&amp;$A501,'Promo Calendar'!$G$6:$G$400,"&gt;0")&gt;0,_xlfn.MINIFS('Promo Calendar'!$G$6:$G$400,'Promo Calendar'!$A$6:$A$400,$C501,'Promo Calendar'!$D$6:$D$400,"All",'Promo Calendar'!$I$6:$I$400,"&lt;="&amp;$A501,'Promo Calendar'!$J$6:$J$400,"&gt;="&amp;$A501,'Promo Calendar'!$G$6:$G$400,"&gt;0"),IFERROR(IF(INDEX('Chain Program'!$M$6:$M$120,MATCH($C501,'Chain Program'!$A$6:$A$120,0))="","Not set",INDEX('Chain Program'!$M$6:$M$120,MATCH($C501,'Chain Program'!$A$6:$A$120,0))),"Not set"))))</f>
        <v/>
      </c>
      <c r="I501" s="61" t="n"/>
      <c r="J501" s="45">
        <f>IF($I501="","",IF(NOT(ISNUMBER($H501)),"No plan price",IF(ABS($I501-$H501)&lt;0.005,"Match",IF($I501&gt;$H501,"Over plan","Under plan"))))</f>
        <v/>
      </c>
      <c r="K501" s="60" t="n"/>
      <c r="L501" s="60" t="n"/>
      <c r="M501" s="60" t="n"/>
      <c r="N501" s="60" t="n"/>
      <c r="O501" s="60" t="n"/>
      <c r="P501" s="62" t="n"/>
      <c r="Q501" s="62" t="n"/>
      <c r="R501" s="60" t="n"/>
      <c r="S501" s="59" t="n"/>
      <c r="T501" s="60" t="n"/>
      <c r="U501" s="59" t="n"/>
      <c r="V501" s="45">
        <f>IF(OR($A501="",$T501="",$T501="No Issue"),"",IF($T501="Resolved",IF($U501="","",$U501-$A501),TODAY()-$A501))</f>
        <v/>
      </c>
      <c r="W501" s="47">
        <f>IF(AND($C501&lt;&gt;"",$C501='Store History'!$C$4,OR('Store History'!$C$5="",$F501='Store History'!$C$5)),1,0)</f>
        <v/>
      </c>
      <c r="X501" s="47">
        <f>IF($W501=1,SUM($W501:$W$1005),"")</f>
        <v/>
      </c>
    </row>
    <row r="502">
      <c r="A502" s="59" t="n"/>
      <c r="B502" s="60" t="n"/>
      <c r="C502" s="60" t="n"/>
      <c r="D502" s="45">
        <f>IF($C502="","",IFERROR(INDEX('Chain Program'!$B$6:$B$120,MATCH($C502,'Chain Program'!$A$6:$A$120,0)),"Unknown ID"))</f>
        <v/>
      </c>
      <c r="E502" s="45">
        <f>IF($C502="","",IFERROR(INDEX('Chain Program'!$D$6:$D$120,MATCH($C502,'Chain Program'!$A$6:$A$120,0)),"Unknown ID"))</f>
        <v/>
      </c>
      <c r="F502" s="60" t="n"/>
      <c r="G502" s="60" t="n"/>
      <c r="H502" s="56">
        <f>IF(OR($C502="",$A502=""),"",IF(COUNTIFS('Promo Calendar'!$A$6:$A$400,$C502,'Promo Calendar'!$D$6:$D$400,IF($G502="","All",$G502),'Promo Calendar'!$I$6:$I$400,"&lt;="&amp;$A502,'Promo Calendar'!$J$6:$J$400,"&gt;="&amp;$A502,'Promo Calendar'!$G$6:$G$400,"&gt;0")&gt;0,_xlfn.MINIFS('Promo Calendar'!$G$6:$G$400,'Promo Calendar'!$A$6:$A$400,$C502,'Promo Calendar'!$D$6:$D$400,IF($G502="","All",$G502),'Promo Calendar'!$I$6:$I$400,"&lt;="&amp;$A502,'Promo Calendar'!$J$6:$J$400,"&gt;="&amp;$A502,'Promo Calendar'!$G$6:$G$400,"&gt;0"),IF(COUNTIFS('Promo Calendar'!$A$6:$A$400,$C502,'Promo Calendar'!$D$6:$D$400,"All",'Promo Calendar'!$I$6:$I$400,"&lt;="&amp;$A502,'Promo Calendar'!$J$6:$J$400,"&gt;="&amp;$A502,'Promo Calendar'!$G$6:$G$400,"&gt;0")&gt;0,_xlfn.MINIFS('Promo Calendar'!$G$6:$G$400,'Promo Calendar'!$A$6:$A$400,$C502,'Promo Calendar'!$D$6:$D$400,"All",'Promo Calendar'!$I$6:$I$400,"&lt;="&amp;$A502,'Promo Calendar'!$J$6:$J$400,"&gt;="&amp;$A502,'Promo Calendar'!$G$6:$G$400,"&gt;0"),IFERROR(IF(INDEX('Chain Program'!$M$6:$M$120,MATCH($C502,'Chain Program'!$A$6:$A$120,0))="","Not set",INDEX('Chain Program'!$M$6:$M$120,MATCH($C502,'Chain Program'!$A$6:$A$120,0))),"Not set"))))</f>
        <v/>
      </c>
      <c r="I502" s="61" t="n"/>
      <c r="J502" s="45">
        <f>IF($I502="","",IF(NOT(ISNUMBER($H502)),"No plan price",IF(ABS($I502-$H502)&lt;0.005,"Match",IF($I502&gt;$H502,"Over plan","Under plan"))))</f>
        <v/>
      </c>
      <c r="K502" s="60" t="n"/>
      <c r="L502" s="60" t="n"/>
      <c r="M502" s="60" t="n"/>
      <c r="N502" s="60" t="n"/>
      <c r="O502" s="60" t="n"/>
      <c r="P502" s="62" t="n"/>
      <c r="Q502" s="62" t="n"/>
      <c r="R502" s="60" t="n"/>
      <c r="S502" s="59" t="n"/>
      <c r="T502" s="60" t="n"/>
      <c r="U502" s="59" t="n"/>
      <c r="V502" s="45">
        <f>IF(OR($A502="",$T502="",$T502="No Issue"),"",IF($T502="Resolved",IF($U502="","",$U502-$A502),TODAY()-$A502))</f>
        <v/>
      </c>
      <c r="W502" s="47">
        <f>IF(AND($C502&lt;&gt;"",$C502='Store History'!$C$4,OR('Store History'!$C$5="",$F502='Store History'!$C$5)),1,0)</f>
        <v/>
      </c>
      <c r="X502" s="47">
        <f>IF($W502=1,SUM($W502:$W$1005),"")</f>
        <v/>
      </c>
    </row>
    <row r="503">
      <c r="A503" s="59" t="n"/>
      <c r="B503" s="60" t="n"/>
      <c r="C503" s="60" t="n"/>
      <c r="D503" s="45">
        <f>IF($C503="","",IFERROR(INDEX('Chain Program'!$B$6:$B$120,MATCH($C503,'Chain Program'!$A$6:$A$120,0)),"Unknown ID"))</f>
        <v/>
      </c>
      <c r="E503" s="45">
        <f>IF($C503="","",IFERROR(INDEX('Chain Program'!$D$6:$D$120,MATCH($C503,'Chain Program'!$A$6:$A$120,0)),"Unknown ID"))</f>
        <v/>
      </c>
      <c r="F503" s="60" t="n"/>
      <c r="G503" s="60" t="n"/>
      <c r="H503" s="56">
        <f>IF(OR($C503="",$A503=""),"",IF(COUNTIFS('Promo Calendar'!$A$6:$A$400,$C503,'Promo Calendar'!$D$6:$D$400,IF($G503="","All",$G503),'Promo Calendar'!$I$6:$I$400,"&lt;="&amp;$A503,'Promo Calendar'!$J$6:$J$400,"&gt;="&amp;$A503,'Promo Calendar'!$G$6:$G$400,"&gt;0")&gt;0,_xlfn.MINIFS('Promo Calendar'!$G$6:$G$400,'Promo Calendar'!$A$6:$A$400,$C503,'Promo Calendar'!$D$6:$D$400,IF($G503="","All",$G503),'Promo Calendar'!$I$6:$I$400,"&lt;="&amp;$A503,'Promo Calendar'!$J$6:$J$400,"&gt;="&amp;$A503,'Promo Calendar'!$G$6:$G$400,"&gt;0"),IF(COUNTIFS('Promo Calendar'!$A$6:$A$400,$C503,'Promo Calendar'!$D$6:$D$400,"All",'Promo Calendar'!$I$6:$I$400,"&lt;="&amp;$A503,'Promo Calendar'!$J$6:$J$400,"&gt;="&amp;$A503,'Promo Calendar'!$G$6:$G$400,"&gt;0")&gt;0,_xlfn.MINIFS('Promo Calendar'!$G$6:$G$400,'Promo Calendar'!$A$6:$A$400,$C503,'Promo Calendar'!$D$6:$D$400,"All",'Promo Calendar'!$I$6:$I$400,"&lt;="&amp;$A503,'Promo Calendar'!$J$6:$J$400,"&gt;="&amp;$A503,'Promo Calendar'!$G$6:$G$400,"&gt;0"),IFERROR(IF(INDEX('Chain Program'!$M$6:$M$120,MATCH($C503,'Chain Program'!$A$6:$A$120,0))="","Not set",INDEX('Chain Program'!$M$6:$M$120,MATCH($C503,'Chain Program'!$A$6:$A$120,0))),"Not set"))))</f>
        <v/>
      </c>
      <c r="I503" s="61" t="n"/>
      <c r="J503" s="45">
        <f>IF($I503="","",IF(NOT(ISNUMBER($H503)),"No plan price",IF(ABS($I503-$H503)&lt;0.005,"Match",IF($I503&gt;$H503,"Over plan","Under plan"))))</f>
        <v/>
      </c>
      <c r="K503" s="60" t="n"/>
      <c r="L503" s="60" t="n"/>
      <c r="M503" s="60" t="n"/>
      <c r="N503" s="60" t="n"/>
      <c r="O503" s="60" t="n"/>
      <c r="P503" s="62" t="n"/>
      <c r="Q503" s="62" t="n"/>
      <c r="R503" s="60" t="n"/>
      <c r="S503" s="59" t="n"/>
      <c r="T503" s="60" t="n"/>
      <c r="U503" s="59" t="n"/>
      <c r="V503" s="45">
        <f>IF(OR($A503="",$T503="",$T503="No Issue"),"",IF($T503="Resolved",IF($U503="","",$U503-$A503),TODAY()-$A503))</f>
        <v/>
      </c>
      <c r="W503" s="47">
        <f>IF(AND($C503&lt;&gt;"",$C503='Store History'!$C$4,OR('Store History'!$C$5="",$F503='Store History'!$C$5)),1,0)</f>
        <v/>
      </c>
      <c r="X503" s="47">
        <f>IF($W503=1,SUM($W503:$W$1005),"")</f>
        <v/>
      </c>
    </row>
    <row r="504">
      <c r="A504" s="59" t="n"/>
      <c r="B504" s="60" t="n"/>
      <c r="C504" s="60" t="n"/>
      <c r="D504" s="45">
        <f>IF($C504="","",IFERROR(INDEX('Chain Program'!$B$6:$B$120,MATCH($C504,'Chain Program'!$A$6:$A$120,0)),"Unknown ID"))</f>
        <v/>
      </c>
      <c r="E504" s="45">
        <f>IF($C504="","",IFERROR(INDEX('Chain Program'!$D$6:$D$120,MATCH($C504,'Chain Program'!$A$6:$A$120,0)),"Unknown ID"))</f>
        <v/>
      </c>
      <c r="F504" s="60" t="n"/>
      <c r="G504" s="60" t="n"/>
      <c r="H504" s="56">
        <f>IF(OR($C504="",$A504=""),"",IF(COUNTIFS('Promo Calendar'!$A$6:$A$400,$C504,'Promo Calendar'!$D$6:$D$400,IF($G504="","All",$G504),'Promo Calendar'!$I$6:$I$400,"&lt;="&amp;$A504,'Promo Calendar'!$J$6:$J$400,"&gt;="&amp;$A504,'Promo Calendar'!$G$6:$G$400,"&gt;0")&gt;0,_xlfn.MINIFS('Promo Calendar'!$G$6:$G$400,'Promo Calendar'!$A$6:$A$400,$C504,'Promo Calendar'!$D$6:$D$400,IF($G504="","All",$G504),'Promo Calendar'!$I$6:$I$400,"&lt;="&amp;$A504,'Promo Calendar'!$J$6:$J$400,"&gt;="&amp;$A504,'Promo Calendar'!$G$6:$G$400,"&gt;0"),IF(COUNTIFS('Promo Calendar'!$A$6:$A$400,$C504,'Promo Calendar'!$D$6:$D$400,"All",'Promo Calendar'!$I$6:$I$400,"&lt;="&amp;$A504,'Promo Calendar'!$J$6:$J$400,"&gt;="&amp;$A504,'Promo Calendar'!$G$6:$G$400,"&gt;0")&gt;0,_xlfn.MINIFS('Promo Calendar'!$G$6:$G$400,'Promo Calendar'!$A$6:$A$400,$C504,'Promo Calendar'!$D$6:$D$400,"All",'Promo Calendar'!$I$6:$I$400,"&lt;="&amp;$A504,'Promo Calendar'!$J$6:$J$400,"&gt;="&amp;$A504,'Promo Calendar'!$G$6:$G$400,"&gt;0"),IFERROR(IF(INDEX('Chain Program'!$M$6:$M$120,MATCH($C504,'Chain Program'!$A$6:$A$120,0))="","Not set",INDEX('Chain Program'!$M$6:$M$120,MATCH($C504,'Chain Program'!$A$6:$A$120,0))),"Not set"))))</f>
        <v/>
      </c>
      <c r="I504" s="61" t="n"/>
      <c r="J504" s="45">
        <f>IF($I504="","",IF(NOT(ISNUMBER($H504)),"No plan price",IF(ABS($I504-$H504)&lt;0.005,"Match",IF($I504&gt;$H504,"Over plan","Under plan"))))</f>
        <v/>
      </c>
      <c r="K504" s="60" t="n"/>
      <c r="L504" s="60" t="n"/>
      <c r="M504" s="60" t="n"/>
      <c r="N504" s="60" t="n"/>
      <c r="O504" s="60" t="n"/>
      <c r="P504" s="62" t="n"/>
      <c r="Q504" s="62" t="n"/>
      <c r="R504" s="60" t="n"/>
      <c r="S504" s="59" t="n"/>
      <c r="T504" s="60" t="n"/>
      <c r="U504" s="59" t="n"/>
      <c r="V504" s="45">
        <f>IF(OR($A504="",$T504="",$T504="No Issue"),"",IF($T504="Resolved",IF($U504="","",$U504-$A504),TODAY()-$A504))</f>
        <v/>
      </c>
      <c r="W504" s="47">
        <f>IF(AND($C504&lt;&gt;"",$C504='Store History'!$C$4,OR('Store History'!$C$5="",$F504='Store History'!$C$5)),1,0)</f>
        <v/>
      </c>
      <c r="X504" s="47">
        <f>IF($W504=1,SUM($W504:$W$1005),"")</f>
        <v/>
      </c>
    </row>
    <row r="505">
      <c r="A505" s="59" t="n"/>
      <c r="B505" s="60" t="n"/>
      <c r="C505" s="60" t="n"/>
      <c r="D505" s="45">
        <f>IF($C505="","",IFERROR(INDEX('Chain Program'!$B$6:$B$120,MATCH($C505,'Chain Program'!$A$6:$A$120,0)),"Unknown ID"))</f>
        <v/>
      </c>
      <c r="E505" s="45">
        <f>IF($C505="","",IFERROR(INDEX('Chain Program'!$D$6:$D$120,MATCH($C505,'Chain Program'!$A$6:$A$120,0)),"Unknown ID"))</f>
        <v/>
      </c>
      <c r="F505" s="60" t="n"/>
      <c r="G505" s="60" t="n"/>
      <c r="H505" s="56">
        <f>IF(OR($C505="",$A505=""),"",IF(COUNTIFS('Promo Calendar'!$A$6:$A$400,$C505,'Promo Calendar'!$D$6:$D$400,IF($G505="","All",$G505),'Promo Calendar'!$I$6:$I$400,"&lt;="&amp;$A505,'Promo Calendar'!$J$6:$J$400,"&gt;="&amp;$A505,'Promo Calendar'!$G$6:$G$400,"&gt;0")&gt;0,_xlfn.MINIFS('Promo Calendar'!$G$6:$G$400,'Promo Calendar'!$A$6:$A$400,$C505,'Promo Calendar'!$D$6:$D$400,IF($G505="","All",$G505),'Promo Calendar'!$I$6:$I$400,"&lt;="&amp;$A505,'Promo Calendar'!$J$6:$J$400,"&gt;="&amp;$A505,'Promo Calendar'!$G$6:$G$400,"&gt;0"),IF(COUNTIFS('Promo Calendar'!$A$6:$A$400,$C505,'Promo Calendar'!$D$6:$D$400,"All",'Promo Calendar'!$I$6:$I$400,"&lt;="&amp;$A505,'Promo Calendar'!$J$6:$J$400,"&gt;="&amp;$A505,'Promo Calendar'!$G$6:$G$400,"&gt;0")&gt;0,_xlfn.MINIFS('Promo Calendar'!$G$6:$G$400,'Promo Calendar'!$A$6:$A$400,$C505,'Promo Calendar'!$D$6:$D$400,"All",'Promo Calendar'!$I$6:$I$400,"&lt;="&amp;$A505,'Promo Calendar'!$J$6:$J$400,"&gt;="&amp;$A505,'Promo Calendar'!$G$6:$G$400,"&gt;0"),IFERROR(IF(INDEX('Chain Program'!$M$6:$M$120,MATCH($C505,'Chain Program'!$A$6:$A$120,0))="","Not set",INDEX('Chain Program'!$M$6:$M$120,MATCH($C505,'Chain Program'!$A$6:$A$120,0))),"Not set"))))</f>
        <v/>
      </c>
      <c r="I505" s="61" t="n"/>
      <c r="J505" s="45">
        <f>IF($I505="","",IF(NOT(ISNUMBER($H505)),"No plan price",IF(ABS($I505-$H505)&lt;0.005,"Match",IF($I505&gt;$H505,"Over plan","Under plan"))))</f>
        <v/>
      </c>
      <c r="K505" s="60" t="n"/>
      <c r="L505" s="60" t="n"/>
      <c r="M505" s="60" t="n"/>
      <c r="N505" s="60" t="n"/>
      <c r="O505" s="60" t="n"/>
      <c r="P505" s="62" t="n"/>
      <c r="Q505" s="62" t="n"/>
      <c r="R505" s="60" t="n"/>
      <c r="S505" s="59" t="n"/>
      <c r="T505" s="60" t="n"/>
      <c r="U505" s="59" t="n"/>
      <c r="V505" s="45">
        <f>IF(OR($A505="",$T505="",$T505="No Issue"),"",IF($T505="Resolved",IF($U505="","",$U505-$A505),TODAY()-$A505))</f>
        <v/>
      </c>
      <c r="W505" s="47">
        <f>IF(AND($C505&lt;&gt;"",$C505='Store History'!$C$4,OR('Store History'!$C$5="",$F505='Store History'!$C$5)),1,0)</f>
        <v/>
      </c>
      <c r="X505" s="47">
        <f>IF($W505=1,SUM($W505:$W$1005),"")</f>
        <v/>
      </c>
    </row>
    <row r="506">
      <c r="A506" s="59" t="n"/>
      <c r="B506" s="60" t="n"/>
      <c r="C506" s="60" t="n"/>
      <c r="D506" s="45">
        <f>IF($C506="","",IFERROR(INDEX('Chain Program'!$B$6:$B$120,MATCH($C506,'Chain Program'!$A$6:$A$120,0)),"Unknown ID"))</f>
        <v/>
      </c>
      <c r="E506" s="45">
        <f>IF($C506="","",IFERROR(INDEX('Chain Program'!$D$6:$D$120,MATCH($C506,'Chain Program'!$A$6:$A$120,0)),"Unknown ID"))</f>
        <v/>
      </c>
      <c r="F506" s="60" t="n"/>
      <c r="G506" s="60" t="n"/>
      <c r="H506" s="56">
        <f>IF(OR($C506="",$A506=""),"",IF(COUNTIFS('Promo Calendar'!$A$6:$A$400,$C506,'Promo Calendar'!$D$6:$D$400,IF($G506="","All",$G506),'Promo Calendar'!$I$6:$I$400,"&lt;="&amp;$A506,'Promo Calendar'!$J$6:$J$400,"&gt;="&amp;$A506,'Promo Calendar'!$G$6:$G$400,"&gt;0")&gt;0,_xlfn.MINIFS('Promo Calendar'!$G$6:$G$400,'Promo Calendar'!$A$6:$A$400,$C506,'Promo Calendar'!$D$6:$D$400,IF($G506="","All",$G506),'Promo Calendar'!$I$6:$I$400,"&lt;="&amp;$A506,'Promo Calendar'!$J$6:$J$400,"&gt;="&amp;$A506,'Promo Calendar'!$G$6:$G$400,"&gt;0"),IF(COUNTIFS('Promo Calendar'!$A$6:$A$400,$C506,'Promo Calendar'!$D$6:$D$400,"All",'Promo Calendar'!$I$6:$I$400,"&lt;="&amp;$A506,'Promo Calendar'!$J$6:$J$400,"&gt;="&amp;$A506,'Promo Calendar'!$G$6:$G$400,"&gt;0")&gt;0,_xlfn.MINIFS('Promo Calendar'!$G$6:$G$400,'Promo Calendar'!$A$6:$A$400,$C506,'Promo Calendar'!$D$6:$D$400,"All",'Promo Calendar'!$I$6:$I$400,"&lt;="&amp;$A506,'Promo Calendar'!$J$6:$J$400,"&gt;="&amp;$A506,'Promo Calendar'!$G$6:$G$400,"&gt;0"),IFERROR(IF(INDEX('Chain Program'!$M$6:$M$120,MATCH($C506,'Chain Program'!$A$6:$A$120,0))="","Not set",INDEX('Chain Program'!$M$6:$M$120,MATCH($C506,'Chain Program'!$A$6:$A$120,0))),"Not set"))))</f>
        <v/>
      </c>
      <c r="I506" s="61" t="n"/>
      <c r="J506" s="45">
        <f>IF($I506="","",IF(NOT(ISNUMBER($H506)),"No plan price",IF(ABS($I506-$H506)&lt;0.005,"Match",IF($I506&gt;$H506,"Over plan","Under plan"))))</f>
        <v/>
      </c>
      <c r="K506" s="60" t="n"/>
      <c r="L506" s="60" t="n"/>
      <c r="M506" s="60" t="n"/>
      <c r="N506" s="60" t="n"/>
      <c r="O506" s="60" t="n"/>
      <c r="P506" s="62" t="n"/>
      <c r="Q506" s="62" t="n"/>
      <c r="R506" s="60" t="n"/>
      <c r="S506" s="59" t="n"/>
      <c r="T506" s="60" t="n"/>
      <c r="U506" s="59" t="n"/>
      <c r="V506" s="45">
        <f>IF(OR($A506="",$T506="",$T506="No Issue"),"",IF($T506="Resolved",IF($U506="","",$U506-$A506),TODAY()-$A506))</f>
        <v/>
      </c>
      <c r="W506" s="47">
        <f>IF(AND($C506&lt;&gt;"",$C506='Store History'!$C$4,OR('Store History'!$C$5="",$F506='Store History'!$C$5)),1,0)</f>
        <v/>
      </c>
      <c r="X506" s="47">
        <f>IF($W506=1,SUM($W506:$W$1005),"")</f>
        <v/>
      </c>
    </row>
    <row r="507">
      <c r="A507" s="59" t="n"/>
      <c r="B507" s="60" t="n"/>
      <c r="C507" s="60" t="n"/>
      <c r="D507" s="45">
        <f>IF($C507="","",IFERROR(INDEX('Chain Program'!$B$6:$B$120,MATCH($C507,'Chain Program'!$A$6:$A$120,0)),"Unknown ID"))</f>
        <v/>
      </c>
      <c r="E507" s="45">
        <f>IF($C507="","",IFERROR(INDEX('Chain Program'!$D$6:$D$120,MATCH($C507,'Chain Program'!$A$6:$A$120,0)),"Unknown ID"))</f>
        <v/>
      </c>
      <c r="F507" s="60" t="n"/>
      <c r="G507" s="60" t="n"/>
      <c r="H507" s="56">
        <f>IF(OR($C507="",$A507=""),"",IF(COUNTIFS('Promo Calendar'!$A$6:$A$400,$C507,'Promo Calendar'!$D$6:$D$400,IF($G507="","All",$G507),'Promo Calendar'!$I$6:$I$400,"&lt;="&amp;$A507,'Promo Calendar'!$J$6:$J$400,"&gt;="&amp;$A507,'Promo Calendar'!$G$6:$G$400,"&gt;0")&gt;0,_xlfn.MINIFS('Promo Calendar'!$G$6:$G$400,'Promo Calendar'!$A$6:$A$400,$C507,'Promo Calendar'!$D$6:$D$400,IF($G507="","All",$G507),'Promo Calendar'!$I$6:$I$400,"&lt;="&amp;$A507,'Promo Calendar'!$J$6:$J$400,"&gt;="&amp;$A507,'Promo Calendar'!$G$6:$G$400,"&gt;0"),IF(COUNTIFS('Promo Calendar'!$A$6:$A$400,$C507,'Promo Calendar'!$D$6:$D$400,"All",'Promo Calendar'!$I$6:$I$400,"&lt;="&amp;$A507,'Promo Calendar'!$J$6:$J$400,"&gt;="&amp;$A507,'Promo Calendar'!$G$6:$G$400,"&gt;0")&gt;0,_xlfn.MINIFS('Promo Calendar'!$G$6:$G$400,'Promo Calendar'!$A$6:$A$400,$C507,'Promo Calendar'!$D$6:$D$400,"All",'Promo Calendar'!$I$6:$I$400,"&lt;="&amp;$A507,'Promo Calendar'!$J$6:$J$400,"&gt;="&amp;$A507,'Promo Calendar'!$G$6:$G$400,"&gt;0"),IFERROR(IF(INDEX('Chain Program'!$M$6:$M$120,MATCH($C507,'Chain Program'!$A$6:$A$120,0))="","Not set",INDEX('Chain Program'!$M$6:$M$120,MATCH($C507,'Chain Program'!$A$6:$A$120,0))),"Not set"))))</f>
        <v/>
      </c>
      <c r="I507" s="61" t="n"/>
      <c r="J507" s="45">
        <f>IF($I507="","",IF(NOT(ISNUMBER($H507)),"No plan price",IF(ABS($I507-$H507)&lt;0.005,"Match",IF($I507&gt;$H507,"Over plan","Under plan"))))</f>
        <v/>
      </c>
      <c r="K507" s="60" t="n"/>
      <c r="L507" s="60" t="n"/>
      <c r="M507" s="60" t="n"/>
      <c r="N507" s="60" t="n"/>
      <c r="O507" s="60" t="n"/>
      <c r="P507" s="62" t="n"/>
      <c r="Q507" s="62" t="n"/>
      <c r="R507" s="60" t="n"/>
      <c r="S507" s="59" t="n"/>
      <c r="T507" s="60" t="n"/>
      <c r="U507" s="59" t="n"/>
      <c r="V507" s="45">
        <f>IF(OR($A507="",$T507="",$T507="No Issue"),"",IF($T507="Resolved",IF($U507="","",$U507-$A507),TODAY()-$A507))</f>
        <v/>
      </c>
      <c r="W507" s="47">
        <f>IF(AND($C507&lt;&gt;"",$C507='Store History'!$C$4,OR('Store History'!$C$5="",$F507='Store History'!$C$5)),1,0)</f>
        <v/>
      </c>
      <c r="X507" s="47">
        <f>IF($W507=1,SUM($W507:$W$1005),"")</f>
        <v/>
      </c>
    </row>
    <row r="508">
      <c r="A508" s="59" t="n"/>
      <c r="B508" s="60" t="n"/>
      <c r="C508" s="60" t="n"/>
      <c r="D508" s="45">
        <f>IF($C508="","",IFERROR(INDEX('Chain Program'!$B$6:$B$120,MATCH($C508,'Chain Program'!$A$6:$A$120,0)),"Unknown ID"))</f>
        <v/>
      </c>
      <c r="E508" s="45">
        <f>IF($C508="","",IFERROR(INDEX('Chain Program'!$D$6:$D$120,MATCH($C508,'Chain Program'!$A$6:$A$120,0)),"Unknown ID"))</f>
        <v/>
      </c>
      <c r="F508" s="60" t="n"/>
      <c r="G508" s="60" t="n"/>
      <c r="H508" s="56">
        <f>IF(OR($C508="",$A508=""),"",IF(COUNTIFS('Promo Calendar'!$A$6:$A$400,$C508,'Promo Calendar'!$D$6:$D$400,IF($G508="","All",$G508),'Promo Calendar'!$I$6:$I$400,"&lt;="&amp;$A508,'Promo Calendar'!$J$6:$J$400,"&gt;="&amp;$A508,'Promo Calendar'!$G$6:$G$400,"&gt;0")&gt;0,_xlfn.MINIFS('Promo Calendar'!$G$6:$G$400,'Promo Calendar'!$A$6:$A$400,$C508,'Promo Calendar'!$D$6:$D$400,IF($G508="","All",$G508),'Promo Calendar'!$I$6:$I$400,"&lt;="&amp;$A508,'Promo Calendar'!$J$6:$J$400,"&gt;="&amp;$A508,'Promo Calendar'!$G$6:$G$400,"&gt;0"),IF(COUNTIFS('Promo Calendar'!$A$6:$A$400,$C508,'Promo Calendar'!$D$6:$D$400,"All",'Promo Calendar'!$I$6:$I$400,"&lt;="&amp;$A508,'Promo Calendar'!$J$6:$J$400,"&gt;="&amp;$A508,'Promo Calendar'!$G$6:$G$400,"&gt;0")&gt;0,_xlfn.MINIFS('Promo Calendar'!$G$6:$G$400,'Promo Calendar'!$A$6:$A$400,$C508,'Promo Calendar'!$D$6:$D$400,"All",'Promo Calendar'!$I$6:$I$400,"&lt;="&amp;$A508,'Promo Calendar'!$J$6:$J$400,"&gt;="&amp;$A508,'Promo Calendar'!$G$6:$G$400,"&gt;0"),IFERROR(IF(INDEX('Chain Program'!$M$6:$M$120,MATCH($C508,'Chain Program'!$A$6:$A$120,0))="","Not set",INDEX('Chain Program'!$M$6:$M$120,MATCH($C508,'Chain Program'!$A$6:$A$120,0))),"Not set"))))</f>
        <v/>
      </c>
      <c r="I508" s="61" t="n"/>
      <c r="J508" s="45">
        <f>IF($I508="","",IF(NOT(ISNUMBER($H508)),"No plan price",IF(ABS($I508-$H508)&lt;0.005,"Match",IF($I508&gt;$H508,"Over plan","Under plan"))))</f>
        <v/>
      </c>
      <c r="K508" s="60" t="n"/>
      <c r="L508" s="60" t="n"/>
      <c r="M508" s="60" t="n"/>
      <c r="N508" s="60" t="n"/>
      <c r="O508" s="60" t="n"/>
      <c r="P508" s="62" t="n"/>
      <c r="Q508" s="62" t="n"/>
      <c r="R508" s="60" t="n"/>
      <c r="S508" s="59" t="n"/>
      <c r="T508" s="60" t="n"/>
      <c r="U508" s="59" t="n"/>
      <c r="V508" s="45">
        <f>IF(OR($A508="",$T508="",$T508="No Issue"),"",IF($T508="Resolved",IF($U508="","",$U508-$A508),TODAY()-$A508))</f>
        <v/>
      </c>
      <c r="W508" s="47">
        <f>IF(AND($C508&lt;&gt;"",$C508='Store History'!$C$4,OR('Store History'!$C$5="",$F508='Store History'!$C$5)),1,0)</f>
        <v/>
      </c>
      <c r="X508" s="47">
        <f>IF($W508=1,SUM($W508:$W$1005),"")</f>
        <v/>
      </c>
    </row>
    <row r="509">
      <c r="A509" s="59" t="n"/>
      <c r="B509" s="60" t="n"/>
      <c r="C509" s="60" t="n"/>
      <c r="D509" s="45">
        <f>IF($C509="","",IFERROR(INDEX('Chain Program'!$B$6:$B$120,MATCH($C509,'Chain Program'!$A$6:$A$120,0)),"Unknown ID"))</f>
        <v/>
      </c>
      <c r="E509" s="45">
        <f>IF($C509="","",IFERROR(INDEX('Chain Program'!$D$6:$D$120,MATCH($C509,'Chain Program'!$A$6:$A$120,0)),"Unknown ID"))</f>
        <v/>
      </c>
      <c r="F509" s="60" t="n"/>
      <c r="G509" s="60" t="n"/>
      <c r="H509" s="56">
        <f>IF(OR($C509="",$A509=""),"",IF(COUNTIFS('Promo Calendar'!$A$6:$A$400,$C509,'Promo Calendar'!$D$6:$D$400,IF($G509="","All",$G509),'Promo Calendar'!$I$6:$I$400,"&lt;="&amp;$A509,'Promo Calendar'!$J$6:$J$400,"&gt;="&amp;$A509,'Promo Calendar'!$G$6:$G$400,"&gt;0")&gt;0,_xlfn.MINIFS('Promo Calendar'!$G$6:$G$400,'Promo Calendar'!$A$6:$A$400,$C509,'Promo Calendar'!$D$6:$D$400,IF($G509="","All",$G509),'Promo Calendar'!$I$6:$I$400,"&lt;="&amp;$A509,'Promo Calendar'!$J$6:$J$400,"&gt;="&amp;$A509,'Promo Calendar'!$G$6:$G$400,"&gt;0"),IF(COUNTIFS('Promo Calendar'!$A$6:$A$400,$C509,'Promo Calendar'!$D$6:$D$400,"All",'Promo Calendar'!$I$6:$I$400,"&lt;="&amp;$A509,'Promo Calendar'!$J$6:$J$400,"&gt;="&amp;$A509,'Promo Calendar'!$G$6:$G$400,"&gt;0")&gt;0,_xlfn.MINIFS('Promo Calendar'!$G$6:$G$400,'Promo Calendar'!$A$6:$A$400,$C509,'Promo Calendar'!$D$6:$D$400,"All",'Promo Calendar'!$I$6:$I$400,"&lt;="&amp;$A509,'Promo Calendar'!$J$6:$J$400,"&gt;="&amp;$A509,'Promo Calendar'!$G$6:$G$400,"&gt;0"),IFERROR(IF(INDEX('Chain Program'!$M$6:$M$120,MATCH($C509,'Chain Program'!$A$6:$A$120,0))="","Not set",INDEX('Chain Program'!$M$6:$M$120,MATCH($C509,'Chain Program'!$A$6:$A$120,0))),"Not set"))))</f>
        <v/>
      </c>
      <c r="I509" s="61" t="n"/>
      <c r="J509" s="45">
        <f>IF($I509="","",IF(NOT(ISNUMBER($H509)),"No plan price",IF(ABS($I509-$H509)&lt;0.005,"Match",IF($I509&gt;$H509,"Over plan","Under plan"))))</f>
        <v/>
      </c>
      <c r="K509" s="60" t="n"/>
      <c r="L509" s="60" t="n"/>
      <c r="M509" s="60" t="n"/>
      <c r="N509" s="60" t="n"/>
      <c r="O509" s="60" t="n"/>
      <c r="P509" s="62" t="n"/>
      <c r="Q509" s="62" t="n"/>
      <c r="R509" s="60" t="n"/>
      <c r="S509" s="59" t="n"/>
      <c r="T509" s="60" t="n"/>
      <c r="U509" s="59" t="n"/>
      <c r="V509" s="45">
        <f>IF(OR($A509="",$T509="",$T509="No Issue"),"",IF($T509="Resolved",IF($U509="","",$U509-$A509),TODAY()-$A509))</f>
        <v/>
      </c>
      <c r="W509" s="47">
        <f>IF(AND($C509&lt;&gt;"",$C509='Store History'!$C$4,OR('Store History'!$C$5="",$F509='Store History'!$C$5)),1,0)</f>
        <v/>
      </c>
      <c r="X509" s="47">
        <f>IF($W509=1,SUM($W509:$W$1005),"")</f>
        <v/>
      </c>
    </row>
    <row r="510">
      <c r="A510" s="59" t="n"/>
      <c r="B510" s="60" t="n"/>
      <c r="C510" s="60" t="n"/>
      <c r="D510" s="45">
        <f>IF($C510="","",IFERROR(INDEX('Chain Program'!$B$6:$B$120,MATCH($C510,'Chain Program'!$A$6:$A$120,0)),"Unknown ID"))</f>
        <v/>
      </c>
      <c r="E510" s="45">
        <f>IF($C510="","",IFERROR(INDEX('Chain Program'!$D$6:$D$120,MATCH($C510,'Chain Program'!$A$6:$A$120,0)),"Unknown ID"))</f>
        <v/>
      </c>
      <c r="F510" s="60" t="n"/>
      <c r="G510" s="60" t="n"/>
      <c r="H510" s="56">
        <f>IF(OR($C510="",$A510=""),"",IF(COUNTIFS('Promo Calendar'!$A$6:$A$400,$C510,'Promo Calendar'!$D$6:$D$400,IF($G510="","All",$G510),'Promo Calendar'!$I$6:$I$400,"&lt;="&amp;$A510,'Promo Calendar'!$J$6:$J$400,"&gt;="&amp;$A510,'Promo Calendar'!$G$6:$G$400,"&gt;0")&gt;0,_xlfn.MINIFS('Promo Calendar'!$G$6:$G$400,'Promo Calendar'!$A$6:$A$400,$C510,'Promo Calendar'!$D$6:$D$400,IF($G510="","All",$G510),'Promo Calendar'!$I$6:$I$400,"&lt;="&amp;$A510,'Promo Calendar'!$J$6:$J$400,"&gt;="&amp;$A510,'Promo Calendar'!$G$6:$G$400,"&gt;0"),IF(COUNTIFS('Promo Calendar'!$A$6:$A$400,$C510,'Promo Calendar'!$D$6:$D$400,"All",'Promo Calendar'!$I$6:$I$400,"&lt;="&amp;$A510,'Promo Calendar'!$J$6:$J$400,"&gt;="&amp;$A510,'Promo Calendar'!$G$6:$G$400,"&gt;0")&gt;0,_xlfn.MINIFS('Promo Calendar'!$G$6:$G$400,'Promo Calendar'!$A$6:$A$400,$C510,'Promo Calendar'!$D$6:$D$400,"All",'Promo Calendar'!$I$6:$I$400,"&lt;="&amp;$A510,'Promo Calendar'!$J$6:$J$400,"&gt;="&amp;$A510,'Promo Calendar'!$G$6:$G$400,"&gt;0"),IFERROR(IF(INDEX('Chain Program'!$M$6:$M$120,MATCH($C510,'Chain Program'!$A$6:$A$120,0))="","Not set",INDEX('Chain Program'!$M$6:$M$120,MATCH($C510,'Chain Program'!$A$6:$A$120,0))),"Not set"))))</f>
        <v/>
      </c>
      <c r="I510" s="61" t="n"/>
      <c r="J510" s="45">
        <f>IF($I510="","",IF(NOT(ISNUMBER($H510)),"No plan price",IF(ABS($I510-$H510)&lt;0.005,"Match",IF($I510&gt;$H510,"Over plan","Under plan"))))</f>
        <v/>
      </c>
      <c r="K510" s="60" t="n"/>
      <c r="L510" s="60" t="n"/>
      <c r="M510" s="60" t="n"/>
      <c r="N510" s="60" t="n"/>
      <c r="O510" s="60" t="n"/>
      <c r="P510" s="62" t="n"/>
      <c r="Q510" s="62" t="n"/>
      <c r="R510" s="60" t="n"/>
      <c r="S510" s="59" t="n"/>
      <c r="T510" s="60" t="n"/>
      <c r="U510" s="59" t="n"/>
      <c r="V510" s="45">
        <f>IF(OR($A510="",$T510="",$T510="No Issue"),"",IF($T510="Resolved",IF($U510="","",$U510-$A510),TODAY()-$A510))</f>
        <v/>
      </c>
      <c r="W510" s="47">
        <f>IF(AND($C510&lt;&gt;"",$C510='Store History'!$C$4,OR('Store History'!$C$5="",$F510='Store History'!$C$5)),1,0)</f>
        <v/>
      </c>
      <c r="X510" s="47">
        <f>IF($W510=1,SUM($W510:$W$1005),"")</f>
        <v/>
      </c>
    </row>
    <row r="511">
      <c r="A511" s="59" t="n"/>
      <c r="B511" s="60" t="n"/>
      <c r="C511" s="60" t="n"/>
      <c r="D511" s="45">
        <f>IF($C511="","",IFERROR(INDEX('Chain Program'!$B$6:$B$120,MATCH($C511,'Chain Program'!$A$6:$A$120,0)),"Unknown ID"))</f>
        <v/>
      </c>
      <c r="E511" s="45">
        <f>IF($C511="","",IFERROR(INDEX('Chain Program'!$D$6:$D$120,MATCH($C511,'Chain Program'!$A$6:$A$120,0)),"Unknown ID"))</f>
        <v/>
      </c>
      <c r="F511" s="60" t="n"/>
      <c r="G511" s="60" t="n"/>
      <c r="H511" s="56">
        <f>IF(OR($C511="",$A511=""),"",IF(COUNTIFS('Promo Calendar'!$A$6:$A$400,$C511,'Promo Calendar'!$D$6:$D$400,IF($G511="","All",$G511),'Promo Calendar'!$I$6:$I$400,"&lt;="&amp;$A511,'Promo Calendar'!$J$6:$J$400,"&gt;="&amp;$A511,'Promo Calendar'!$G$6:$G$400,"&gt;0")&gt;0,_xlfn.MINIFS('Promo Calendar'!$G$6:$G$400,'Promo Calendar'!$A$6:$A$400,$C511,'Promo Calendar'!$D$6:$D$400,IF($G511="","All",$G511),'Promo Calendar'!$I$6:$I$400,"&lt;="&amp;$A511,'Promo Calendar'!$J$6:$J$400,"&gt;="&amp;$A511,'Promo Calendar'!$G$6:$G$400,"&gt;0"),IF(COUNTIFS('Promo Calendar'!$A$6:$A$400,$C511,'Promo Calendar'!$D$6:$D$400,"All",'Promo Calendar'!$I$6:$I$400,"&lt;="&amp;$A511,'Promo Calendar'!$J$6:$J$400,"&gt;="&amp;$A511,'Promo Calendar'!$G$6:$G$400,"&gt;0")&gt;0,_xlfn.MINIFS('Promo Calendar'!$G$6:$G$400,'Promo Calendar'!$A$6:$A$400,$C511,'Promo Calendar'!$D$6:$D$400,"All",'Promo Calendar'!$I$6:$I$400,"&lt;="&amp;$A511,'Promo Calendar'!$J$6:$J$400,"&gt;="&amp;$A511,'Promo Calendar'!$G$6:$G$400,"&gt;0"),IFERROR(IF(INDEX('Chain Program'!$M$6:$M$120,MATCH($C511,'Chain Program'!$A$6:$A$120,0))="","Not set",INDEX('Chain Program'!$M$6:$M$120,MATCH($C511,'Chain Program'!$A$6:$A$120,0))),"Not set"))))</f>
        <v/>
      </c>
      <c r="I511" s="61" t="n"/>
      <c r="J511" s="45">
        <f>IF($I511="","",IF(NOT(ISNUMBER($H511)),"No plan price",IF(ABS($I511-$H511)&lt;0.005,"Match",IF($I511&gt;$H511,"Over plan","Under plan"))))</f>
        <v/>
      </c>
      <c r="K511" s="60" t="n"/>
      <c r="L511" s="60" t="n"/>
      <c r="M511" s="60" t="n"/>
      <c r="N511" s="60" t="n"/>
      <c r="O511" s="60" t="n"/>
      <c r="P511" s="62" t="n"/>
      <c r="Q511" s="62" t="n"/>
      <c r="R511" s="60" t="n"/>
      <c r="S511" s="59" t="n"/>
      <c r="T511" s="60" t="n"/>
      <c r="U511" s="59" t="n"/>
      <c r="V511" s="45">
        <f>IF(OR($A511="",$T511="",$T511="No Issue"),"",IF($T511="Resolved",IF($U511="","",$U511-$A511),TODAY()-$A511))</f>
        <v/>
      </c>
      <c r="W511" s="47">
        <f>IF(AND($C511&lt;&gt;"",$C511='Store History'!$C$4,OR('Store History'!$C$5="",$F511='Store History'!$C$5)),1,0)</f>
        <v/>
      </c>
      <c r="X511" s="47">
        <f>IF($W511=1,SUM($W511:$W$1005),"")</f>
        <v/>
      </c>
    </row>
    <row r="512">
      <c r="A512" s="59" t="n"/>
      <c r="B512" s="60" t="n"/>
      <c r="C512" s="60" t="n"/>
      <c r="D512" s="45">
        <f>IF($C512="","",IFERROR(INDEX('Chain Program'!$B$6:$B$120,MATCH($C512,'Chain Program'!$A$6:$A$120,0)),"Unknown ID"))</f>
        <v/>
      </c>
      <c r="E512" s="45">
        <f>IF($C512="","",IFERROR(INDEX('Chain Program'!$D$6:$D$120,MATCH($C512,'Chain Program'!$A$6:$A$120,0)),"Unknown ID"))</f>
        <v/>
      </c>
      <c r="F512" s="60" t="n"/>
      <c r="G512" s="60" t="n"/>
      <c r="H512" s="56">
        <f>IF(OR($C512="",$A512=""),"",IF(COUNTIFS('Promo Calendar'!$A$6:$A$400,$C512,'Promo Calendar'!$D$6:$D$400,IF($G512="","All",$G512),'Promo Calendar'!$I$6:$I$400,"&lt;="&amp;$A512,'Promo Calendar'!$J$6:$J$400,"&gt;="&amp;$A512,'Promo Calendar'!$G$6:$G$400,"&gt;0")&gt;0,_xlfn.MINIFS('Promo Calendar'!$G$6:$G$400,'Promo Calendar'!$A$6:$A$400,$C512,'Promo Calendar'!$D$6:$D$400,IF($G512="","All",$G512),'Promo Calendar'!$I$6:$I$400,"&lt;="&amp;$A512,'Promo Calendar'!$J$6:$J$400,"&gt;="&amp;$A512,'Promo Calendar'!$G$6:$G$400,"&gt;0"),IF(COUNTIFS('Promo Calendar'!$A$6:$A$400,$C512,'Promo Calendar'!$D$6:$D$400,"All",'Promo Calendar'!$I$6:$I$400,"&lt;="&amp;$A512,'Promo Calendar'!$J$6:$J$400,"&gt;="&amp;$A512,'Promo Calendar'!$G$6:$G$400,"&gt;0")&gt;0,_xlfn.MINIFS('Promo Calendar'!$G$6:$G$400,'Promo Calendar'!$A$6:$A$400,$C512,'Promo Calendar'!$D$6:$D$400,"All",'Promo Calendar'!$I$6:$I$400,"&lt;="&amp;$A512,'Promo Calendar'!$J$6:$J$400,"&gt;="&amp;$A512,'Promo Calendar'!$G$6:$G$400,"&gt;0"),IFERROR(IF(INDEX('Chain Program'!$M$6:$M$120,MATCH($C512,'Chain Program'!$A$6:$A$120,0))="","Not set",INDEX('Chain Program'!$M$6:$M$120,MATCH($C512,'Chain Program'!$A$6:$A$120,0))),"Not set"))))</f>
        <v/>
      </c>
      <c r="I512" s="61" t="n"/>
      <c r="J512" s="45">
        <f>IF($I512="","",IF(NOT(ISNUMBER($H512)),"No plan price",IF(ABS($I512-$H512)&lt;0.005,"Match",IF($I512&gt;$H512,"Over plan","Under plan"))))</f>
        <v/>
      </c>
      <c r="K512" s="60" t="n"/>
      <c r="L512" s="60" t="n"/>
      <c r="M512" s="60" t="n"/>
      <c r="N512" s="60" t="n"/>
      <c r="O512" s="60" t="n"/>
      <c r="P512" s="62" t="n"/>
      <c r="Q512" s="62" t="n"/>
      <c r="R512" s="60" t="n"/>
      <c r="S512" s="59" t="n"/>
      <c r="T512" s="60" t="n"/>
      <c r="U512" s="59" t="n"/>
      <c r="V512" s="45">
        <f>IF(OR($A512="",$T512="",$T512="No Issue"),"",IF($T512="Resolved",IF($U512="","",$U512-$A512),TODAY()-$A512))</f>
        <v/>
      </c>
      <c r="W512" s="47">
        <f>IF(AND($C512&lt;&gt;"",$C512='Store History'!$C$4,OR('Store History'!$C$5="",$F512='Store History'!$C$5)),1,0)</f>
        <v/>
      </c>
      <c r="X512" s="47">
        <f>IF($W512=1,SUM($W512:$W$1005),"")</f>
        <v/>
      </c>
    </row>
    <row r="513">
      <c r="A513" s="59" t="n"/>
      <c r="B513" s="60" t="n"/>
      <c r="C513" s="60" t="n"/>
      <c r="D513" s="45">
        <f>IF($C513="","",IFERROR(INDEX('Chain Program'!$B$6:$B$120,MATCH($C513,'Chain Program'!$A$6:$A$120,0)),"Unknown ID"))</f>
        <v/>
      </c>
      <c r="E513" s="45">
        <f>IF($C513="","",IFERROR(INDEX('Chain Program'!$D$6:$D$120,MATCH($C513,'Chain Program'!$A$6:$A$120,0)),"Unknown ID"))</f>
        <v/>
      </c>
      <c r="F513" s="60" t="n"/>
      <c r="G513" s="60" t="n"/>
      <c r="H513" s="56">
        <f>IF(OR($C513="",$A513=""),"",IF(COUNTIFS('Promo Calendar'!$A$6:$A$400,$C513,'Promo Calendar'!$D$6:$D$400,IF($G513="","All",$G513),'Promo Calendar'!$I$6:$I$400,"&lt;="&amp;$A513,'Promo Calendar'!$J$6:$J$400,"&gt;="&amp;$A513,'Promo Calendar'!$G$6:$G$400,"&gt;0")&gt;0,_xlfn.MINIFS('Promo Calendar'!$G$6:$G$400,'Promo Calendar'!$A$6:$A$400,$C513,'Promo Calendar'!$D$6:$D$400,IF($G513="","All",$G513),'Promo Calendar'!$I$6:$I$400,"&lt;="&amp;$A513,'Promo Calendar'!$J$6:$J$400,"&gt;="&amp;$A513,'Promo Calendar'!$G$6:$G$400,"&gt;0"),IF(COUNTIFS('Promo Calendar'!$A$6:$A$400,$C513,'Promo Calendar'!$D$6:$D$400,"All",'Promo Calendar'!$I$6:$I$400,"&lt;="&amp;$A513,'Promo Calendar'!$J$6:$J$400,"&gt;="&amp;$A513,'Promo Calendar'!$G$6:$G$400,"&gt;0")&gt;0,_xlfn.MINIFS('Promo Calendar'!$G$6:$G$400,'Promo Calendar'!$A$6:$A$400,$C513,'Promo Calendar'!$D$6:$D$400,"All",'Promo Calendar'!$I$6:$I$400,"&lt;="&amp;$A513,'Promo Calendar'!$J$6:$J$400,"&gt;="&amp;$A513,'Promo Calendar'!$G$6:$G$400,"&gt;0"),IFERROR(IF(INDEX('Chain Program'!$M$6:$M$120,MATCH($C513,'Chain Program'!$A$6:$A$120,0))="","Not set",INDEX('Chain Program'!$M$6:$M$120,MATCH($C513,'Chain Program'!$A$6:$A$120,0))),"Not set"))))</f>
        <v/>
      </c>
      <c r="I513" s="61" t="n"/>
      <c r="J513" s="45">
        <f>IF($I513="","",IF(NOT(ISNUMBER($H513)),"No plan price",IF(ABS($I513-$H513)&lt;0.005,"Match",IF($I513&gt;$H513,"Over plan","Under plan"))))</f>
        <v/>
      </c>
      <c r="K513" s="60" t="n"/>
      <c r="L513" s="60" t="n"/>
      <c r="M513" s="60" t="n"/>
      <c r="N513" s="60" t="n"/>
      <c r="O513" s="60" t="n"/>
      <c r="P513" s="62" t="n"/>
      <c r="Q513" s="62" t="n"/>
      <c r="R513" s="60" t="n"/>
      <c r="S513" s="59" t="n"/>
      <c r="T513" s="60" t="n"/>
      <c r="U513" s="59" t="n"/>
      <c r="V513" s="45">
        <f>IF(OR($A513="",$T513="",$T513="No Issue"),"",IF($T513="Resolved",IF($U513="","",$U513-$A513),TODAY()-$A513))</f>
        <v/>
      </c>
      <c r="W513" s="47">
        <f>IF(AND($C513&lt;&gt;"",$C513='Store History'!$C$4,OR('Store History'!$C$5="",$F513='Store History'!$C$5)),1,0)</f>
        <v/>
      </c>
      <c r="X513" s="47">
        <f>IF($W513=1,SUM($W513:$W$1005),"")</f>
        <v/>
      </c>
    </row>
    <row r="514">
      <c r="A514" s="59" t="n"/>
      <c r="B514" s="60" t="n"/>
      <c r="C514" s="60" t="n"/>
      <c r="D514" s="45">
        <f>IF($C514="","",IFERROR(INDEX('Chain Program'!$B$6:$B$120,MATCH($C514,'Chain Program'!$A$6:$A$120,0)),"Unknown ID"))</f>
        <v/>
      </c>
      <c r="E514" s="45">
        <f>IF($C514="","",IFERROR(INDEX('Chain Program'!$D$6:$D$120,MATCH($C514,'Chain Program'!$A$6:$A$120,0)),"Unknown ID"))</f>
        <v/>
      </c>
      <c r="F514" s="60" t="n"/>
      <c r="G514" s="60" t="n"/>
      <c r="H514" s="56">
        <f>IF(OR($C514="",$A514=""),"",IF(COUNTIFS('Promo Calendar'!$A$6:$A$400,$C514,'Promo Calendar'!$D$6:$D$400,IF($G514="","All",$G514),'Promo Calendar'!$I$6:$I$400,"&lt;="&amp;$A514,'Promo Calendar'!$J$6:$J$400,"&gt;="&amp;$A514,'Promo Calendar'!$G$6:$G$400,"&gt;0")&gt;0,_xlfn.MINIFS('Promo Calendar'!$G$6:$G$400,'Promo Calendar'!$A$6:$A$400,$C514,'Promo Calendar'!$D$6:$D$400,IF($G514="","All",$G514),'Promo Calendar'!$I$6:$I$400,"&lt;="&amp;$A514,'Promo Calendar'!$J$6:$J$400,"&gt;="&amp;$A514,'Promo Calendar'!$G$6:$G$400,"&gt;0"),IF(COUNTIFS('Promo Calendar'!$A$6:$A$400,$C514,'Promo Calendar'!$D$6:$D$400,"All",'Promo Calendar'!$I$6:$I$400,"&lt;="&amp;$A514,'Promo Calendar'!$J$6:$J$400,"&gt;="&amp;$A514,'Promo Calendar'!$G$6:$G$400,"&gt;0")&gt;0,_xlfn.MINIFS('Promo Calendar'!$G$6:$G$400,'Promo Calendar'!$A$6:$A$400,$C514,'Promo Calendar'!$D$6:$D$400,"All",'Promo Calendar'!$I$6:$I$400,"&lt;="&amp;$A514,'Promo Calendar'!$J$6:$J$400,"&gt;="&amp;$A514,'Promo Calendar'!$G$6:$G$400,"&gt;0"),IFERROR(IF(INDEX('Chain Program'!$M$6:$M$120,MATCH($C514,'Chain Program'!$A$6:$A$120,0))="","Not set",INDEX('Chain Program'!$M$6:$M$120,MATCH($C514,'Chain Program'!$A$6:$A$120,0))),"Not set"))))</f>
        <v/>
      </c>
      <c r="I514" s="61" t="n"/>
      <c r="J514" s="45">
        <f>IF($I514="","",IF(NOT(ISNUMBER($H514)),"No plan price",IF(ABS($I514-$H514)&lt;0.005,"Match",IF($I514&gt;$H514,"Over plan","Under plan"))))</f>
        <v/>
      </c>
      <c r="K514" s="60" t="n"/>
      <c r="L514" s="60" t="n"/>
      <c r="M514" s="60" t="n"/>
      <c r="N514" s="60" t="n"/>
      <c r="O514" s="60" t="n"/>
      <c r="P514" s="62" t="n"/>
      <c r="Q514" s="62" t="n"/>
      <c r="R514" s="60" t="n"/>
      <c r="S514" s="59" t="n"/>
      <c r="T514" s="60" t="n"/>
      <c r="U514" s="59" t="n"/>
      <c r="V514" s="45">
        <f>IF(OR($A514="",$T514="",$T514="No Issue"),"",IF($T514="Resolved",IF($U514="","",$U514-$A514),TODAY()-$A514))</f>
        <v/>
      </c>
      <c r="W514" s="47">
        <f>IF(AND($C514&lt;&gt;"",$C514='Store History'!$C$4,OR('Store History'!$C$5="",$F514='Store History'!$C$5)),1,0)</f>
        <v/>
      </c>
      <c r="X514" s="47">
        <f>IF($W514=1,SUM($W514:$W$1005),"")</f>
        <v/>
      </c>
    </row>
    <row r="515">
      <c r="A515" s="59" t="n"/>
      <c r="B515" s="60" t="n"/>
      <c r="C515" s="60" t="n"/>
      <c r="D515" s="45">
        <f>IF($C515="","",IFERROR(INDEX('Chain Program'!$B$6:$B$120,MATCH($C515,'Chain Program'!$A$6:$A$120,0)),"Unknown ID"))</f>
        <v/>
      </c>
      <c r="E515" s="45">
        <f>IF($C515="","",IFERROR(INDEX('Chain Program'!$D$6:$D$120,MATCH($C515,'Chain Program'!$A$6:$A$120,0)),"Unknown ID"))</f>
        <v/>
      </c>
      <c r="F515" s="60" t="n"/>
      <c r="G515" s="60" t="n"/>
      <c r="H515" s="56">
        <f>IF(OR($C515="",$A515=""),"",IF(COUNTIFS('Promo Calendar'!$A$6:$A$400,$C515,'Promo Calendar'!$D$6:$D$400,IF($G515="","All",$G515),'Promo Calendar'!$I$6:$I$400,"&lt;="&amp;$A515,'Promo Calendar'!$J$6:$J$400,"&gt;="&amp;$A515,'Promo Calendar'!$G$6:$G$400,"&gt;0")&gt;0,_xlfn.MINIFS('Promo Calendar'!$G$6:$G$400,'Promo Calendar'!$A$6:$A$400,$C515,'Promo Calendar'!$D$6:$D$400,IF($G515="","All",$G515),'Promo Calendar'!$I$6:$I$400,"&lt;="&amp;$A515,'Promo Calendar'!$J$6:$J$400,"&gt;="&amp;$A515,'Promo Calendar'!$G$6:$G$400,"&gt;0"),IF(COUNTIFS('Promo Calendar'!$A$6:$A$400,$C515,'Promo Calendar'!$D$6:$D$400,"All",'Promo Calendar'!$I$6:$I$400,"&lt;="&amp;$A515,'Promo Calendar'!$J$6:$J$400,"&gt;="&amp;$A515,'Promo Calendar'!$G$6:$G$400,"&gt;0")&gt;0,_xlfn.MINIFS('Promo Calendar'!$G$6:$G$400,'Promo Calendar'!$A$6:$A$400,$C515,'Promo Calendar'!$D$6:$D$400,"All",'Promo Calendar'!$I$6:$I$400,"&lt;="&amp;$A515,'Promo Calendar'!$J$6:$J$400,"&gt;="&amp;$A515,'Promo Calendar'!$G$6:$G$400,"&gt;0"),IFERROR(IF(INDEX('Chain Program'!$M$6:$M$120,MATCH($C515,'Chain Program'!$A$6:$A$120,0))="","Not set",INDEX('Chain Program'!$M$6:$M$120,MATCH($C515,'Chain Program'!$A$6:$A$120,0))),"Not set"))))</f>
        <v/>
      </c>
      <c r="I515" s="61" t="n"/>
      <c r="J515" s="45">
        <f>IF($I515="","",IF(NOT(ISNUMBER($H515)),"No plan price",IF(ABS($I515-$H515)&lt;0.005,"Match",IF($I515&gt;$H515,"Over plan","Under plan"))))</f>
        <v/>
      </c>
      <c r="K515" s="60" t="n"/>
      <c r="L515" s="60" t="n"/>
      <c r="M515" s="60" t="n"/>
      <c r="N515" s="60" t="n"/>
      <c r="O515" s="60" t="n"/>
      <c r="P515" s="62" t="n"/>
      <c r="Q515" s="62" t="n"/>
      <c r="R515" s="60" t="n"/>
      <c r="S515" s="59" t="n"/>
      <c r="T515" s="60" t="n"/>
      <c r="U515" s="59" t="n"/>
      <c r="V515" s="45">
        <f>IF(OR($A515="",$T515="",$T515="No Issue"),"",IF($T515="Resolved",IF($U515="","",$U515-$A515),TODAY()-$A515))</f>
        <v/>
      </c>
      <c r="W515" s="47">
        <f>IF(AND($C515&lt;&gt;"",$C515='Store History'!$C$4,OR('Store History'!$C$5="",$F515='Store History'!$C$5)),1,0)</f>
        <v/>
      </c>
      <c r="X515" s="47">
        <f>IF($W515=1,SUM($W515:$W$1005),"")</f>
        <v/>
      </c>
    </row>
    <row r="516">
      <c r="A516" s="59" t="n"/>
      <c r="B516" s="60" t="n"/>
      <c r="C516" s="60" t="n"/>
      <c r="D516" s="45">
        <f>IF($C516="","",IFERROR(INDEX('Chain Program'!$B$6:$B$120,MATCH($C516,'Chain Program'!$A$6:$A$120,0)),"Unknown ID"))</f>
        <v/>
      </c>
      <c r="E516" s="45">
        <f>IF($C516="","",IFERROR(INDEX('Chain Program'!$D$6:$D$120,MATCH($C516,'Chain Program'!$A$6:$A$120,0)),"Unknown ID"))</f>
        <v/>
      </c>
      <c r="F516" s="60" t="n"/>
      <c r="G516" s="60" t="n"/>
      <c r="H516" s="56">
        <f>IF(OR($C516="",$A516=""),"",IF(COUNTIFS('Promo Calendar'!$A$6:$A$400,$C516,'Promo Calendar'!$D$6:$D$400,IF($G516="","All",$G516),'Promo Calendar'!$I$6:$I$400,"&lt;="&amp;$A516,'Promo Calendar'!$J$6:$J$400,"&gt;="&amp;$A516,'Promo Calendar'!$G$6:$G$400,"&gt;0")&gt;0,_xlfn.MINIFS('Promo Calendar'!$G$6:$G$400,'Promo Calendar'!$A$6:$A$400,$C516,'Promo Calendar'!$D$6:$D$400,IF($G516="","All",$G516),'Promo Calendar'!$I$6:$I$400,"&lt;="&amp;$A516,'Promo Calendar'!$J$6:$J$400,"&gt;="&amp;$A516,'Promo Calendar'!$G$6:$G$400,"&gt;0"),IF(COUNTIFS('Promo Calendar'!$A$6:$A$400,$C516,'Promo Calendar'!$D$6:$D$400,"All",'Promo Calendar'!$I$6:$I$400,"&lt;="&amp;$A516,'Promo Calendar'!$J$6:$J$400,"&gt;="&amp;$A516,'Promo Calendar'!$G$6:$G$400,"&gt;0")&gt;0,_xlfn.MINIFS('Promo Calendar'!$G$6:$G$400,'Promo Calendar'!$A$6:$A$400,$C516,'Promo Calendar'!$D$6:$D$400,"All",'Promo Calendar'!$I$6:$I$400,"&lt;="&amp;$A516,'Promo Calendar'!$J$6:$J$400,"&gt;="&amp;$A516,'Promo Calendar'!$G$6:$G$400,"&gt;0"),IFERROR(IF(INDEX('Chain Program'!$M$6:$M$120,MATCH($C516,'Chain Program'!$A$6:$A$120,0))="","Not set",INDEX('Chain Program'!$M$6:$M$120,MATCH($C516,'Chain Program'!$A$6:$A$120,0))),"Not set"))))</f>
        <v/>
      </c>
      <c r="I516" s="61" t="n"/>
      <c r="J516" s="45">
        <f>IF($I516="","",IF(NOT(ISNUMBER($H516)),"No plan price",IF(ABS($I516-$H516)&lt;0.005,"Match",IF($I516&gt;$H516,"Over plan","Under plan"))))</f>
        <v/>
      </c>
      <c r="K516" s="60" t="n"/>
      <c r="L516" s="60" t="n"/>
      <c r="M516" s="60" t="n"/>
      <c r="N516" s="60" t="n"/>
      <c r="O516" s="60" t="n"/>
      <c r="P516" s="62" t="n"/>
      <c r="Q516" s="62" t="n"/>
      <c r="R516" s="60" t="n"/>
      <c r="S516" s="59" t="n"/>
      <c r="T516" s="60" t="n"/>
      <c r="U516" s="59" t="n"/>
      <c r="V516" s="45">
        <f>IF(OR($A516="",$T516="",$T516="No Issue"),"",IF($T516="Resolved",IF($U516="","",$U516-$A516),TODAY()-$A516))</f>
        <v/>
      </c>
      <c r="W516" s="47">
        <f>IF(AND($C516&lt;&gt;"",$C516='Store History'!$C$4,OR('Store History'!$C$5="",$F516='Store History'!$C$5)),1,0)</f>
        <v/>
      </c>
      <c r="X516" s="47">
        <f>IF($W516=1,SUM($W516:$W$1005),"")</f>
        <v/>
      </c>
    </row>
    <row r="517">
      <c r="A517" s="59" t="n"/>
      <c r="B517" s="60" t="n"/>
      <c r="C517" s="60" t="n"/>
      <c r="D517" s="45">
        <f>IF($C517="","",IFERROR(INDEX('Chain Program'!$B$6:$B$120,MATCH($C517,'Chain Program'!$A$6:$A$120,0)),"Unknown ID"))</f>
        <v/>
      </c>
      <c r="E517" s="45">
        <f>IF($C517="","",IFERROR(INDEX('Chain Program'!$D$6:$D$120,MATCH($C517,'Chain Program'!$A$6:$A$120,0)),"Unknown ID"))</f>
        <v/>
      </c>
      <c r="F517" s="60" t="n"/>
      <c r="G517" s="60" t="n"/>
      <c r="H517" s="56">
        <f>IF(OR($C517="",$A517=""),"",IF(COUNTIFS('Promo Calendar'!$A$6:$A$400,$C517,'Promo Calendar'!$D$6:$D$400,IF($G517="","All",$G517),'Promo Calendar'!$I$6:$I$400,"&lt;="&amp;$A517,'Promo Calendar'!$J$6:$J$400,"&gt;="&amp;$A517,'Promo Calendar'!$G$6:$G$400,"&gt;0")&gt;0,_xlfn.MINIFS('Promo Calendar'!$G$6:$G$400,'Promo Calendar'!$A$6:$A$400,$C517,'Promo Calendar'!$D$6:$D$400,IF($G517="","All",$G517),'Promo Calendar'!$I$6:$I$400,"&lt;="&amp;$A517,'Promo Calendar'!$J$6:$J$400,"&gt;="&amp;$A517,'Promo Calendar'!$G$6:$G$400,"&gt;0"),IF(COUNTIFS('Promo Calendar'!$A$6:$A$400,$C517,'Promo Calendar'!$D$6:$D$400,"All",'Promo Calendar'!$I$6:$I$400,"&lt;="&amp;$A517,'Promo Calendar'!$J$6:$J$400,"&gt;="&amp;$A517,'Promo Calendar'!$G$6:$G$400,"&gt;0")&gt;0,_xlfn.MINIFS('Promo Calendar'!$G$6:$G$400,'Promo Calendar'!$A$6:$A$400,$C517,'Promo Calendar'!$D$6:$D$400,"All",'Promo Calendar'!$I$6:$I$400,"&lt;="&amp;$A517,'Promo Calendar'!$J$6:$J$400,"&gt;="&amp;$A517,'Promo Calendar'!$G$6:$G$400,"&gt;0"),IFERROR(IF(INDEX('Chain Program'!$M$6:$M$120,MATCH($C517,'Chain Program'!$A$6:$A$120,0))="","Not set",INDEX('Chain Program'!$M$6:$M$120,MATCH($C517,'Chain Program'!$A$6:$A$120,0))),"Not set"))))</f>
        <v/>
      </c>
      <c r="I517" s="61" t="n"/>
      <c r="J517" s="45">
        <f>IF($I517="","",IF(NOT(ISNUMBER($H517)),"No plan price",IF(ABS($I517-$H517)&lt;0.005,"Match",IF($I517&gt;$H517,"Over plan","Under plan"))))</f>
        <v/>
      </c>
      <c r="K517" s="60" t="n"/>
      <c r="L517" s="60" t="n"/>
      <c r="M517" s="60" t="n"/>
      <c r="N517" s="60" t="n"/>
      <c r="O517" s="60" t="n"/>
      <c r="P517" s="62" t="n"/>
      <c r="Q517" s="62" t="n"/>
      <c r="R517" s="60" t="n"/>
      <c r="S517" s="59" t="n"/>
      <c r="T517" s="60" t="n"/>
      <c r="U517" s="59" t="n"/>
      <c r="V517" s="45">
        <f>IF(OR($A517="",$T517="",$T517="No Issue"),"",IF($T517="Resolved",IF($U517="","",$U517-$A517),TODAY()-$A517))</f>
        <v/>
      </c>
      <c r="W517" s="47">
        <f>IF(AND($C517&lt;&gt;"",$C517='Store History'!$C$4,OR('Store History'!$C$5="",$F517='Store History'!$C$5)),1,0)</f>
        <v/>
      </c>
      <c r="X517" s="47">
        <f>IF($W517=1,SUM($W517:$W$1005),"")</f>
        <v/>
      </c>
    </row>
    <row r="518">
      <c r="A518" s="59" t="n"/>
      <c r="B518" s="60" t="n"/>
      <c r="C518" s="60" t="n"/>
      <c r="D518" s="45">
        <f>IF($C518="","",IFERROR(INDEX('Chain Program'!$B$6:$B$120,MATCH($C518,'Chain Program'!$A$6:$A$120,0)),"Unknown ID"))</f>
        <v/>
      </c>
      <c r="E518" s="45">
        <f>IF($C518="","",IFERROR(INDEX('Chain Program'!$D$6:$D$120,MATCH($C518,'Chain Program'!$A$6:$A$120,0)),"Unknown ID"))</f>
        <v/>
      </c>
      <c r="F518" s="60" t="n"/>
      <c r="G518" s="60" t="n"/>
      <c r="H518" s="56">
        <f>IF(OR($C518="",$A518=""),"",IF(COUNTIFS('Promo Calendar'!$A$6:$A$400,$C518,'Promo Calendar'!$D$6:$D$400,IF($G518="","All",$G518),'Promo Calendar'!$I$6:$I$400,"&lt;="&amp;$A518,'Promo Calendar'!$J$6:$J$400,"&gt;="&amp;$A518,'Promo Calendar'!$G$6:$G$400,"&gt;0")&gt;0,_xlfn.MINIFS('Promo Calendar'!$G$6:$G$400,'Promo Calendar'!$A$6:$A$400,$C518,'Promo Calendar'!$D$6:$D$400,IF($G518="","All",$G518),'Promo Calendar'!$I$6:$I$400,"&lt;="&amp;$A518,'Promo Calendar'!$J$6:$J$400,"&gt;="&amp;$A518,'Promo Calendar'!$G$6:$G$400,"&gt;0"),IF(COUNTIFS('Promo Calendar'!$A$6:$A$400,$C518,'Promo Calendar'!$D$6:$D$400,"All",'Promo Calendar'!$I$6:$I$400,"&lt;="&amp;$A518,'Promo Calendar'!$J$6:$J$400,"&gt;="&amp;$A518,'Promo Calendar'!$G$6:$G$400,"&gt;0")&gt;0,_xlfn.MINIFS('Promo Calendar'!$G$6:$G$400,'Promo Calendar'!$A$6:$A$400,$C518,'Promo Calendar'!$D$6:$D$400,"All",'Promo Calendar'!$I$6:$I$400,"&lt;="&amp;$A518,'Promo Calendar'!$J$6:$J$400,"&gt;="&amp;$A518,'Promo Calendar'!$G$6:$G$400,"&gt;0"),IFERROR(IF(INDEX('Chain Program'!$M$6:$M$120,MATCH($C518,'Chain Program'!$A$6:$A$120,0))="","Not set",INDEX('Chain Program'!$M$6:$M$120,MATCH($C518,'Chain Program'!$A$6:$A$120,0))),"Not set"))))</f>
        <v/>
      </c>
      <c r="I518" s="61" t="n"/>
      <c r="J518" s="45">
        <f>IF($I518="","",IF(NOT(ISNUMBER($H518)),"No plan price",IF(ABS($I518-$H518)&lt;0.005,"Match",IF($I518&gt;$H518,"Over plan","Under plan"))))</f>
        <v/>
      </c>
      <c r="K518" s="60" t="n"/>
      <c r="L518" s="60" t="n"/>
      <c r="M518" s="60" t="n"/>
      <c r="N518" s="60" t="n"/>
      <c r="O518" s="60" t="n"/>
      <c r="P518" s="62" t="n"/>
      <c r="Q518" s="62" t="n"/>
      <c r="R518" s="60" t="n"/>
      <c r="S518" s="59" t="n"/>
      <c r="T518" s="60" t="n"/>
      <c r="U518" s="59" t="n"/>
      <c r="V518" s="45">
        <f>IF(OR($A518="",$T518="",$T518="No Issue"),"",IF($T518="Resolved",IF($U518="","",$U518-$A518),TODAY()-$A518))</f>
        <v/>
      </c>
      <c r="W518" s="47">
        <f>IF(AND($C518&lt;&gt;"",$C518='Store History'!$C$4,OR('Store History'!$C$5="",$F518='Store History'!$C$5)),1,0)</f>
        <v/>
      </c>
      <c r="X518" s="47">
        <f>IF($W518=1,SUM($W518:$W$1005),"")</f>
        <v/>
      </c>
    </row>
    <row r="519">
      <c r="A519" s="59" t="n"/>
      <c r="B519" s="60" t="n"/>
      <c r="C519" s="60" t="n"/>
      <c r="D519" s="45">
        <f>IF($C519="","",IFERROR(INDEX('Chain Program'!$B$6:$B$120,MATCH($C519,'Chain Program'!$A$6:$A$120,0)),"Unknown ID"))</f>
        <v/>
      </c>
      <c r="E519" s="45">
        <f>IF($C519="","",IFERROR(INDEX('Chain Program'!$D$6:$D$120,MATCH($C519,'Chain Program'!$A$6:$A$120,0)),"Unknown ID"))</f>
        <v/>
      </c>
      <c r="F519" s="60" t="n"/>
      <c r="G519" s="60" t="n"/>
      <c r="H519" s="56">
        <f>IF(OR($C519="",$A519=""),"",IF(COUNTIFS('Promo Calendar'!$A$6:$A$400,$C519,'Promo Calendar'!$D$6:$D$400,IF($G519="","All",$G519),'Promo Calendar'!$I$6:$I$400,"&lt;="&amp;$A519,'Promo Calendar'!$J$6:$J$400,"&gt;="&amp;$A519,'Promo Calendar'!$G$6:$G$400,"&gt;0")&gt;0,_xlfn.MINIFS('Promo Calendar'!$G$6:$G$400,'Promo Calendar'!$A$6:$A$400,$C519,'Promo Calendar'!$D$6:$D$400,IF($G519="","All",$G519),'Promo Calendar'!$I$6:$I$400,"&lt;="&amp;$A519,'Promo Calendar'!$J$6:$J$400,"&gt;="&amp;$A519,'Promo Calendar'!$G$6:$G$400,"&gt;0"),IF(COUNTIFS('Promo Calendar'!$A$6:$A$400,$C519,'Promo Calendar'!$D$6:$D$400,"All",'Promo Calendar'!$I$6:$I$400,"&lt;="&amp;$A519,'Promo Calendar'!$J$6:$J$400,"&gt;="&amp;$A519,'Promo Calendar'!$G$6:$G$400,"&gt;0")&gt;0,_xlfn.MINIFS('Promo Calendar'!$G$6:$G$400,'Promo Calendar'!$A$6:$A$400,$C519,'Promo Calendar'!$D$6:$D$400,"All",'Promo Calendar'!$I$6:$I$400,"&lt;="&amp;$A519,'Promo Calendar'!$J$6:$J$400,"&gt;="&amp;$A519,'Promo Calendar'!$G$6:$G$400,"&gt;0"),IFERROR(IF(INDEX('Chain Program'!$M$6:$M$120,MATCH($C519,'Chain Program'!$A$6:$A$120,0))="","Not set",INDEX('Chain Program'!$M$6:$M$120,MATCH($C519,'Chain Program'!$A$6:$A$120,0))),"Not set"))))</f>
        <v/>
      </c>
      <c r="I519" s="61" t="n"/>
      <c r="J519" s="45">
        <f>IF($I519="","",IF(NOT(ISNUMBER($H519)),"No plan price",IF(ABS($I519-$H519)&lt;0.005,"Match",IF($I519&gt;$H519,"Over plan","Under plan"))))</f>
        <v/>
      </c>
      <c r="K519" s="60" t="n"/>
      <c r="L519" s="60" t="n"/>
      <c r="M519" s="60" t="n"/>
      <c r="N519" s="60" t="n"/>
      <c r="O519" s="60" t="n"/>
      <c r="P519" s="62" t="n"/>
      <c r="Q519" s="62" t="n"/>
      <c r="R519" s="60" t="n"/>
      <c r="S519" s="59" t="n"/>
      <c r="T519" s="60" t="n"/>
      <c r="U519" s="59" t="n"/>
      <c r="V519" s="45">
        <f>IF(OR($A519="",$T519="",$T519="No Issue"),"",IF($T519="Resolved",IF($U519="","",$U519-$A519),TODAY()-$A519))</f>
        <v/>
      </c>
      <c r="W519" s="47">
        <f>IF(AND($C519&lt;&gt;"",$C519='Store History'!$C$4,OR('Store History'!$C$5="",$F519='Store History'!$C$5)),1,0)</f>
        <v/>
      </c>
      <c r="X519" s="47">
        <f>IF($W519=1,SUM($W519:$W$1005),"")</f>
        <v/>
      </c>
    </row>
    <row r="520">
      <c r="A520" s="59" t="n"/>
      <c r="B520" s="60" t="n"/>
      <c r="C520" s="60" t="n"/>
      <c r="D520" s="45">
        <f>IF($C520="","",IFERROR(INDEX('Chain Program'!$B$6:$B$120,MATCH($C520,'Chain Program'!$A$6:$A$120,0)),"Unknown ID"))</f>
        <v/>
      </c>
      <c r="E520" s="45">
        <f>IF($C520="","",IFERROR(INDEX('Chain Program'!$D$6:$D$120,MATCH($C520,'Chain Program'!$A$6:$A$120,0)),"Unknown ID"))</f>
        <v/>
      </c>
      <c r="F520" s="60" t="n"/>
      <c r="G520" s="60" t="n"/>
      <c r="H520" s="56">
        <f>IF(OR($C520="",$A520=""),"",IF(COUNTIFS('Promo Calendar'!$A$6:$A$400,$C520,'Promo Calendar'!$D$6:$D$400,IF($G520="","All",$G520),'Promo Calendar'!$I$6:$I$400,"&lt;="&amp;$A520,'Promo Calendar'!$J$6:$J$400,"&gt;="&amp;$A520,'Promo Calendar'!$G$6:$G$400,"&gt;0")&gt;0,_xlfn.MINIFS('Promo Calendar'!$G$6:$G$400,'Promo Calendar'!$A$6:$A$400,$C520,'Promo Calendar'!$D$6:$D$400,IF($G520="","All",$G520),'Promo Calendar'!$I$6:$I$400,"&lt;="&amp;$A520,'Promo Calendar'!$J$6:$J$400,"&gt;="&amp;$A520,'Promo Calendar'!$G$6:$G$400,"&gt;0"),IF(COUNTIFS('Promo Calendar'!$A$6:$A$400,$C520,'Promo Calendar'!$D$6:$D$400,"All",'Promo Calendar'!$I$6:$I$400,"&lt;="&amp;$A520,'Promo Calendar'!$J$6:$J$400,"&gt;="&amp;$A520,'Promo Calendar'!$G$6:$G$400,"&gt;0")&gt;0,_xlfn.MINIFS('Promo Calendar'!$G$6:$G$400,'Promo Calendar'!$A$6:$A$400,$C520,'Promo Calendar'!$D$6:$D$400,"All",'Promo Calendar'!$I$6:$I$400,"&lt;="&amp;$A520,'Promo Calendar'!$J$6:$J$400,"&gt;="&amp;$A520,'Promo Calendar'!$G$6:$G$400,"&gt;0"),IFERROR(IF(INDEX('Chain Program'!$M$6:$M$120,MATCH($C520,'Chain Program'!$A$6:$A$120,0))="","Not set",INDEX('Chain Program'!$M$6:$M$120,MATCH($C520,'Chain Program'!$A$6:$A$120,0))),"Not set"))))</f>
        <v/>
      </c>
      <c r="I520" s="61" t="n"/>
      <c r="J520" s="45">
        <f>IF($I520="","",IF(NOT(ISNUMBER($H520)),"No plan price",IF(ABS($I520-$H520)&lt;0.005,"Match",IF($I520&gt;$H520,"Over plan","Under plan"))))</f>
        <v/>
      </c>
      <c r="K520" s="60" t="n"/>
      <c r="L520" s="60" t="n"/>
      <c r="M520" s="60" t="n"/>
      <c r="N520" s="60" t="n"/>
      <c r="O520" s="60" t="n"/>
      <c r="P520" s="62" t="n"/>
      <c r="Q520" s="62" t="n"/>
      <c r="R520" s="60" t="n"/>
      <c r="S520" s="59" t="n"/>
      <c r="T520" s="60" t="n"/>
      <c r="U520" s="59" t="n"/>
      <c r="V520" s="45">
        <f>IF(OR($A520="",$T520="",$T520="No Issue"),"",IF($T520="Resolved",IF($U520="","",$U520-$A520),TODAY()-$A520))</f>
        <v/>
      </c>
      <c r="W520" s="47">
        <f>IF(AND($C520&lt;&gt;"",$C520='Store History'!$C$4,OR('Store History'!$C$5="",$F520='Store History'!$C$5)),1,0)</f>
        <v/>
      </c>
      <c r="X520" s="47">
        <f>IF($W520=1,SUM($W520:$W$1005),"")</f>
        <v/>
      </c>
    </row>
    <row r="521">
      <c r="A521" s="59" t="n"/>
      <c r="B521" s="60" t="n"/>
      <c r="C521" s="60" t="n"/>
      <c r="D521" s="45">
        <f>IF($C521="","",IFERROR(INDEX('Chain Program'!$B$6:$B$120,MATCH($C521,'Chain Program'!$A$6:$A$120,0)),"Unknown ID"))</f>
        <v/>
      </c>
      <c r="E521" s="45">
        <f>IF($C521="","",IFERROR(INDEX('Chain Program'!$D$6:$D$120,MATCH($C521,'Chain Program'!$A$6:$A$120,0)),"Unknown ID"))</f>
        <v/>
      </c>
      <c r="F521" s="60" t="n"/>
      <c r="G521" s="60" t="n"/>
      <c r="H521" s="56">
        <f>IF(OR($C521="",$A521=""),"",IF(COUNTIFS('Promo Calendar'!$A$6:$A$400,$C521,'Promo Calendar'!$D$6:$D$400,IF($G521="","All",$G521),'Promo Calendar'!$I$6:$I$400,"&lt;="&amp;$A521,'Promo Calendar'!$J$6:$J$400,"&gt;="&amp;$A521,'Promo Calendar'!$G$6:$G$400,"&gt;0")&gt;0,_xlfn.MINIFS('Promo Calendar'!$G$6:$G$400,'Promo Calendar'!$A$6:$A$400,$C521,'Promo Calendar'!$D$6:$D$400,IF($G521="","All",$G521),'Promo Calendar'!$I$6:$I$400,"&lt;="&amp;$A521,'Promo Calendar'!$J$6:$J$400,"&gt;="&amp;$A521,'Promo Calendar'!$G$6:$G$400,"&gt;0"),IF(COUNTIFS('Promo Calendar'!$A$6:$A$400,$C521,'Promo Calendar'!$D$6:$D$400,"All",'Promo Calendar'!$I$6:$I$400,"&lt;="&amp;$A521,'Promo Calendar'!$J$6:$J$400,"&gt;="&amp;$A521,'Promo Calendar'!$G$6:$G$400,"&gt;0")&gt;0,_xlfn.MINIFS('Promo Calendar'!$G$6:$G$400,'Promo Calendar'!$A$6:$A$400,$C521,'Promo Calendar'!$D$6:$D$400,"All",'Promo Calendar'!$I$6:$I$400,"&lt;="&amp;$A521,'Promo Calendar'!$J$6:$J$400,"&gt;="&amp;$A521,'Promo Calendar'!$G$6:$G$400,"&gt;0"),IFERROR(IF(INDEX('Chain Program'!$M$6:$M$120,MATCH($C521,'Chain Program'!$A$6:$A$120,0))="","Not set",INDEX('Chain Program'!$M$6:$M$120,MATCH($C521,'Chain Program'!$A$6:$A$120,0))),"Not set"))))</f>
        <v/>
      </c>
      <c r="I521" s="61" t="n"/>
      <c r="J521" s="45">
        <f>IF($I521="","",IF(NOT(ISNUMBER($H521)),"No plan price",IF(ABS($I521-$H521)&lt;0.005,"Match",IF($I521&gt;$H521,"Over plan","Under plan"))))</f>
        <v/>
      </c>
      <c r="K521" s="60" t="n"/>
      <c r="L521" s="60" t="n"/>
      <c r="M521" s="60" t="n"/>
      <c r="N521" s="60" t="n"/>
      <c r="O521" s="60" t="n"/>
      <c r="P521" s="62" t="n"/>
      <c r="Q521" s="62" t="n"/>
      <c r="R521" s="60" t="n"/>
      <c r="S521" s="59" t="n"/>
      <c r="T521" s="60" t="n"/>
      <c r="U521" s="59" t="n"/>
      <c r="V521" s="45">
        <f>IF(OR($A521="",$T521="",$T521="No Issue"),"",IF($T521="Resolved",IF($U521="","",$U521-$A521),TODAY()-$A521))</f>
        <v/>
      </c>
      <c r="W521" s="47">
        <f>IF(AND($C521&lt;&gt;"",$C521='Store History'!$C$4,OR('Store History'!$C$5="",$F521='Store History'!$C$5)),1,0)</f>
        <v/>
      </c>
      <c r="X521" s="47">
        <f>IF($W521=1,SUM($W521:$W$1005),"")</f>
        <v/>
      </c>
    </row>
    <row r="522">
      <c r="A522" s="59" t="n"/>
      <c r="B522" s="60" t="n"/>
      <c r="C522" s="60" t="n"/>
      <c r="D522" s="45">
        <f>IF($C522="","",IFERROR(INDEX('Chain Program'!$B$6:$B$120,MATCH($C522,'Chain Program'!$A$6:$A$120,0)),"Unknown ID"))</f>
        <v/>
      </c>
      <c r="E522" s="45">
        <f>IF($C522="","",IFERROR(INDEX('Chain Program'!$D$6:$D$120,MATCH($C522,'Chain Program'!$A$6:$A$120,0)),"Unknown ID"))</f>
        <v/>
      </c>
      <c r="F522" s="60" t="n"/>
      <c r="G522" s="60" t="n"/>
      <c r="H522" s="56">
        <f>IF(OR($C522="",$A522=""),"",IF(COUNTIFS('Promo Calendar'!$A$6:$A$400,$C522,'Promo Calendar'!$D$6:$D$400,IF($G522="","All",$G522),'Promo Calendar'!$I$6:$I$400,"&lt;="&amp;$A522,'Promo Calendar'!$J$6:$J$400,"&gt;="&amp;$A522,'Promo Calendar'!$G$6:$G$400,"&gt;0")&gt;0,_xlfn.MINIFS('Promo Calendar'!$G$6:$G$400,'Promo Calendar'!$A$6:$A$400,$C522,'Promo Calendar'!$D$6:$D$400,IF($G522="","All",$G522),'Promo Calendar'!$I$6:$I$400,"&lt;="&amp;$A522,'Promo Calendar'!$J$6:$J$400,"&gt;="&amp;$A522,'Promo Calendar'!$G$6:$G$400,"&gt;0"),IF(COUNTIFS('Promo Calendar'!$A$6:$A$400,$C522,'Promo Calendar'!$D$6:$D$400,"All",'Promo Calendar'!$I$6:$I$400,"&lt;="&amp;$A522,'Promo Calendar'!$J$6:$J$400,"&gt;="&amp;$A522,'Promo Calendar'!$G$6:$G$400,"&gt;0")&gt;0,_xlfn.MINIFS('Promo Calendar'!$G$6:$G$400,'Promo Calendar'!$A$6:$A$400,$C522,'Promo Calendar'!$D$6:$D$400,"All",'Promo Calendar'!$I$6:$I$400,"&lt;="&amp;$A522,'Promo Calendar'!$J$6:$J$400,"&gt;="&amp;$A522,'Promo Calendar'!$G$6:$G$400,"&gt;0"),IFERROR(IF(INDEX('Chain Program'!$M$6:$M$120,MATCH($C522,'Chain Program'!$A$6:$A$120,0))="","Not set",INDEX('Chain Program'!$M$6:$M$120,MATCH($C522,'Chain Program'!$A$6:$A$120,0))),"Not set"))))</f>
        <v/>
      </c>
      <c r="I522" s="61" t="n"/>
      <c r="J522" s="45">
        <f>IF($I522="","",IF(NOT(ISNUMBER($H522)),"No plan price",IF(ABS($I522-$H522)&lt;0.005,"Match",IF($I522&gt;$H522,"Over plan","Under plan"))))</f>
        <v/>
      </c>
      <c r="K522" s="60" t="n"/>
      <c r="L522" s="60" t="n"/>
      <c r="M522" s="60" t="n"/>
      <c r="N522" s="60" t="n"/>
      <c r="O522" s="60" t="n"/>
      <c r="P522" s="62" t="n"/>
      <c r="Q522" s="62" t="n"/>
      <c r="R522" s="60" t="n"/>
      <c r="S522" s="59" t="n"/>
      <c r="T522" s="60" t="n"/>
      <c r="U522" s="59" t="n"/>
      <c r="V522" s="45">
        <f>IF(OR($A522="",$T522="",$T522="No Issue"),"",IF($T522="Resolved",IF($U522="","",$U522-$A522),TODAY()-$A522))</f>
        <v/>
      </c>
      <c r="W522" s="47">
        <f>IF(AND($C522&lt;&gt;"",$C522='Store History'!$C$4,OR('Store History'!$C$5="",$F522='Store History'!$C$5)),1,0)</f>
        <v/>
      </c>
      <c r="X522" s="47">
        <f>IF($W522=1,SUM($W522:$W$1005),"")</f>
        <v/>
      </c>
    </row>
    <row r="523">
      <c r="A523" s="59" t="n"/>
      <c r="B523" s="60" t="n"/>
      <c r="C523" s="60" t="n"/>
      <c r="D523" s="45">
        <f>IF($C523="","",IFERROR(INDEX('Chain Program'!$B$6:$B$120,MATCH($C523,'Chain Program'!$A$6:$A$120,0)),"Unknown ID"))</f>
        <v/>
      </c>
      <c r="E523" s="45">
        <f>IF($C523="","",IFERROR(INDEX('Chain Program'!$D$6:$D$120,MATCH($C523,'Chain Program'!$A$6:$A$120,0)),"Unknown ID"))</f>
        <v/>
      </c>
      <c r="F523" s="60" t="n"/>
      <c r="G523" s="60" t="n"/>
      <c r="H523" s="56">
        <f>IF(OR($C523="",$A523=""),"",IF(COUNTIFS('Promo Calendar'!$A$6:$A$400,$C523,'Promo Calendar'!$D$6:$D$400,IF($G523="","All",$G523),'Promo Calendar'!$I$6:$I$400,"&lt;="&amp;$A523,'Promo Calendar'!$J$6:$J$400,"&gt;="&amp;$A523,'Promo Calendar'!$G$6:$G$400,"&gt;0")&gt;0,_xlfn.MINIFS('Promo Calendar'!$G$6:$G$400,'Promo Calendar'!$A$6:$A$400,$C523,'Promo Calendar'!$D$6:$D$400,IF($G523="","All",$G523),'Promo Calendar'!$I$6:$I$400,"&lt;="&amp;$A523,'Promo Calendar'!$J$6:$J$400,"&gt;="&amp;$A523,'Promo Calendar'!$G$6:$G$400,"&gt;0"),IF(COUNTIFS('Promo Calendar'!$A$6:$A$400,$C523,'Promo Calendar'!$D$6:$D$400,"All",'Promo Calendar'!$I$6:$I$400,"&lt;="&amp;$A523,'Promo Calendar'!$J$6:$J$400,"&gt;="&amp;$A523,'Promo Calendar'!$G$6:$G$400,"&gt;0")&gt;0,_xlfn.MINIFS('Promo Calendar'!$G$6:$G$400,'Promo Calendar'!$A$6:$A$400,$C523,'Promo Calendar'!$D$6:$D$400,"All",'Promo Calendar'!$I$6:$I$400,"&lt;="&amp;$A523,'Promo Calendar'!$J$6:$J$400,"&gt;="&amp;$A523,'Promo Calendar'!$G$6:$G$400,"&gt;0"),IFERROR(IF(INDEX('Chain Program'!$M$6:$M$120,MATCH($C523,'Chain Program'!$A$6:$A$120,0))="","Not set",INDEX('Chain Program'!$M$6:$M$120,MATCH($C523,'Chain Program'!$A$6:$A$120,0))),"Not set"))))</f>
        <v/>
      </c>
      <c r="I523" s="61" t="n"/>
      <c r="J523" s="45">
        <f>IF($I523="","",IF(NOT(ISNUMBER($H523)),"No plan price",IF(ABS($I523-$H523)&lt;0.005,"Match",IF($I523&gt;$H523,"Over plan","Under plan"))))</f>
        <v/>
      </c>
      <c r="K523" s="60" t="n"/>
      <c r="L523" s="60" t="n"/>
      <c r="M523" s="60" t="n"/>
      <c r="N523" s="60" t="n"/>
      <c r="O523" s="60" t="n"/>
      <c r="P523" s="62" t="n"/>
      <c r="Q523" s="62" t="n"/>
      <c r="R523" s="60" t="n"/>
      <c r="S523" s="59" t="n"/>
      <c r="T523" s="60" t="n"/>
      <c r="U523" s="59" t="n"/>
      <c r="V523" s="45">
        <f>IF(OR($A523="",$T523="",$T523="No Issue"),"",IF($T523="Resolved",IF($U523="","",$U523-$A523),TODAY()-$A523))</f>
        <v/>
      </c>
      <c r="W523" s="47">
        <f>IF(AND($C523&lt;&gt;"",$C523='Store History'!$C$4,OR('Store History'!$C$5="",$F523='Store History'!$C$5)),1,0)</f>
        <v/>
      </c>
      <c r="X523" s="47">
        <f>IF($W523=1,SUM($W523:$W$1005),"")</f>
        <v/>
      </c>
    </row>
    <row r="524">
      <c r="A524" s="59" t="n"/>
      <c r="B524" s="60" t="n"/>
      <c r="C524" s="60" t="n"/>
      <c r="D524" s="45">
        <f>IF($C524="","",IFERROR(INDEX('Chain Program'!$B$6:$B$120,MATCH($C524,'Chain Program'!$A$6:$A$120,0)),"Unknown ID"))</f>
        <v/>
      </c>
      <c r="E524" s="45">
        <f>IF($C524="","",IFERROR(INDEX('Chain Program'!$D$6:$D$120,MATCH($C524,'Chain Program'!$A$6:$A$120,0)),"Unknown ID"))</f>
        <v/>
      </c>
      <c r="F524" s="60" t="n"/>
      <c r="G524" s="60" t="n"/>
      <c r="H524" s="56">
        <f>IF(OR($C524="",$A524=""),"",IF(COUNTIFS('Promo Calendar'!$A$6:$A$400,$C524,'Promo Calendar'!$D$6:$D$400,IF($G524="","All",$G524),'Promo Calendar'!$I$6:$I$400,"&lt;="&amp;$A524,'Promo Calendar'!$J$6:$J$400,"&gt;="&amp;$A524,'Promo Calendar'!$G$6:$G$400,"&gt;0")&gt;0,_xlfn.MINIFS('Promo Calendar'!$G$6:$G$400,'Promo Calendar'!$A$6:$A$400,$C524,'Promo Calendar'!$D$6:$D$400,IF($G524="","All",$G524),'Promo Calendar'!$I$6:$I$400,"&lt;="&amp;$A524,'Promo Calendar'!$J$6:$J$400,"&gt;="&amp;$A524,'Promo Calendar'!$G$6:$G$400,"&gt;0"),IF(COUNTIFS('Promo Calendar'!$A$6:$A$400,$C524,'Promo Calendar'!$D$6:$D$400,"All",'Promo Calendar'!$I$6:$I$400,"&lt;="&amp;$A524,'Promo Calendar'!$J$6:$J$400,"&gt;="&amp;$A524,'Promo Calendar'!$G$6:$G$400,"&gt;0")&gt;0,_xlfn.MINIFS('Promo Calendar'!$G$6:$G$400,'Promo Calendar'!$A$6:$A$400,$C524,'Promo Calendar'!$D$6:$D$400,"All",'Promo Calendar'!$I$6:$I$400,"&lt;="&amp;$A524,'Promo Calendar'!$J$6:$J$400,"&gt;="&amp;$A524,'Promo Calendar'!$G$6:$G$400,"&gt;0"),IFERROR(IF(INDEX('Chain Program'!$M$6:$M$120,MATCH($C524,'Chain Program'!$A$6:$A$120,0))="","Not set",INDEX('Chain Program'!$M$6:$M$120,MATCH($C524,'Chain Program'!$A$6:$A$120,0))),"Not set"))))</f>
        <v/>
      </c>
      <c r="I524" s="61" t="n"/>
      <c r="J524" s="45">
        <f>IF($I524="","",IF(NOT(ISNUMBER($H524)),"No plan price",IF(ABS($I524-$H524)&lt;0.005,"Match",IF($I524&gt;$H524,"Over plan","Under plan"))))</f>
        <v/>
      </c>
      <c r="K524" s="60" t="n"/>
      <c r="L524" s="60" t="n"/>
      <c r="M524" s="60" t="n"/>
      <c r="N524" s="60" t="n"/>
      <c r="O524" s="60" t="n"/>
      <c r="P524" s="62" t="n"/>
      <c r="Q524" s="62" t="n"/>
      <c r="R524" s="60" t="n"/>
      <c r="S524" s="59" t="n"/>
      <c r="T524" s="60" t="n"/>
      <c r="U524" s="59" t="n"/>
      <c r="V524" s="45">
        <f>IF(OR($A524="",$T524="",$T524="No Issue"),"",IF($T524="Resolved",IF($U524="","",$U524-$A524),TODAY()-$A524))</f>
        <v/>
      </c>
      <c r="W524" s="47">
        <f>IF(AND($C524&lt;&gt;"",$C524='Store History'!$C$4,OR('Store History'!$C$5="",$F524='Store History'!$C$5)),1,0)</f>
        <v/>
      </c>
      <c r="X524" s="47">
        <f>IF($W524=1,SUM($W524:$W$1005),"")</f>
        <v/>
      </c>
    </row>
    <row r="525">
      <c r="A525" s="59" t="n"/>
      <c r="B525" s="60" t="n"/>
      <c r="C525" s="60" t="n"/>
      <c r="D525" s="45">
        <f>IF($C525="","",IFERROR(INDEX('Chain Program'!$B$6:$B$120,MATCH($C525,'Chain Program'!$A$6:$A$120,0)),"Unknown ID"))</f>
        <v/>
      </c>
      <c r="E525" s="45">
        <f>IF($C525="","",IFERROR(INDEX('Chain Program'!$D$6:$D$120,MATCH($C525,'Chain Program'!$A$6:$A$120,0)),"Unknown ID"))</f>
        <v/>
      </c>
      <c r="F525" s="60" t="n"/>
      <c r="G525" s="60" t="n"/>
      <c r="H525" s="56">
        <f>IF(OR($C525="",$A525=""),"",IF(COUNTIFS('Promo Calendar'!$A$6:$A$400,$C525,'Promo Calendar'!$D$6:$D$400,IF($G525="","All",$G525),'Promo Calendar'!$I$6:$I$400,"&lt;="&amp;$A525,'Promo Calendar'!$J$6:$J$400,"&gt;="&amp;$A525,'Promo Calendar'!$G$6:$G$400,"&gt;0")&gt;0,_xlfn.MINIFS('Promo Calendar'!$G$6:$G$400,'Promo Calendar'!$A$6:$A$400,$C525,'Promo Calendar'!$D$6:$D$400,IF($G525="","All",$G525),'Promo Calendar'!$I$6:$I$400,"&lt;="&amp;$A525,'Promo Calendar'!$J$6:$J$400,"&gt;="&amp;$A525,'Promo Calendar'!$G$6:$G$400,"&gt;0"),IF(COUNTIFS('Promo Calendar'!$A$6:$A$400,$C525,'Promo Calendar'!$D$6:$D$400,"All",'Promo Calendar'!$I$6:$I$400,"&lt;="&amp;$A525,'Promo Calendar'!$J$6:$J$400,"&gt;="&amp;$A525,'Promo Calendar'!$G$6:$G$400,"&gt;0")&gt;0,_xlfn.MINIFS('Promo Calendar'!$G$6:$G$400,'Promo Calendar'!$A$6:$A$400,$C525,'Promo Calendar'!$D$6:$D$400,"All",'Promo Calendar'!$I$6:$I$400,"&lt;="&amp;$A525,'Promo Calendar'!$J$6:$J$400,"&gt;="&amp;$A525,'Promo Calendar'!$G$6:$G$400,"&gt;0"),IFERROR(IF(INDEX('Chain Program'!$M$6:$M$120,MATCH($C525,'Chain Program'!$A$6:$A$120,0))="","Not set",INDEX('Chain Program'!$M$6:$M$120,MATCH($C525,'Chain Program'!$A$6:$A$120,0))),"Not set"))))</f>
        <v/>
      </c>
      <c r="I525" s="61" t="n"/>
      <c r="J525" s="45">
        <f>IF($I525="","",IF(NOT(ISNUMBER($H525)),"No plan price",IF(ABS($I525-$H525)&lt;0.005,"Match",IF($I525&gt;$H525,"Over plan","Under plan"))))</f>
        <v/>
      </c>
      <c r="K525" s="60" t="n"/>
      <c r="L525" s="60" t="n"/>
      <c r="M525" s="60" t="n"/>
      <c r="N525" s="60" t="n"/>
      <c r="O525" s="60" t="n"/>
      <c r="P525" s="62" t="n"/>
      <c r="Q525" s="62" t="n"/>
      <c r="R525" s="60" t="n"/>
      <c r="S525" s="59" t="n"/>
      <c r="T525" s="60" t="n"/>
      <c r="U525" s="59" t="n"/>
      <c r="V525" s="45">
        <f>IF(OR($A525="",$T525="",$T525="No Issue"),"",IF($T525="Resolved",IF($U525="","",$U525-$A525),TODAY()-$A525))</f>
        <v/>
      </c>
      <c r="W525" s="47">
        <f>IF(AND($C525&lt;&gt;"",$C525='Store History'!$C$4,OR('Store History'!$C$5="",$F525='Store History'!$C$5)),1,0)</f>
        <v/>
      </c>
      <c r="X525" s="47">
        <f>IF($W525=1,SUM($W525:$W$1005),"")</f>
        <v/>
      </c>
    </row>
    <row r="526">
      <c r="A526" s="59" t="n"/>
      <c r="B526" s="60" t="n"/>
      <c r="C526" s="60" t="n"/>
      <c r="D526" s="45">
        <f>IF($C526="","",IFERROR(INDEX('Chain Program'!$B$6:$B$120,MATCH($C526,'Chain Program'!$A$6:$A$120,0)),"Unknown ID"))</f>
        <v/>
      </c>
      <c r="E526" s="45">
        <f>IF($C526="","",IFERROR(INDEX('Chain Program'!$D$6:$D$120,MATCH($C526,'Chain Program'!$A$6:$A$120,0)),"Unknown ID"))</f>
        <v/>
      </c>
      <c r="F526" s="60" t="n"/>
      <c r="G526" s="60" t="n"/>
      <c r="H526" s="56">
        <f>IF(OR($C526="",$A526=""),"",IF(COUNTIFS('Promo Calendar'!$A$6:$A$400,$C526,'Promo Calendar'!$D$6:$D$400,IF($G526="","All",$G526),'Promo Calendar'!$I$6:$I$400,"&lt;="&amp;$A526,'Promo Calendar'!$J$6:$J$400,"&gt;="&amp;$A526,'Promo Calendar'!$G$6:$G$400,"&gt;0")&gt;0,_xlfn.MINIFS('Promo Calendar'!$G$6:$G$400,'Promo Calendar'!$A$6:$A$400,$C526,'Promo Calendar'!$D$6:$D$400,IF($G526="","All",$G526),'Promo Calendar'!$I$6:$I$400,"&lt;="&amp;$A526,'Promo Calendar'!$J$6:$J$400,"&gt;="&amp;$A526,'Promo Calendar'!$G$6:$G$400,"&gt;0"),IF(COUNTIFS('Promo Calendar'!$A$6:$A$400,$C526,'Promo Calendar'!$D$6:$D$400,"All",'Promo Calendar'!$I$6:$I$400,"&lt;="&amp;$A526,'Promo Calendar'!$J$6:$J$400,"&gt;="&amp;$A526,'Promo Calendar'!$G$6:$G$400,"&gt;0")&gt;0,_xlfn.MINIFS('Promo Calendar'!$G$6:$G$400,'Promo Calendar'!$A$6:$A$400,$C526,'Promo Calendar'!$D$6:$D$400,"All",'Promo Calendar'!$I$6:$I$400,"&lt;="&amp;$A526,'Promo Calendar'!$J$6:$J$400,"&gt;="&amp;$A526,'Promo Calendar'!$G$6:$G$400,"&gt;0"),IFERROR(IF(INDEX('Chain Program'!$M$6:$M$120,MATCH($C526,'Chain Program'!$A$6:$A$120,0))="","Not set",INDEX('Chain Program'!$M$6:$M$120,MATCH($C526,'Chain Program'!$A$6:$A$120,0))),"Not set"))))</f>
        <v/>
      </c>
      <c r="I526" s="61" t="n"/>
      <c r="J526" s="45">
        <f>IF($I526="","",IF(NOT(ISNUMBER($H526)),"No plan price",IF(ABS($I526-$H526)&lt;0.005,"Match",IF($I526&gt;$H526,"Over plan","Under plan"))))</f>
        <v/>
      </c>
      <c r="K526" s="60" t="n"/>
      <c r="L526" s="60" t="n"/>
      <c r="M526" s="60" t="n"/>
      <c r="N526" s="60" t="n"/>
      <c r="O526" s="60" t="n"/>
      <c r="P526" s="62" t="n"/>
      <c r="Q526" s="62" t="n"/>
      <c r="R526" s="60" t="n"/>
      <c r="S526" s="59" t="n"/>
      <c r="T526" s="60" t="n"/>
      <c r="U526" s="59" t="n"/>
      <c r="V526" s="45">
        <f>IF(OR($A526="",$T526="",$T526="No Issue"),"",IF($T526="Resolved",IF($U526="","",$U526-$A526),TODAY()-$A526))</f>
        <v/>
      </c>
      <c r="W526" s="47">
        <f>IF(AND($C526&lt;&gt;"",$C526='Store History'!$C$4,OR('Store History'!$C$5="",$F526='Store History'!$C$5)),1,0)</f>
        <v/>
      </c>
      <c r="X526" s="47">
        <f>IF($W526=1,SUM($W526:$W$1005),"")</f>
        <v/>
      </c>
    </row>
    <row r="527">
      <c r="A527" s="59" t="n"/>
      <c r="B527" s="60" t="n"/>
      <c r="C527" s="60" t="n"/>
      <c r="D527" s="45">
        <f>IF($C527="","",IFERROR(INDEX('Chain Program'!$B$6:$B$120,MATCH($C527,'Chain Program'!$A$6:$A$120,0)),"Unknown ID"))</f>
        <v/>
      </c>
      <c r="E527" s="45">
        <f>IF($C527="","",IFERROR(INDEX('Chain Program'!$D$6:$D$120,MATCH($C527,'Chain Program'!$A$6:$A$120,0)),"Unknown ID"))</f>
        <v/>
      </c>
      <c r="F527" s="60" t="n"/>
      <c r="G527" s="60" t="n"/>
      <c r="H527" s="56">
        <f>IF(OR($C527="",$A527=""),"",IF(COUNTIFS('Promo Calendar'!$A$6:$A$400,$C527,'Promo Calendar'!$D$6:$D$400,IF($G527="","All",$G527),'Promo Calendar'!$I$6:$I$400,"&lt;="&amp;$A527,'Promo Calendar'!$J$6:$J$400,"&gt;="&amp;$A527,'Promo Calendar'!$G$6:$G$400,"&gt;0")&gt;0,_xlfn.MINIFS('Promo Calendar'!$G$6:$G$400,'Promo Calendar'!$A$6:$A$400,$C527,'Promo Calendar'!$D$6:$D$400,IF($G527="","All",$G527),'Promo Calendar'!$I$6:$I$400,"&lt;="&amp;$A527,'Promo Calendar'!$J$6:$J$400,"&gt;="&amp;$A527,'Promo Calendar'!$G$6:$G$400,"&gt;0"),IF(COUNTIFS('Promo Calendar'!$A$6:$A$400,$C527,'Promo Calendar'!$D$6:$D$400,"All",'Promo Calendar'!$I$6:$I$400,"&lt;="&amp;$A527,'Promo Calendar'!$J$6:$J$400,"&gt;="&amp;$A527,'Promo Calendar'!$G$6:$G$400,"&gt;0")&gt;0,_xlfn.MINIFS('Promo Calendar'!$G$6:$G$400,'Promo Calendar'!$A$6:$A$400,$C527,'Promo Calendar'!$D$6:$D$400,"All",'Promo Calendar'!$I$6:$I$400,"&lt;="&amp;$A527,'Promo Calendar'!$J$6:$J$400,"&gt;="&amp;$A527,'Promo Calendar'!$G$6:$G$400,"&gt;0"),IFERROR(IF(INDEX('Chain Program'!$M$6:$M$120,MATCH($C527,'Chain Program'!$A$6:$A$120,0))="","Not set",INDEX('Chain Program'!$M$6:$M$120,MATCH($C527,'Chain Program'!$A$6:$A$120,0))),"Not set"))))</f>
        <v/>
      </c>
      <c r="I527" s="61" t="n"/>
      <c r="J527" s="45">
        <f>IF($I527="","",IF(NOT(ISNUMBER($H527)),"No plan price",IF(ABS($I527-$H527)&lt;0.005,"Match",IF($I527&gt;$H527,"Over plan","Under plan"))))</f>
        <v/>
      </c>
      <c r="K527" s="60" t="n"/>
      <c r="L527" s="60" t="n"/>
      <c r="M527" s="60" t="n"/>
      <c r="N527" s="60" t="n"/>
      <c r="O527" s="60" t="n"/>
      <c r="P527" s="62" t="n"/>
      <c r="Q527" s="62" t="n"/>
      <c r="R527" s="60" t="n"/>
      <c r="S527" s="59" t="n"/>
      <c r="T527" s="60" t="n"/>
      <c r="U527" s="59" t="n"/>
      <c r="V527" s="45">
        <f>IF(OR($A527="",$T527="",$T527="No Issue"),"",IF($T527="Resolved",IF($U527="","",$U527-$A527),TODAY()-$A527))</f>
        <v/>
      </c>
      <c r="W527" s="47">
        <f>IF(AND($C527&lt;&gt;"",$C527='Store History'!$C$4,OR('Store History'!$C$5="",$F527='Store History'!$C$5)),1,0)</f>
        <v/>
      </c>
      <c r="X527" s="47">
        <f>IF($W527=1,SUM($W527:$W$1005),"")</f>
        <v/>
      </c>
    </row>
    <row r="528">
      <c r="A528" s="59" t="n"/>
      <c r="B528" s="60" t="n"/>
      <c r="C528" s="60" t="n"/>
      <c r="D528" s="45">
        <f>IF($C528="","",IFERROR(INDEX('Chain Program'!$B$6:$B$120,MATCH($C528,'Chain Program'!$A$6:$A$120,0)),"Unknown ID"))</f>
        <v/>
      </c>
      <c r="E528" s="45">
        <f>IF($C528="","",IFERROR(INDEX('Chain Program'!$D$6:$D$120,MATCH($C528,'Chain Program'!$A$6:$A$120,0)),"Unknown ID"))</f>
        <v/>
      </c>
      <c r="F528" s="60" t="n"/>
      <c r="G528" s="60" t="n"/>
      <c r="H528" s="56">
        <f>IF(OR($C528="",$A528=""),"",IF(COUNTIFS('Promo Calendar'!$A$6:$A$400,$C528,'Promo Calendar'!$D$6:$D$400,IF($G528="","All",$G528),'Promo Calendar'!$I$6:$I$400,"&lt;="&amp;$A528,'Promo Calendar'!$J$6:$J$400,"&gt;="&amp;$A528,'Promo Calendar'!$G$6:$G$400,"&gt;0")&gt;0,_xlfn.MINIFS('Promo Calendar'!$G$6:$G$400,'Promo Calendar'!$A$6:$A$400,$C528,'Promo Calendar'!$D$6:$D$400,IF($G528="","All",$G528),'Promo Calendar'!$I$6:$I$400,"&lt;="&amp;$A528,'Promo Calendar'!$J$6:$J$400,"&gt;="&amp;$A528,'Promo Calendar'!$G$6:$G$400,"&gt;0"),IF(COUNTIFS('Promo Calendar'!$A$6:$A$400,$C528,'Promo Calendar'!$D$6:$D$400,"All",'Promo Calendar'!$I$6:$I$400,"&lt;="&amp;$A528,'Promo Calendar'!$J$6:$J$400,"&gt;="&amp;$A528,'Promo Calendar'!$G$6:$G$400,"&gt;0")&gt;0,_xlfn.MINIFS('Promo Calendar'!$G$6:$G$400,'Promo Calendar'!$A$6:$A$400,$C528,'Promo Calendar'!$D$6:$D$400,"All",'Promo Calendar'!$I$6:$I$400,"&lt;="&amp;$A528,'Promo Calendar'!$J$6:$J$400,"&gt;="&amp;$A528,'Promo Calendar'!$G$6:$G$400,"&gt;0"),IFERROR(IF(INDEX('Chain Program'!$M$6:$M$120,MATCH($C528,'Chain Program'!$A$6:$A$120,0))="","Not set",INDEX('Chain Program'!$M$6:$M$120,MATCH($C528,'Chain Program'!$A$6:$A$120,0))),"Not set"))))</f>
        <v/>
      </c>
      <c r="I528" s="61" t="n"/>
      <c r="J528" s="45">
        <f>IF($I528="","",IF(NOT(ISNUMBER($H528)),"No plan price",IF(ABS($I528-$H528)&lt;0.005,"Match",IF($I528&gt;$H528,"Over plan","Under plan"))))</f>
        <v/>
      </c>
      <c r="K528" s="60" t="n"/>
      <c r="L528" s="60" t="n"/>
      <c r="M528" s="60" t="n"/>
      <c r="N528" s="60" t="n"/>
      <c r="O528" s="60" t="n"/>
      <c r="P528" s="62" t="n"/>
      <c r="Q528" s="62" t="n"/>
      <c r="R528" s="60" t="n"/>
      <c r="S528" s="59" t="n"/>
      <c r="T528" s="60" t="n"/>
      <c r="U528" s="59" t="n"/>
      <c r="V528" s="45">
        <f>IF(OR($A528="",$T528="",$T528="No Issue"),"",IF($T528="Resolved",IF($U528="","",$U528-$A528),TODAY()-$A528))</f>
        <v/>
      </c>
      <c r="W528" s="47">
        <f>IF(AND($C528&lt;&gt;"",$C528='Store History'!$C$4,OR('Store History'!$C$5="",$F528='Store History'!$C$5)),1,0)</f>
        <v/>
      </c>
      <c r="X528" s="47">
        <f>IF($W528=1,SUM($W528:$W$1005),"")</f>
        <v/>
      </c>
    </row>
    <row r="529">
      <c r="A529" s="59" t="n"/>
      <c r="B529" s="60" t="n"/>
      <c r="C529" s="60" t="n"/>
      <c r="D529" s="45">
        <f>IF($C529="","",IFERROR(INDEX('Chain Program'!$B$6:$B$120,MATCH($C529,'Chain Program'!$A$6:$A$120,0)),"Unknown ID"))</f>
        <v/>
      </c>
      <c r="E529" s="45">
        <f>IF($C529="","",IFERROR(INDEX('Chain Program'!$D$6:$D$120,MATCH($C529,'Chain Program'!$A$6:$A$120,0)),"Unknown ID"))</f>
        <v/>
      </c>
      <c r="F529" s="60" t="n"/>
      <c r="G529" s="60" t="n"/>
      <c r="H529" s="56">
        <f>IF(OR($C529="",$A529=""),"",IF(COUNTIFS('Promo Calendar'!$A$6:$A$400,$C529,'Promo Calendar'!$D$6:$D$400,IF($G529="","All",$G529),'Promo Calendar'!$I$6:$I$400,"&lt;="&amp;$A529,'Promo Calendar'!$J$6:$J$400,"&gt;="&amp;$A529,'Promo Calendar'!$G$6:$G$400,"&gt;0")&gt;0,_xlfn.MINIFS('Promo Calendar'!$G$6:$G$400,'Promo Calendar'!$A$6:$A$400,$C529,'Promo Calendar'!$D$6:$D$400,IF($G529="","All",$G529),'Promo Calendar'!$I$6:$I$400,"&lt;="&amp;$A529,'Promo Calendar'!$J$6:$J$400,"&gt;="&amp;$A529,'Promo Calendar'!$G$6:$G$400,"&gt;0"),IF(COUNTIFS('Promo Calendar'!$A$6:$A$400,$C529,'Promo Calendar'!$D$6:$D$400,"All",'Promo Calendar'!$I$6:$I$400,"&lt;="&amp;$A529,'Promo Calendar'!$J$6:$J$400,"&gt;="&amp;$A529,'Promo Calendar'!$G$6:$G$400,"&gt;0")&gt;0,_xlfn.MINIFS('Promo Calendar'!$G$6:$G$400,'Promo Calendar'!$A$6:$A$400,$C529,'Promo Calendar'!$D$6:$D$400,"All",'Promo Calendar'!$I$6:$I$400,"&lt;="&amp;$A529,'Promo Calendar'!$J$6:$J$400,"&gt;="&amp;$A529,'Promo Calendar'!$G$6:$G$400,"&gt;0"),IFERROR(IF(INDEX('Chain Program'!$M$6:$M$120,MATCH($C529,'Chain Program'!$A$6:$A$120,0))="","Not set",INDEX('Chain Program'!$M$6:$M$120,MATCH($C529,'Chain Program'!$A$6:$A$120,0))),"Not set"))))</f>
        <v/>
      </c>
      <c r="I529" s="61" t="n"/>
      <c r="J529" s="45">
        <f>IF($I529="","",IF(NOT(ISNUMBER($H529)),"No plan price",IF(ABS($I529-$H529)&lt;0.005,"Match",IF($I529&gt;$H529,"Over plan","Under plan"))))</f>
        <v/>
      </c>
      <c r="K529" s="60" t="n"/>
      <c r="L529" s="60" t="n"/>
      <c r="M529" s="60" t="n"/>
      <c r="N529" s="60" t="n"/>
      <c r="O529" s="60" t="n"/>
      <c r="P529" s="62" t="n"/>
      <c r="Q529" s="62" t="n"/>
      <c r="R529" s="60" t="n"/>
      <c r="S529" s="59" t="n"/>
      <c r="T529" s="60" t="n"/>
      <c r="U529" s="59" t="n"/>
      <c r="V529" s="45">
        <f>IF(OR($A529="",$T529="",$T529="No Issue"),"",IF($T529="Resolved",IF($U529="","",$U529-$A529),TODAY()-$A529))</f>
        <v/>
      </c>
      <c r="W529" s="47">
        <f>IF(AND($C529&lt;&gt;"",$C529='Store History'!$C$4,OR('Store History'!$C$5="",$F529='Store History'!$C$5)),1,0)</f>
        <v/>
      </c>
      <c r="X529" s="47">
        <f>IF($W529=1,SUM($W529:$W$1005),"")</f>
        <v/>
      </c>
    </row>
    <row r="530">
      <c r="A530" s="59" t="n"/>
      <c r="B530" s="60" t="n"/>
      <c r="C530" s="60" t="n"/>
      <c r="D530" s="45">
        <f>IF($C530="","",IFERROR(INDEX('Chain Program'!$B$6:$B$120,MATCH($C530,'Chain Program'!$A$6:$A$120,0)),"Unknown ID"))</f>
        <v/>
      </c>
      <c r="E530" s="45">
        <f>IF($C530="","",IFERROR(INDEX('Chain Program'!$D$6:$D$120,MATCH($C530,'Chain Program'!$A$6:$A$120,0)),"Unknown ID"))</f>
        <v/>
      </c>
      <c r="F530" s="60" t="n"/>
      <c r="G530" s="60" t="n"/>
      <c r="H530" s="56">
        <f>IF(OR($C530="",$A530=""),"",IF(COUNTIFS('Promo Calendar'!$A$6:$A$400,$C530,'Promo Calendar'!$D$6:$D$400,IF($G530="","All",$G530),'Promo Calendar'!$I$6:$I$400,"&lt;="&amp;$A530,'Promo Calendar'!$J$6:$J$400,"&gt;="&amp;$A530,'Promo Calendar'!$G$6:$G$400,"&gt;0")&gt;0,_xlfn.MINIFS('Promo Calendar'!$G$6:$G$400,'Promo Calendar'!$A$6:$A$400,$C530,'Promo Calendar'!$D$6:$D$400,IF($G530="","All",$G530),'Promo Calendar'!$I$6:$I$400,"&lt;="&amp;$A530,'Promo Calendar'!$J$6:$J$400,"&gt;="&amp;$A530,'Promo Calendar'!$G$6:$G$400,"&gt;0"),IF(COUNTIFS('Promo Calendar'!$A$6:$A$400,$C530,'Promo Calendar'!$D$6:$D$400,"All",'Promo Calendar'!$I$6:$I$400,"&lt;="&amp;$A530,'Promo Calendar'!$J$6:$J$400,"&gt;="&amp;$A530,'Promo Calendar'!$G$6:$G$400,"&gt;0")&gt;0,_xlfn.MINIFS('Promo Calendar'!$G$6:$G$400,'Promo Calendar'!$A$6:$A$400,$C530,'Promo Calendar'!$D$6:$D$400,"All",'Promo Calendar'!$I$6:$I$400,"&lt;="&amp;$A530,'Promo Calendar'!$J$6:$J$400,"&gt;="&amp;$A530,'Promo Calendar'!$G$6:$G$400,"&gt;0"),IFERROR(IF(INDEX('Chain Program'!$M$6:$M$120,MATCH($C530,'Chain Program'!$A$6:$A$120,0))="","Not set",INDEX('Chain Program'!$M$6:$M$120,MATCH($C530,'Chain Program'!$A$6:$A$120,0))),"Not set"))))</f>
        <v/>
      </c>
      <c r="I530" s="61" t="n"/>
      <c r="J530" s="45">
        <f>IF($I530="","",IF(NOT(ISNUMBER($H530)),"No plan price",IF(ABS($I530-$H530)&lt;0.005,"Match",IF($I530&gt;$H530,"Over plan","Under plan"))))</f>
        <v/>
      </c>
      <c r="K530" s="60" t="n"/>
      <c r="L530" s="60" t="n"/>
      <c r="M530" s="60" t="n"/>
      <c r="N530" s="60" t="n"/>
      <c r="O530" s="60" t="n"/>
      <c r="P530" s="62" t="n"/>
      <c r="Q530" s="62" t="n"/>
      <c r="R530" s="60" t="n"/>
      <c r="S530" s="59" t="n"/>
      <c r="T530" s="60" t="n"/>
      <c r="U530" s="59" t="n"/>
      <c r="V530" s="45">
        <f>IF(OR($A530="",$T530="",$T530="No Issue"),"",IF($T530="Resolved",IF($U530="","",$U530-$A530),TODAY()-$A530))</f>
        <v/>
      </c>
      <c r="W530" s="47">
        <f>IF(AND($C530&lt;&gt;"",$C530='Store History'!$C$4,OR('Store History'!$C$5="",$F530='Store History'!$C$5)),1,0)</f>
        <v/>
      </c>
      <c r="X530" s="47">
        <f>IF($W530=1,SUM($W530:$W$1005),"")</f>
        <v/>
      </c>
    </row>
    <row r="531">
      <c r="A531" s="59" t="n"/>
      <c r="B531" s="60" t="n"/>
      <c r="C531" s="60" t="n"/>
      <c r="D531" s="45">
        <f>IF($C531="","",IFERROR(INDEX('Chain Program'!$B$6:$B$120,MATCH($C531,'Chain Program'!$A$6:$A$120,0)),"Unknown ID"))</f>
        <v/>
      </c>
      <c r="E531" s="45">
        <f>IF($C531="","",IFERROR(INDEX('Chain Program'!$D$6:$D$120,MATCH($C531,'Chain Program'!$A$6:$A$120,0)),"Unknown ID"))</f>
        <v/>
      </c>
      <c r="F531" s="60" t="n"/>
      <c r="G531" s="60" t="n"/>
      <c r="H531" s="56">
        <f>IF(OR($C531="",$A531=""),"",IF(COUNTIFS('Promo Calendar'!$A$6:$A$400,$C531,'Promo Calendar'!$D$6:$D$400,IF($G531="","All",$G531),'Promo Calendar'!$I$6:$I$400,"&lt;="&amp;$A531,'Promo Calendar'!$J$6:$J$400,"&gt;="&amp;$A531,'Promo Calendar'!$G$6:$G$400,"&gt;0")&gt;0,_xlfn.MINIFS('Promo Calendar'!$G$6:$G$400,'Promo Calendar'!$A$6:$A$400,$C531,'Promo Calendar'!$D$6:$D$400,IF($G531="","All",$G531),'Promo Calendar'!$I$6:$I$400,"&lt;="&amp;$A531,'Promo Calendar'!$J$6:$J$400,"&gt;="&amp;$A531,'Promo Calendar'!$G$6:$G$400,"&gt;0"),IF(COUNTIFS('Promo Calendar'!$A$6:$A$400,$C531,'Promo Calendar'!$D$6:$D$400,"All",'Promo Calendar'!$I$6:$I$400,"&lt;="&amp;$A531,'Promo Calendar'!$J$6:$J$400,"&gt;="&amp;$A531,'Promo Calendar'!$G$6:$G$400,"&gt;0")&gt;0,_xlfn.MINIFS('Promo Calendar'!$G$6:$G$400,'Promo Calendar'!$A$6:$A$400,$C531,'Promo Calendar'!$D$6:$D$400,"All",'Promo Calendar'!$I$6:$I$400,"&lt;="&amp;$A531,'Promo Calendar'!$J$6:$J$400,"&gt;="&amp;$A531,'Promo Calendar'!$G$6:$G$400,"&gt;0"),IFERROR(IF(INDEX('Chain Program'!$M$6:$M$120,MATCH($C531,'Chain Program'!$A$6:$A$120,0))="","Not set",INDEX('Chain Program'!$M$6:$M$120,MATCH($C531,'Chain Program'!$A$6:$A$120,0))),"Not set"))))</f>
        <v/>
      </c>
      <c r="I531" s="61" t="n"/>
      <c r="J531" s="45">
        <f>IF($I531="","",IF(NOT(ISNUMBER($H531)),"No plan price",IF(ABS($I531-$H531)&lt;0.005,"Match",IF($I531&gt;$H531,"Over plan","Under plan"))))</f>
        <v/>
      </c>
      <c r="K531" s="60" t="n"/>
      <c r="L531" s="60" t="n"/>
      <c r="M531" s="60" t="n"/>
      <c r="N531" s="60" t="n"/>
      <c r="O531" s="60" t="n"/>
      <c r="P531" s="62" t="n"/>
      <c r="Q531" s="62" t="n"/>
      <c r="R531" s="60" t="n"/>
      <c r="S531" s="59" t="n"/>
      <c r="T531" s="60" t="n"/>
      <c r="U531" s="59" t="n"/>
      <c r="V531" s="45">
        <f>IF(OR($A531="",$T531="",$T531="No Issue"),"",IF($T531="Resolved",IF($U531="","",$U531-$A531),TODAY()-$A531))</f>
        <v/>
      </c>
      <c r="W531" s="47">
        <f>IF(AND($C531&lt;&gt;"",$C531='Store History'!$C$4,OR('Store History'!$C$5="",$F531='Store History'!$C$5)),1,0)</f>
        <v/>
      </c>
      <c r="X531" s="47">
        <f>IF($W531=1,SUM($W531:$W$1005),"")</f>
        <v/>
      </c>
    </row>
    <row r="532">
      <c r="A532" s="59" t="n"/>
      <c r="B532" s="60" t="n"/>
      <c r="C532" s="60" t="n"/>
      <c r="D532" s="45">
        <f>IF($C532="","",IFERROR(INDEX('Chain Program'!$B$6:$B$120,MATCH($C532,'Chain Program'!$A$6:$A$120,0)),"Unknown ID"))</f>
        <v/>
      </c>
      <c r="E532" s="45">
        <f>IF($C532="","",IFERROR(INDEX('Chain Program'!$D$6:$D$120,MATCH($C532,'Chain Program'!$A$6:$A$120,0)),"Unknown ID"))</f>
        <v/>
      </c>
      <c r="F532" s="60" t="n"/>
      <c r="G532" s="60" t="n"/>
      <c r="H532" s="56">
        <f>IF(OR($C532="",$A532=""),"",IF(COUNTIFS('Promo Calendar'!$A$6:$A$400,$C532,'Promo Calendar'!$D$6:$D$400,IF($G532="","All",$G532),'Promo Calendar'!$I$6:$I$400,"&lt;="&amp;$A532,'Promo Calendar'!$J$6:$J$400,"&gt;="&amp;$A532,'Promo Calendar'!$G$6:$G$400,"&gt;0")&gt;0,_xlfn.MINIFS('Promo Calendar'!$G$6:$G$400,'Promo Calendar'!$A$6:$A$400,$C532,'Promo Calendar'!$D$6:$D$400,IF($G532="","All",$G532),'Promo Calendar'!$I$6:$I$400,"&lt;="&amp;$A532,'Promo Calendar'!$J$6:$J$400,"&gt;="&amp;$A532,'Promo Calendar'!$G$6:$G$400,"&gt;0"),IF(COUNTIFS('Promo Calendar'!$A$6:$A$400,$C532,'Promo Calendar'!$D$6:$D$400,"All",'Promo Calendar'!$I$6:$I$400,"&lt;="&amp;$A532,'Promo Calendar'!$J$6:$J$400,"&gt;="&amp;$A532,'Promo Calendar'!$G$6:$G$400,"&gt;0")&gt;0,_xlfn.MINIFS('Promo Calendar'!$G$6:$G$400,'Promo Calendar'!$A$6:$A$400,$C532,'Promo Calendar'!$D$6:$D$400,"All",'Promo Calendar'!$I$6:$I$400,"&lt;="&amp;$A532,'Promo Calendar'!$J$6:$J$400,"&gt;="&amp;$A532,'Promo Calendar'!$G$6:$G$400,"&gt;0"),IFERROR(IF(INDEX('Chain Program'!$M$6:$M$120,MATCH($C532,'Chain Program'!$A$6:$A$120,0))="","Not set",INDEX('Chain Program'!$M$6:$M$120,MATCH($C532,'Chain Program'!$A$6:$A$120,0))),"Not set"))))</f>
        <v/>
      </c>
      <c r="I532" s="61" t="n"/>
      <c r="J532" s="45">
        <f>IF($I532="","",IF(NOT(ISNUMBER($H532)),"No plan price",IF(ABS($I532-$H532)&lt;0.005,"Match",IF($I532&gt;$H532,"Over plan","Under plan"))))</f>
        <v/>
      </c>
      <c r="K532" s="60" t="n"/>
      <c r="L532" s="60" t="n"/>
      <c r="M532" s="60" t="n"/>
      <c r="N532" s="60" t="n"/>
      <c r="O532" s="60" t="n"/>
      <c r="P532" s="62" t="n"/>
      <c r="Q532" s="62" t="n"/>
      <c r="R532" s="60" t="n"/>
      <c r="S532" s="59" t="n"/>
      <c r="T532" s="60" t="n"/>
      <c r="U532" s="59" t="n"/>
      <c r="V532" s="45">
        <f>IF(OR($A532="",$T532="",$T532="No Issue"),"",IF($T532="Resolved",IF($U532="","",$U532-$A532),TODAY()-$A532))</f>
        <v/>
      </c>
      <c r="W532" s="47">
        <f>IF(AND($C532&lt;&gt;"",$C532='Store History'!$C$4,OR('Store History'!$C$5="",$F532='Store History'!$C$5)),1,0)</f>
        <v/>
      </c>
      <c r="X532" s="47">
        <f>IF($W532=1,SUM($W532:$W$1005),"")</f>
        <v/>
      </c>
    </row>
    <row r="533">
      <c r="A533" s="59" t="n"/>
      <c r="B533" s="60" t="n"/>
      <c r="C533" s="60" t="n"/>
      <c r="D533" s="45">
        <f>IF($C533="","",IFERROR(INDEX('Chain Program'!$B$6:$B$120,MATCH($C533,'Chain Program'!$A$6:$A$120,0)),"Unknown ID"))</f>
        <v/>
      </c>
      <c r="E533" s="45">
        <f>IF($C533="","",IFERROR(INDEX('Chain Program'!$D$6:$D$120,MATCH($C533,'Chain Program'!$A$6:$A$120,0)),"Unknown ID"))</f>
        <v/>
      </c>
      <c r="F533" s="60" t="n"/>
      <c r="G533" s="60" t="n"/>
      <c r="H533" s="56">
        <f>IF(OR($C533="",$A533=""),"",IF(COUNTIFS('Promo Calendar'!$A$6:$A$400,$C533,'Promo Calendar'!$D$6:$D$400,IF($G533="","All",$G533),'Promo Calendar'!$I$6:$I$400,"&lt;="&amp;$A533,'Promo Calendar'!$J$6:$J$400,"&gt;="&amp;$A533,'Promo Calendar'!$G$6:$G$400,"&gt;0")&gt;0,_xlfn.MINIFS('Promo Calendar'!$G$6:$G$400,'Promo Calendar'!$A$6:$A$400,$C533,'Promo Calendar'!$D$6:$D$400,IF($G533="","All",$G533),'Promo Calendar'!$I$6:$I$400,"&lt;="&amp;$A533,'Promo Calendar'!$J$6:$J$400,"&gt;="&amp;$A533,'Promo Calendar'!$G$6:$G$400,"&gt;0"),IF(COUNTIFS('Promo Calendar'!$A$6:$A$400,$C533,'Promo Calendar'!$D$6:$D$400,"All",'Promo Calendar'!$I$6:$I$400,"&lt;="&amp;$A533,'Promo Calendar'!$J$6:$J$400,"&gt;="&amp;$A533,'Promo Calendar'!$G$6:$G$400,"&gt;0")&gt;0,_xlfn.MINIFS('Promo Calendar'!$G$6:$G$400,'Promo Calendar'!$A$6:$A$400,$C533,'Promo Calendar'!$D$6:$D$400,"All",'Promo Calendar'!$I$6:$I$400,"&lt;="&amp;$A533,'Promo Calendar'!$J$6:$J$400,"&gt;="&amp;$A533,'Promo Calendar'!$G$6:$G$400,"&gt;0"),IFERROR(IF(INDEX('Chain Program'!$M$6:$M$120,MATCH($C533,'Chain Program'!$A$6:$A$120,0))="","Not set",INDEX('Chain Program'!$M$6:$M$120,MATCH($C533,'Chain Program'!$A$6:$A$120,0))),"Not set"))))</f>
        <v/>
      </c>
      <c r="I533" s="61" t="n"/>
      <c r="J533" s="45">
        <f>IF($I533="","",IF(NOT(ISNUMBER($H533)),"No plan price",IF(ABS($I533-$H533)&lt;0.005,"Match",IF($I533&gt;$H533,"Over plan","Under plan"))))</f>
        <v/>
      </c>
      <c r="K533" s="60" t="n"/>
      <c r="L533" s="60" t="n"/>
      <c r="M533" s="60" t="n"/>
      <c r="N533" s="60" t="n"/>
      <c r="O533" s="60" t="n"/>
      <c r="P533" s="62" t="n"/>
      <c r="Q533" s="62" t="n"/>
      <c r="R533" s="60" t="n"/>
      <c r="S533" s="59" t="n"/>
      <c r="T533" s="60" t="n"/>
      <c r="U533" s="59" t="n"/>
      <c r="V533" s="45">
        <f>IF(OR($A533="",$T533="",$T533="No Issue"),"",IF($T533="Resolved",IF($U533="","",$U533-$A533),TODAY()-$A533))</f>
        <v/>
      </c>
      <c r="W533" s="47">
        <f>IF(AND($C533&lt;&gt;"",$C533='Store History'!$C$4,OR('Store History'!$C$5="",$F533='Store History'!$C$5)),1,0)</f>
        <v/>
      </c>
      <c r="X533" s="47">
        <f>IF($W533=1,SUM($W533:$W$1005),"")</f>
        <v/>
      </c>
    </row>
    <row r="534">
      <c r="A534" s="59" t="n"/>
      <c r="B534" s="60" t="n"/>
      <c r="C534" s="60" t="n"/>
      <c r="D534" s="45">
        <f>IF($C534="","",IFERROR(INDEX('Chain Program'!$B$6:$B$120,MATCH($C534,'Chain Program'!$A$6:$A$120,0)),"Unknown ID"))</f>
        <v/>
      </c>
      <c r="E534" s="45">
        <f>IF($C534="","",IFERROR(INDEX('Chain Program'!$D$6:$D$120,MATCH($C534,'Chain Program'!$A$6:$A$120,0)),"Unknown ID"))</f>
        <v/>
      </c>
      <c r="F534" s="60" t="n"/>
      <c r="G534" s="60" t="n"/>
      <c r="H534" s="56">
        <f>IF(OR($C534="",$A534=""),"",IF(COUNTIFS('Promo Calendar'!$A$6:$A$400,$C534,'Promo Calendar'!$D$6:$D$400,IF($G534="","All",$G534),'Promo Calendar'!$I$6:$I$400,"&lt;="&amp;$A534,'Promo Calendar'!$J$6:$J$400,"&gt;="&amp;$A534,'Promo Calendar'!$G$6:$G$400,"&gt;0")&gt;0,_xlfn.MINIFS('Promo Calendar'!$G$6:$G$400,'Promo Calendar'!$A$6:$A$400,$C534,'Promo Calendar'!$D$6:$D$400,IF($G534="","All",$G534),'Promo Calendar'!$I$6:$I$400,"&lt;="&amp;$A534,'Promo Calendar'!$J$6:$J$400,"&gt;="&amp;$A534,'Promo Calendar'!$G$6:$G$400,"&gt;0"),IF(COUNTIFS('Promo Calendar'!$A$6:$A$400,$C534,'Promo Calendar'!$D$6:$D$400,"All",'Promo Calendar'!$I$6:$I$400,"&lt;="&amp;$A534,'Promo Calendar'!$J$6:$J$400,"&gt;="&amp;$A534,'Promo Calendar'!$G$6:$G$400,"&gt;0")&gt;0,_xlfn.MINIFS('Promo Calendar'!$G$6:$G$400,'Promo Calendar'!$A$6:$A$400,$C534,'Promo Calendar'!$D$6:$D$400,"All",'Promo Calendar'!$I$6:$I$400,"&lt;="&amp;$A534,'Promo Calendar'!$J$6:$J$400,"&gt;="&amp;$A534,'Promo Calendar'!$G$6:$G$400,"&gt;0"),IFERROR(IF(INDEX('Chain Program'!$M$6:$M$120,MATCH($C534,'Chain Program'!$A$6:$A$120,0))="","Not set",INDEX('Chain Program'!$M$6:$M$120,MATCH($C534,'Chain Program'!$A$6:$A$120,0))),"Not set"))))</f>
        <v/>
      </c>
      <c r="I534" s="61" t="n"/>
      <c r="J534" s="45">
        <f>IF($I534="","",IF(NOT(ISNUMBER($H534)),"No plan price",IF(ABS($I534-$H534)&lt;0.005,"Match",IF($I534&gt;$H534,"Over plan","Under plan"))))</f>
        <v/>
      </c>
      <c r="K534" s="60" t="n"/>
      <c r="L534" s="60" t="n"/>
      <c r="M534" s="60" t="n"/>
      <c r="N534" s="60" t="n"/>
      <c r="O534" s="60" t="n"/>
      <c r="P534" s="62" t="n"/>
      <c r="Q534" s="62" t="n"/>
      <c r="R534" s="60" t="n"/>
      <c r="S534" s="59" t="n"/>
      <c r="T534" s="60" t="n"/>
      <c r="U534" s="59" t="n"/>
      <c r="V534" s="45">
        <f>IF(OR($A534="",$T534="",$T534="No Issue"),"",IF($T534="Resolved",IF($U534="","",$U534-$A534),TODAY()-$A534))</f>
        <v/>
      </c>
      <c r="W534" s="47">
        <f>IF(AND($C534&lt;&gt;"",$C534='Store History'!$C$4,OR('Store History'!$C$5="",$F534='Store History'!$C$5)),1,0)</f>
        <v/>
      </c>
      <c r="X534" s="47">
        <f>IF($W534=1,SUM($W534:$W$1005),"")</f>
        <v/>
      </c>
    </row>
    <row r="535">
      <c r="A535" s="59" t="n"/>
      <c r="B535" s="60" t="n"/>
      <c r="C535" s="60" t="n"/>
      <c r="D535" s="45">
        <f>IF($C535="","",IFERROR(INDEX('Chain Program'!$B$6:$B$120,MATCH($C535,'Chain Program'!$A$6:$A$120,0)),"Unknown ID"))</f>
        <v/>
      </c>
      <c r="E535" s="45">
        <f>IF($C535="","",IFERROR(INDEX('Chain Program'!$D$6:$D$120,MATCH($C535,'Chain Program'!$A$6:$A$120,0)),"Unknown ID"))</f>
        <v/>
      </c>
      <c r="F535" s="60" t="n"/>
      <c r="G535" s="60" t="n"/>
      <c r="H535" s="56">
        <f>IF(OR($C535="",$A535=""),"",IF(COUNTIFS('Promo Calendar'!$A$6:$A$400,$C535,'Promo Calendar'!$D$6:$D$400,IF($G535="","All",$G535),'Promo Calendar'!$I$6:$I$400,"&lt;="&amp;$A535,'Promo Calendar'!$J$6:$J$400,"&gt;="&amp;$A535,'Promo Calendar'!$G$6:$G$400,"&gt;0")&gt;0,_xlfn.MINIFS('Promo Calendar'!$G$6:$G$400,'Promo Calendar'!$A$6:$A$400,$C535,'Promo Calendar'!$D$6:$D$400,IF($G535="","All",$G535),'Promo Calendar'!$I$6:$I$400,"&lt;="&amp;$A535,'Promo Calendar'!$J$6:$J$400,"&gt;="&amp;$A535,'Promo Calendar'!$G$6:$G$400,"&gt;0"),IF(COUNTIFS('Promo Calendar'!$A$6:$A$400,$C535,'Promo Calendar'!$D$6:$D$400,"All",'Promo Calendar'!$I$6:$I$400,"&lt;="&amp;$A535,'Promo Calendar'!$J$6:$J$400,"&gt;="&amp;$A535,'Promo Calendar'!$G$6:$G$400,"&gt;0")&gt;0,_xlfn.MINIFS('Promo Calendar'!$G$6:$G$400,'Promo Calendar'!$A$6:$A$400,$C535,'Promo Calendar'!$D$6:$D$400,"All",'Promo Calendar'!$I$6:$I$400,"&lt;="&amp;$A535,'Promo Calendar'!$J$6:$J$400,"&gt;="&amp;$A535,'Promo Calendar'!$G$6:$G$400,"&gt;0"),IFERROR(IF(INDEX('Chain Program'!$M$6:$M$120,MATCH($C535,'Chain Program'!$A$6:$A$120,0))="","Not set",INDEX('Chain Program'!$M$6:$M$120,MATCH($C535,'Chain Program'!$A$6:$A$120,0))),"Not set"))))</f>
        <v/>
      </c>
      <c r="I535" s="61" t="n"/>
      <c r="J535" s="45">
        <f>IF($I535="","",IF(NOT(ISNUMBER($H535)),"No plan price",IF(ABS($I535-$H535)&lt;0.005,"Match",IF($I535&gt;$H535,"Over plan","Under plan"))))</f>
        <v/>
      </c>
      <c r="K535" s="60" t="n"/>
      <c r="L535" s="60" t="n"/>
      <c r="M535" s="60" t="n"/>
      <c r="N535" s="60" t="n"/>
      <c r="O535" s="60" t="n"/>
      <c r="P535" s="62" t="n"/>
      <c r="Q535" s="62" t="n"/>
      <c r="R535" s="60" t="n"/>
      <c r="S535" s="59" t="n"/>
      <c r="T535" s="60" t="n"/>
      <c r="U535" s="59" t="n"/>
      <c r="V535" s="45">
        <f>IF(OR($A535="",$T535="",$T535="No Issue"),"",IF($T535="Resolved",IF($U535="","",$U535-$A535),TODAY()-$A535))</f>
        <v/>
      </c>
      <c r="W535" s="47">
        <f>IF(AND($C535&lt;&gt;"",$C535='Store History'!$C$4,OR('Store History'!$C$5="",$F535='Store History'!$C$5)),1,0)</f>
        <v/>
      </c>
      <c r="X535" s="47">
        <f>IF($W535=1,SUM($W535:$W$1005),"")</f>
        <v/>
      </c>
    </row>
    <row r="536">
      <c r="A536" s="59" t="n"/>
      <c r="B536" s="60" t="n"/>
      <c r="C536" s="60" t="n"/>
      <c r="D536" s="45">
        <f>IF($C536="","",IFERROR(INDEX('Chain Program'!$B$6:$B$120,MATCH($C536,'Chain Program'!$A$6:$A$120,0)),"Unknown ID"))</f>
        <v/>
      </c>
      <c r="E536" s="45">
        <f>IF($C536="","",IFERROR(INDEX('Chain Program'!$D$6:$D$120,MATCH($C536,'Chain Program'!$A$6:$A$120,0)),"Unknown ID"))</f>
        <v/>
      </c>
      <c r="F536" s="60" t="n"/>
      <c r="G536" s="60" t="n"/>
      <c r="H536" s="56">
        <f>IF(OR($C536="",$A536=""),"",IF(COUNTIFS('Promo Calendar'!$A$6:$A$400,$C536,'Promo Calendar'!$D$6:$D$400,IF($G536="","All",$G536),'Promo Calendar'!$I$6:$I$400,"&lt;="&amp;$A536,'Promo Calendar'!$J$6:$J$400,"&gt;="&amp;$A536,'Promo Calendar'!$G$6:$G$400,"&gt;0")&gt;0,_xlfn.MINIFS('Promo Calendar'!$G$6:$G$400,'Promo Calendar'!$A$6:$A$400,$C536,'Promo Calendar'!$D$6:$D$400,IF($G536="","All",$G536),'Promo Calendar'!$I$6:$I$400,"&lt;="&amp;$A536,'Promo Calendar'!$J$6:$J$400,"&gt;="&amp;$A536,'Promo Calendar'!$G$6:$G$400,"&gt;0"),IF(COUNTIFS('Promo Calendar'!$A$6:$A$400,$C536,'Promo Calendar'!$D$6:$D$400,"All",'Promo Calendar'!$I$6:$I$400,"&lt;="&amp;$A536,'Promo Calendar'!$J$6:$J$400,"&gt;="&amp;$A536,'Promo Calendar'!$G$6:$G$400,"&gt;0")&gt;0,_xlfn.MINIFS('Promo Calendar'!$G$6:$G$400,'Promo Calendar'!$A$6:$A$400,$C536,'Promo Calendar'!$D$6:$D$400,"All",'Promo Calendar'!$I$6:$I$400,"&lt;="&amp;$A536,'Promo Calendar'!$J$6:$J$400,"&gt;="&amp;$A536,'Promo Calendar'!$G$6:$G$400,"&gt;0"),IFERROR(IF(INDEX('Chain Program'!$M$6:$M$120,MATCH($C536,'Chain Program'!$A$6:$A$120,0))="","Not set",INDEX('Chain Program'!$M$6:$M$120,MATCH($C536,'Chain Program'!$A$6:$A$120,0))),"Not set"))))</f>
        <v/>
      </c>
      <c r="I536" s="61" t="n"/>
      <c r="J536" s="45">
        <f>IF($I536="","",IF(NOT(ISNUMBER($H536)),"No plan price",IF(ABS($I536-$H536)&lt;0.005,"Match",IF($I536&gt;$H536,"Over plan","Under plan"))))</f>
        <v/>
      </c>
      <c r="K536" s="60" t="n"/>
      <c r="L536" s="60" t="n"/>
      <c r="M536" s="60" t="n"/>
      <c r="N536" s="60" t="n"/>
      <c r="O536" s="60" t="n"/>
      <c r="P536" s="62" t="n"/>
      <c r="Q536" s="62" t="n"/>
      <c r="R536" s="60" t="n"/>
      <c r="S536" s="59" t="n"/>
      <c r="T536" s="60" t="n"/>
      <c r="U536" s="59" t="n"/>
      <c r="V536" s="45">
        <f>IF(OR($A536="",$T536="",$T536="No Issue"),"",IF($T536="Resolved",IF($U536="","",$U536-$A536),TODAY()-$A536))</f>
        <v/>
      </c>
      <c r="W536" s="47">
        <f>IF(AND($C536&lt;&gt;"",$C536='Store History'!$C$4,OR('Store History'!$C$5="",$F536='Store History'!$C$5)),1,0)</f>
        <v/>
      </c>
      <c r="X536" s="47">
        <f>IF($W536=1,SUM($W536:$W$1005),"")</f>
        <v/>
      </c>
    </row>
    <row r="537">
      <c r="A537" s="59" t="n"/>
      <c r="B537" s="60" t="n"/>
      <c r="C537" s="60" t="n"/>
      <c r="D537" s="45">
        <f>IF($C537="","",IFERROR(INDEX('Chain Program'!$B$6:$B$120,MATCH($C537,'Chain Program'!$A$6:$A$120,0)),"Unknown ID"))</f>
        <v/>
      </c>
      <c r="E537" s="45">
        <f>IF($C537="","",IFERROR(INDEX('Chain Program'!$D$6:$D$120,MATCH($C537,'Chain Program'!$A$6:$A$120,0)),"Unknown ID"))</f>
        <v/>
      </c>
      <c r="F537" s="60" t="n"/>
      <c r="G537" s="60" t="n"/>
      <c r="H537" s="56">
        <f>IF(OR($C537="",$A537=""),"",IF(COUNTIFS('Promo Calendar'!$A$6:$A$400,$C537,'Promo Calendar'!$D$6:$D$400,IF($G537="","All",$G537),'Promo Calendar'!$I$6:$I$400,"&lt;="&amp;$A537,'Promo Calendar'!$J$6:$J$400,"&gt;="&amp;$A537,'Promo Calendar'!$G$6:$G$400,"&gt;0")&gt;0,_xlfn.MINIFS('Promo Calendar'!$G$6:$G$400,'Promo Calendar'!$A$6:$A$400,$C537,'Promo Calendar'!$D$6:$D$400,IF($G537="","All",$G537),'Promo Calendar'!$I$6:$I$400,"&lt;="&amp;$A537,'Promo Calendar'!$J$6:$J$400,"&gt;="&amp;$A537,'Promo Calendar'!$G$6:$G$400,"&gt;0"),IF(COUNTIFS('Promo Calendar'!$A$6:$A$400,$C537,'Promo Calendar'!$D$6:$D$400,"All",'Promo Calendar'!$I$6:$I$400,"&lt;="&amp;$A537,'Promo Calendar'!$J$6:$J$400,"&gt;="&amp;$A537,'Promo Calendar'!$G$6:$G$400,"&gt;0")&gt;0,_xlfn.MINIFS('Promo Calendar'!$G$6:$G$400,'Promo Calendar'!$A$6:$A$400,$C537,'Promo Calendar'!$D$6:$D$400,"All",'Promo Calendar'!$I$6:$I$400,"&lt;="&amp;$A537,'Promo Calendar'!$J$6:$J$400,"&gt;="&amp;$A537,'Promo Calendar'!$G$6:$G$400,"&gt;0"),IFERROR(IF(INDEX('Chain Program'!$M$6:$M$120,MATCH($C537,'Chain Program'!$A$6:$A$120,0))="","Not set",INDEX('Chain Program'!$M$6:$M$120,MATCH($C537,'Chain Program'!$A$6:$A$120,0))),"Not set"))))</f>
        <v/>
      </c>
      <c r="I537" s="61" t="n"/>
      <c r="J537" s="45">
        <f>IF($I537="","",IF(NOT(ISNUMBER($H537)),"No plan price",IF(ABS($I537-$H537)&lt;0.005,"Match",IF($I537&gt;$H537,"Over plan","Under plan"))))</f>
        <v/>
      </c>
      <c r="K537" s="60" t="n"/>
      <c r="L537" s="60" t="n"/>
      <c r="M537" s="60" t="n"/>
      <c r="N537" s="60" t="n"/>
      <c r="O537" s="60" t="n"/>
      <c r="P537" s="62" t="n"/>
      <c r="Q537" s="62" t="n"/>
      <c r="R537" s="60" t="n"/>
      <c r="S537" s="59" t="n"/>
      <c r="T537" s="60" t="n"/>
      <c r="U537" s="59" t="n"/>
      <c r="V537" s="45">
        <f>IF(OR($A537="",$T537="",$T537="No Issue"),"",IF($T537="Resolved",IF($U537="","",$U537-$A537),TODAY()-$A537))</f>
        <v/>
      </c>
      <c r="W537" s="47">
        <f>IF(AND($C537&lt;&gt;"",$C537='Store History'!$C$4,OR('Store History'!$C$5="",$F537='Store History'!$C$5)),1,0)</f>
        <v/>
      </c>
      <c r="X537" s="47">
        <f>IF($W537=1,SUM($W537:$W$1005),"")</f>
        <v/>
      </c>
    </row>
    <row r="538">
      <c r="A538" s="59" t="n"/>
      <c r="B538" s="60" t="n"/>
      <c r="C538" s="60" t="n"/>
      <c r="D538" s="45">
        <f>IF($C538="","",IFERROR(INDEX('Chain Program'!$B$6:$B$120,MATCH($C538,'Chain Program'!$A$6:$A$120,0)),"Unknown ID"))</f>
        <v/>
      </c>
      <c r="E538" s="45">
        <f>IF($C538="","",IFERROR(INDEX('Chain Program'!$D$6:$D$120,MATCH($C538,'Chain Program'!$A$6:$A$120,0)),"Unknown ID"))</f>
        <v/>
      </c>
      <c r="F538" s="60" t="n"/>
      <c r="G538" s="60" t="n"/>
      <c r="H538" s="56">
        <f>IF(OR($C538="",$A538=""),"",IF(COUNTIFS('Promo Calendar'!$A$6:$A$400,$C538,'Promo Calendar'!$D$6:$D$400,IF($G538="","All",$G538),'Promo Calendar'!$I$6:$I$400,"&lt;="&amp;$A538,'Promo Calendar'!$J$6:$J$400,"&gt;="&amp;$A538,'Promo Calendar'!$G$6:$G$400,"&gt;0")&gt;0,_xlfn.MINIFS('Promo Calendar'!$G$6:$G$400,'Promo Calendar'!$A$6:$A$400,$C538,'Promo Calendar'!$D$6:$D$400,IF($G538="","All",$G538),'Promo Calendar'!$I$6:$I$400,"&lt;="&amp;$A538,'Promo Calendar'!$J$6:$J$400,"&gt;="&amp;$A538,'Promo Calendar'!$G$6:$G$400,"&gt;0"),IF(COUNTIFS('Promo Calendar'!$A$6:$A$400,$C538,'Promo Calendar'!$D$6:$D$400,"All",'Promo Calendar'!$I$6:$I$400,"&lt;="&amp;$A538,'Promo Calendar'!$J$6:$J$400,"&gt;="&amp;$A538,'Promo Calendar'!$G$6:$G$400,"&gt;0")&gt;0,_xlfn.MINIFS('Promo Calendar'!$G$6:$G$400,'Promo Calendar'!$A$6:$A$400,$C538,'Promo Calendar'!$D$6:$D$400,"All",'Promo Calendar'!$I$6:$I$400,"&lt;="&amp;$A538,'Promo Calendar'!$J$6:$J$400,"&gt;="&amp;$A538,'Promo Calendar'!$G$6:$G$400,"&gt;0"),IFERROR(IF(INDEX('Chain Program'!$M$6:$M$120,MATCH($C538,'Chain Program'!$A$6:$A$120,0))="","Not set",INDEX('Chain Program'!$M$6:$M$120,MATCH($C538,'Chain Program'!$A$6:$A$120,0))),"Not set"))))</f>
        <v/>
      </c>
      <c r="I538" s="61" t="n"/>
      <c r="J538" s="45">
        <f>IF($I538="","",IF(NOT(ISNUMBER($H538)),"No plan price",IF(ABS($I538-$H538)&lt;0.005,"Match",IF($I538&gt;$H538,"Over plan","Under plan"))))</f>
        <v/>
      </c>
      <c r="K538" s="60" t="n"/>
      <c r="L538" s="60" t="n"/>
      <c r="M538" s="60" t="n"/>
      <c r="N538" s="60" t="n"/>
      <c r="O538" s="60" t="n"/>
      <c r="P538" s="62" t="n"/>
      <c r="Q538" s="62" t="n"/>
      <c r="R538" s="60" t="n"/>
      <c r="S538" s="59" t="n"/>
      <c r="T538" s="60" t="n"/>
      <c r="U538" s="59" t="n"/>
      <c r="V538" s="45">
        <f>IF(OR($A538="",$T538="",$T538="No Issue"),"",IF($T538="Resolved",IF($U538="","",$U538-$A538),TODAY()-$A538))</f>
        <v/>
      </c>
      <c r="W538" s="47">
        <f>IF(AND($C538&lt;&gt;"",$C538='Store History'!$C$4,OR('Store History'!$C$5="",$F538='Store History'!$C$5)),1,0)</f>
        <v/>
      </c>
      <c r="X538" s="47">
        <f>IF($W538=1,SUM($W538:$W$1005),"")</f>
        <v/>
      </c>
    </row>
    <row r="539">
      <c r="A539" s="59" t="n"/>
      <c r="B539" s="60" t="n"/>
      <c r="C539" s="60" t="n"/>
      <c r="D539" s="45">
        <f>IF($C539="","",IFERROR(INDEX('Chain Program'!$B$6:$B$120,MATCH($C539,'Chain Program'!$A$6:$A$120,0)),"Unknown ID"))</f>
        <v/>
      </c>
      <c r="E539" s="45">
        <f>IF($C539="","",IFERROR(INDEX('Chain Program'!$D$6:$D$120,MATCH($C539,'Chain Program'!$A$6:$A$120,0)),"Unknown ID"))</f>
        <v/>
      </c>
      <c r="F539" s="60" t="n"/>
      <c r="G539" s="60" t="n"/>
      <c r="H539" s="56">
        <f>IF(OR($C539="",$A539=""),"",IF(COUNTIFS('Promo Calendar'!$A$6:$A$400,$C539,'Promo Calendar'!$D$6:$D$400,IF($G539="","All",$G539),'Promo Calendar'!$I$6:$I$400,"&lt;="&amp;$A539,'Promo Calendar'!$J$6:$J$400,"&gt;="&amp;$A539,'Promo Calendar'!$G$6:$G$400,"&gt;0")&gt;0,_xlfn.MINIFS('Promo Calendar'!$G$6:$G$400,'Promo Calendar'!$A$6:$A$400,$C539,'Promo Calendar'!$D$6:$D$400,IF($G539="","All",$G539),'Promo Calendar'!$I$6:$I$400,"&lt;="&amp;$A539,'Promo Calendar'!$J$6:$J$400,"&gt;="&amp;$A539,'Promo Calendar'!$G$6:$G$400,"&gt;0"),IF(COUNTIFS('Promo Calendar'!$A$6:$A$400,$C539,'Promo Calendar'!$D$6:$D$400,"All",'Promo Calendar'!$I$6:$I$400,"&lt;="&amp;$A539,'Promo Calendar'!$J$6:$J$400,"&gt;="&amp;$A539,'Promo Calendar'!$G$6:$G$400,"&gt;0")&gt;0,_xlfn.MINIFS('Promo Calendar'!$G$6:$G$400,'Promo Calendar'!$A$6:$A$400,$C539,'Promo Calendar'!$D$6:$D$400,"All",'Promo Calendar'!$I$6:$I$400,"&lt;="&amp;$A539,'Promo Calendar'!$J$6:$J$400,"&gt;="&amp;$A539,'Promo Calendar'!$G$6:$G$400,"&gt;0"),IFERROR(IF(INDEX('Chain Program'!$M$6:$M$120,MATCH($C539,'Chain Program'!$A$6:$A$120,0))="","Not set",INDEX('Chain Program'!$M$6:$M$120,MATCH($C539,'Chain Program'!$A$6:$A$120,0))),"Not set"))))</f>
        <v/>
      </c>
      <c r="I539" s="61" t="n"/>
      <c r="J539" s="45">
        <f>IF($I539="","",IF(NOT(ISNUMBER($H539)),"No plan price",IF(ABS($I539-$H539)&lt;0.005,"Match",IF($I539&gt;$H539,"Over plan","Under plan"))))</f>
        <v/>
      </c>
      <c r="K539" s="60" t="n"/>
      <c r="L539" s="60" t="n"/>
      <c r="M539" s="60" t="n"/>
      <c r="N539" s="60" t="n"/>
      <c r="O539" s="60" t="n"/>
      <c r="P539" s="62" t="n"/>
      <c r="Q539" s="62" t="n"/>
      <c r="R539" s="60" t="n"/>
      <c r="S539" s="59" t="n"/>
      <c r="T539" s="60" t="n"/>
      <c r="U539" s="59" t="n"/>
      <c r="V539" s="45">
        <f>IF(OR($A539="",$T539="",$T539="No Issue"),"",IF($T539="Resolved",IF($U539="","",$U539-$A539),TODAY()-$A539))</f>
        <v/>
      </c>
      <c r="W539" s="47">
        <f>IF(AND($C539&lt;&gt;"",$C539='Store History'!$C$4,OR('Store History'!$C$5="",$F539='Store History'!$C$5)),1,0)</f>
        <v/>
      </c>
      <c r="X539" s="47">
        <f>IF($W539=1,SUM($W539:$W$1005),"")</f>
        <v/>
      </c>
    </row>
    <row r="540">
      <c r="A540" s="59" t="n"/>
      <c r="B540" s="60" t="n"/>
      <c r="C540" s="60" t="n"/>
      <c r="D540" s="45">
        <f>IF($C540="","",IFERROR(INDEX('Chain Program'!$B$6:$B$120,MATCH($C540,'Chain Program'!$A$6:$A$120,0)),"Unknown ID"))</f>
        <v/>
      </c>
      <c r="E540" s="45">
        <f>IF($C540="","",IFERROR(INDEX('Chain Program'!$D$6:$D$120,MATCH($C540,'Chain Program'!$A$6:$A$120,0)),"Unknown ID"))</f>
        <v/>
      </c>
      <c r="F540" s="60" t="n"/>
      <c r="G540" s="60" t="n"/>
      <c r="H540" s="56">
        <f>IF(OR($C540="",$A540=""),"",IF(COUNTIFS('Promo Calendar'!$A$6:$A$400,$C540,'Promo Calendar'!$D$6:$D$400,IF($G540="","All",$G540),'Promo Calendar'!$I$6:$I$400,"&lt;="&amp;$A540,'Promo Calendar'!$J$6:$J$400,"&gt;="&amp;$A540,'Promo Calendar'!$G$6:$G$400,"&gt;0")&gt;0,_xlfn.MINIFS('Promo Calendar'!$G$6:$G$400,'Promo Calendar'!$A$6:$A$400,$C540,'Promo Calendar'!$D$6:$D$400,IF($G540="","All",$G540),'Promo Calendar'!$I$6:$I$400,"&lt;="&amp;$A540,'Promo Calendar'!$J$6:$J$400,"&gt;="&amp;$A540,'Promo Calendar'!$G$6:$G$400,"&gt;0"),IF(COUNTIFS('Promo Calendar'!$A$6:$A$400,$C540,'Promo Calendar'!$D$6:$D$400,"All",'Promo Calendar'!$I$6:$I$400,"&lt;="&amp;$A540,'Promo Calendar'!$J$6:$J$400,"&gt;="&amp;$A540,'Promo Calendar'!$G$6:$G$400,"&gt;0")&gt;0,_xlfn.MINIFS('Promo Calendar'!$G$6:$G$400,'Promo Calendar'!$A$6:$A$400,$C540,'Promo Calendar'!$D$6:$D$400,"All",'Promo Calendar'!$I$6:$I$400,"&lt;="&amp;$A540,'Promo Calendar'!$J$6:$J$400,"&gt;="&amp;$A540,'Promo Calendar'!$G$6:$G$400,"&gt;0"),IFERROR(IF(INDEX('Chain Program'!$M$6:$M$120,MATCH($C540,'Chain Program'!$A$6:$A$120,0))="","Not set",INDEX('Chain Program'!$M$6:$M$120,MATCH($C540,'Chain Program'!$A$6:$A$120,0))),"Not set"))))</f>
        <v/>
      </c>
      <c r="I540" s="61" t="n"/>
      <c r="J540" s="45">
        <f>IF($I540="","",IF(NOT(ISNUMBER($H540)),"No plan price",IF(ABS($I540-$H540)&lt;0.005,"Match",IF($I540&gt;$H540,"Over plan","Under plan"))))</f>
        <v/>
      </c>
      <c r="K540" s="60" t="n"/>
      <c r="L540" s="60" t="n"/>
      <c r="M540" s="60" t="n"/>
      <c r="N540" s="60" t="n"/>
      <c r="O540" s="60" t="n"/>
      <c r="P540" s="62" t="n"/>
      <c r="Q540" s="62" t="n"/>
      <c r="R540" s="60" t="n"/>
      <c r="S540" s="59" t="n"/>
      <c r="T540" s="60" t="n"/>
      <c r="U540" s="59" t="n"/>
      <c r="V540" s="45">
        <f>IF(OR($A540="",$T540="",$T540="No Issue"),"",IF($T540="Resolved",IF($U540="","",$U540-$A540),TODAY()-$A540))</f>
        <v/>
      </c>
      <c r="W540" s="47">
        <f>IF(AND($C540&lt;&gt;"",$C540='Store History'!$C$4,OR('Store History'!$C$5="",$F540='Store History'!$C$5)),1,0)</f>
        <v/>
      </c>
      <c r="X540" s="47">
        <f>IF($W540=1,SUM($W540:$W$1005),"")</f>
        <v/>
      </c>
    </row>
    <row r="541">
      <c r="A541" s="59" t="n"/>
      <c r="B541" s="60" t="n"/>
      <c r="C541" s="60" t="n"/>
      <c r="D541" s="45">
        <f>IF($C541="","",IFERROR(INDEX('Chain Program'!$B$6:$B$120,MATCH($C541,'Chain Program'!$A$6:$A$120,0)),"Unknown ID"))</f>
        <v/>
      </c>
      <c r="E541" s="45">
        <f>IF($C541="","",IFERROR(INDEX('Chain Program'!$D$6:$D$120,MATCH($C541,'Chain Program'!$A$6:$A$120,0)),"Unknown ID"))</f>
        <v/>
      </c>
      <c r="F541" s="60" t="n"/>
      <c r="G541" s="60" t="n"/>
      <c r="H541" s="56">
        <f>IF(OR($C541="",$A541=""),"",IF(COUNTIFS('Promo Calendar'!$A$6:$A$400,$C541,'Promo Calendar'!$D$6:$D$400,IF($G541="","All",$G541),'Promo Calendar'!$I$6:$I$400,"&lt;="&amp;$A541,'Promo Calendar'!$J$6:$J$400,"&gt;="&amp;$A541,'Promo Calendar'!$G$6:$G$400,"&gt;0")&gt;0,_xlfn.MINIFS('Promo Calendar'!$G$6:$G$400,'Promo Calendar'!$A$6:$A$400,$C541,'Promo Calendar'!$D$6:$D$400,IF($G541="","All",$G541),'Promo Calendar'!$I$6:$I$400,"&lt;="&amp;$A541,'Promo Calendar'!$J$6:$J$400,"&gt;="&amp;$A541,'Promo Calendar'!$G$6:$G$400,"&gt;0"),IF(COUNTIFS('Promo Calendar'!$A$6:$A$400,$C541,'Promo Calendar'!$D$6:$D$400,"All",'Promo Calendar'!$I$6:$I$400,"&lt;="&amp;$A541,'Promo Calendar'!$J$6:$J$400,"&gt;="&amp;$A541,'Promo Calendar'!$G$6:$G$400,"&gt;0")&gt;0,_xlfn.MINIFS('Promo Calendar'!$G$6:$G$400,'Promo Calendar'!$A$6:$A$400,$C541,'Promo Calendar'!$D$6:$D$400,"All",'Promo Calendar'!$I$6:$I$400,"&lt;="&amp;$A541,'Promo Calendar'!$J$6:$J$400,"&gt;="&amp;$A541,'Promo Calendar'!$G$6:$G$400,"&gt;0"),IFERROR(IF(INDEX('Chain Program'!$M$6:$M$120,MATCH($C541,'Chain Program'!$A$6:$A$120,0))="","Not set",INDEX('Chain Program'!$M$6:$M$120,MATCH($C541,'Chain Program'!$A$6:$A$120,0))),"Not set"))))</f>
        <v/>
      </c>
      <c r="I541" s="61" t="n"/>
      <c r="J541" s="45">
        <f>IF($I541="","",IF(NOT(ISNUMBER($H541)),"No plan price",IF(ABS($I541-$H541)&lt;0.005,"Match",IF($I541&gt;$H541,"Over plan","Under plan"))))</f>
        <v/>
      </c>
      <c r="K541" s="60" t="n"/>
      <c r="L541" s="60" t="n"/>
      <c r="M541" s="60" t="n"/>
      <c r="N541" s="60" t="n"/>
      <c r="O541" s="60" t="n"/>
      <c r="P541" s="62" t="n"/>
      <c r="Q541" s="62" t="n"/>
      <c r="R541" s="60" t="n"/>
      <c r="S541" s="59" t="n"/>
      <c r="T541" s="60" t="n"/>
      <c r="U541" s="59" t="n"/>
      <c r="V541" s="45">
        <f>IF(OR($A541="",$T541="",$T541="No Issue"),"",IF($T541="Resolved",IF($U541="","",$U541-$A541),TODAY()-$A541))</f>
        <v/>
      </c>
      <c r="W541" s="47">
        <f>IF(AND($C541&lt;&gt;"",$C541='Store History'!$C$4,OR('Store History'!$C$5="",$F541='Store History'!$C$5)),1,0)</f>
        <v/>
      </c>
      <c r="X541" s="47">
        <f>IF($W541=1,SUM($W541:$W$1005),"")</f>
        <v/>
      </c>
    </row>
    <row r="542">
      <c r="A542" s="59" t="n"/>
      <c r="B542" s="60" t="n"/>
      <c r="C542" s="60" t="n"/>
      <c r="D542" s="45">
        <f>IF($C542="","",IFERROR(INDEX('Chain Program'!$B$6:$B$120,MATCH($C542,'Chain Program'!$A$6:$A$120,0)),"Unknown ID"))</f>
        <v/>
      </c>
      <c r="E542" s="45">
        <f>IF($C542="","",IFERROR(INDEX('Chain Program'!$D$6:$D$120,MATCH($C542,'Chain Program'!$A$6:$A$120,0)),"Unknown ID"))</f>
        <v/>
      </c>
      <c r="F542" s="60" t="n"/>
      <c r="G542" s="60" t="n"/>
      <c r="H542" s="56">
        <f>IF(OR($C542="",$A542=""),"",IF(COUNTIFS('Promo Calendar'!$A$6:$A$400,$C542,'Promo Calendar'!$D$6:$D$400,IF($G542="","All",$G542),'Promo Calendar'!$I$6:$I$400,"&lt;="&amp;$A542,'Promo Calendar'!$J$6:$J$400,"&gt;="&amp;$A542,'Promo Calendar'!$G$6:$G$400,"&gt;0")&gt;0,_xlfn.MINIFS('Promo Calendar'!$G$6:$G$400,'Promo Calendar'!$A$6:$A$400,$C542,'Promo Calendar'!$D$6:$D$400,IF($G542="","All",$G542),'Promo Calendar'!$I$6:$I$400,"&lt;="&amp;$A542,'Promo Calendar'!$J$6:$J$400,"&gt;="&amp;$A542,'Promo Calendar'!$G$6:$G$400,"&gt;0"),IF(COUNTIFS('Promo Calendar'!$A$6:$A$400,$C542,'Promo Calendar'!$D$6:$D$400,"All",'Promo Calendar'!$I$6:$I$400,"&lt;="&amp;$A542,'Promo Calendar'!$J$6:$J$400,"&gt;="&amp;$A542,'Promo Calendar'!$G$6:$G$400,"&gt;0")&gt;0,_xlfn.MINIFS('Promo Calendar'!$G$6:$G$400,'Promo Calendar'!$A$6:$A$400,$C542,'Promo Calendar'!$D$6:$D$400,"All",'Promo Calendar'!$I$6:$I$400,"&lt;="&amp;$A542,'Promo Calendar'!$J$6:$J$400,"&gt;="&amp;$A542,'Promo Calendar'!$G$6:$G$400,"&gt;0"),IFERROR(IF(INDEX('Chain Program'!$M$6:$M$120,MATCH($C542,'Chain Program'!$A$6:$A$120,0))="","Not set",INDEX('Chain Program'!$M$6:$M$120,MATCH($C542,'Chain Program'!$A$6:$A$120,0))),"Not set"))))</f>
        <v/>
      </c>
      <c r="I542" s="61" t="n"/>
      <c r="J542" s="45">
        <f>IF($I542="","",IF(NOT(ISNUMBER($H542)),"No plan price",IF(ABS($I542-$H542)&lt;0.005,"Match",IF($I542&gt;$H542,"Over plan","Under plan"))))</f>
        <v/>
      </c>
      <c r="K542" s="60" t="n"/>
      <c r="L542" s="60" t="n"/>
      <c r="M542" s="60" t="n"/>
      <c r="N542" s="60" t="n"/>
      <c r="O542" s="60" t="n"/>
      <c r="P542" s="62" t="n"/>
      <c r="Q542" s="62" t="n"/>
      <c r="R542" s="60" t="n"/>
      <c r="S542" s="59" t="n"/>
      <c r="T542" s="60" t="n"/>
      <c r="U542" s="59" t="n"/>
      <c r="V542" s="45">
        <f>IF(OR($A542="",$T542="",$T542="No Issue"),"",IF($T542="Resolved",IF($U542="","",$U542-$A542),TODAY()-$A542))</f>
        <v/>
      </c>
      <c r="W542" s="47">
        <f>IF(AND($C542&lt;&gt;"",$C542='Store History'!$C$4,OR('Store History'!$C$5="",$F542='Store History'!$C$5)),1,0)</f>
        <v/>
      </c>
      <c r="X542" s="47">
        <f>IF($W542=1,SUM($W542:$W$1005),"")</f>
        <v/>
      </c>
    </row>
    <row r="543">
      <c r="A543" s="59" t="n"/>
      <c r="B543" s="60" t="n"/>
      <c r="C543" s="60" t="n"/>
      <c r="D543" s="45">
        <f>IF($C543="","",IFERROR(INDEX('Chain Program'!$B$6:$B$120,MATCH($C543,'Chain Program'!$A$6:$A$120,0)),"Unknown ID"))</f>
        <v/>
      </c>
      <c r="E543" s="45">
        <f>IF($C543="","",IFERROR(INDEX('Chain Program'!$D$6:$D$120,MATCH($C543,'Chain Program'!$A$6:$A$120,0)),"Unknown ID"))</f>
        <v/>
      </c>
      <c r="F543" s="60" t="n"/>
      <c r="G543" s="60" t="n"/>
      <c r="H543" s="56">
        <f>IF(OR($C543="",$A543=""),"",IF(COUNTIFS('Promo Calendar'!$A$6:$A$400,$C543,'Promo Calendar'!$D$6:$D$400,IF($G543="","All",$G543),'Promo Calendar'!$I$6:$I$400,"&lt;="&amp;$A543,'Promo Calendar'!$J$6:$J$400,"&gt;="&amp;$A543,'Promo Calendar'!$G$6:$G$400,"&gt;0")&gt;0,_xlfn.MINIFS('Promo Calendar'!$G$6:$G$400,'Promo Calendar'!$A$6:$A$400,$C543,'Promo Calendar'!$D$6:$D$400,IF($G543="","All",$G543),'Promo Calendar'!$I$6:$I$400,"&lt;="&amp;$A543,'Promo Calendar'!$J$6:$J$400,"&gt;="&amp;$A543,'Promo Calendar'!$G$6:$G$400,"&gt;0"),IF(COUNTIFS('Promo Calendar'!$A$6:$A$400,$C543,'Promo Calendar'!$D$6:$D$400,"All",'Promo Calendar'!$I$6:$I$400,"&lt;="&amp;$A543,'Promo Calendar'!$J$6:$J$400,"&gt;="&amp;$A543,'Promo Calendar'!$G$6:$G$400,"&gt;0")&gt;0,_xlfn.MINIFS('Promo Calendar'!$G$6:$G$400,'Promo Calendar'!$A$6:$A$400,$C543,'Promo Calendar'!$D$6:$D$400,"All",'Promo Calendar'!$I$6:$I$400,"&lt;="&amp;$A543,'Promo Calendar'!$J$6:$J$400,"&gt;="&amp;$A543,'Promo Calendar'!$G$6:$G$400,"&gt;0"),IFERROR(IF(INDEX('Chain Program'!$M$6:$M$120,MATCH($C543,'Chain Program'!$A$6:$A$120,0))="","Not set",INDEX('Chain Program'!$M$6:$M$120,MATCH($C543,'Chain Program'!$A$6:$A$120,0))),"Not set"))))</f>
        <v/>
      </c>
      <c r="I543" s="61" t="n"/>
      <c r="J543" s="45">
        <f>IF($I543="","",IF(NOT(ISNUMBER($H543)),"No plan price",IF(ABS($I543-$H543)&lt;0.005,"Match",IF($I543&gt;$H543,"Over plan","Under plan"))))</f>
        <v/>
      </c>
      <c r="K543" s="60" t="n"/>
      <c r="L543" s="60" t="n"/>
      <c r="M543" s="60" t="n"/>
      <c r="N543" s="60" t="n"/>
      <c r="O543" s="60" t="n"/>
      <c r="P543" s="62" t="n"/>
      <c r="Q543" s="62" t="n"/>
      <c r="R543" s="60" t="n"/>
      <c r="S543" s="59" t="n"/>
      <c r="T543" s="60" t="n"/>
      <c r="U543" s="59" t="n"/>
      <c r="V543" s="45">
        <f>IF(OR($A543="",$T543="",$T543="No Issue"),"",IF($T543="Resolved",IF($U543="","",$U543-$A543),TODAY()-$A543))</f>
        <v/>
      </c>
      <c r="W543" s="47">
        <f>IF(AND($C543&lt;&gt;"",$C543='Store History'!$C$4,OR('Store History'!$C$5="",$F543='Store History'!$C$5)),1,0)</f>
        <v/>
      </c>
      <c r="X543" s="47">
        <f>IF($W543=1,SUM($W543:$W$1005),"")</f>
        <v/>
      </c>
    </row>
    <row r="544">
      <c r="A544" s="59" t="n"/>
      <c r="B544" s="60" t="n"/>
      <c r="C544" s="60" t="n"/>
      <c r="D544" s="45">
        <f>IF($C544="","",IFERROR(INDEX('Chain Program'!$B$6:$B$120,MATCH($C544,'Chain Program'!$A$6:$A$120,0)),"Unknown ID"))</f>
        <v/>
      </c>
      <c r="E544" s="45">
        <f>IF($C544="","",IFERROR(INDEX('Chain Program'!$D$6:$D$120,MATCH($C544,'Chain Program'!$A$6:$A$120,0)),"Unknown ID"))</f>
        <v/>
      </c>
      <c r="F544" s="60" t="n"/>
      <c r="G544" s="60" t="n"/>
      <c r="H544" s="56">
        <f>IF(OR($C544="",$A544=""),"",IF(COUNTIFS('Promo Calendar'!$A$6:$A$400,$C544,'Promo Calendar'!$D$6:$D$400,IF($G544="","All",$G544),'Promo Calendar'!$I$6:$I$400,"&lt;="&amp;$A544,'Promo Calendar'!$J$6:$J$400,"&gt;="&amp;$A544,'Promo Calendar'!$G$6:$G$400,"&gt;0")&gt;0,_xlfn.MINIFS('Promo Calendar'!$G$6:$G$400,'Promo Calendar'!$A$6:$A$400,$C544,'Promo Calendar'!$D$6:$D$400,IF($G544="","All",$G544),'Promo Calendar'!$I$6:$I$400,"&lt;="&amp;$A544,'Promo Calendar'!$J$6:$J$400,"&gt;="&amp;$A544,'Promo Calendar'!$G$6:$G$400,"&gt;0"),IF(COUNTIFS('Promo Calendar'!$A$6:$A$400,$C544,'Promo Calendar'!$D$6:$D$400,"All",'Promo Calendar'!$I$6:$I$400,"&lt;="&amp;$A544,'Promo Calendar'!$J$6:$J$400,"&gt;="&amp;$A544,'Promo Calendar'!$G$6:$G$400,"&gt;0")&gt;0,_xlfn.MINIFS('Promo Calendar'!$G$6:$G$400,'Promo Calendar'!$A$6:$A$400,$C544,'Promo Calendar'!$D$6:$D$400,"All",'Promo Calendar'!$I$6:$I$400,"&lt;="&amp;$A544,'Promo Calendar'!$J$6:$J$400,"&gt;="&amp;$A544,'Promo Calendar'!$G$6:$G$400,"&gt;0"),IFERROR(IF(INDEX('Chain Program'!$M$6:$M$120,MATCH($C544,'Chain Program'!$A$6:$A$120,0))="","Not set",INDEX('Chain Program'!$M$6:$M$120,MATCH($C544,'Chain Program'!$A$6:$A$120,0))),"Not set"))))</f>
        <v/>
      </c>
      <c r="I544" s="61" t="n"/>
      <c r="J544" s="45">
        <f>IF($I544="","",IF(NOT(ISNUMBER($H544)),"No plan price",IF(ABS($I544-$H544)&lt;0.005,"Match",IF($I544&gt;$H544,"Over plan","Under plan"))))</f>
        <v/>
      </c>
      <c r="K544" s="60" t="n"/>
      <c r="L544" s="60" t="n"/>
      <c r="M544" s="60" t="n"/>
      <c r="N544" s="60" t="n"/>
      <c r="O544" s="60" t="n"/>
      <c r="P544" s="62" t="n"/>
      <c r="Q544" s="62" t="n"/>
      <c r="R544" s="60" t="n"/>
      <c r="S544" s="59" t="n"/>
      <c r="T544" s="60" t="n"/>
      <c r="U544" s="59" t="n"/>
      <c r="V544" s="45">
        <f>IF(OR($A544="",$T544="",$T544="No Issue"),"",IF($T544="Resolved",IF($U544="","",$U544-$A544),TODAY()-$A544))</f>
        <v/>
      </c>
      <c r="W544" s="47">
        <f>IF(AND($C544&lt;&gt;"",$C544='Store History'!$C$4,OR('Store History'!$C$5="",$F544='Store History'!$C$5)),1,0)</f>
        <v/>
      </c>
      <c r="X544" s="47">
        <f>IF($W544=1,SUM($W544:$W$1005),"")</f>
        <v/>
      </c>
    </row>
    <row r="545">
      <c r="A545" s="59" t="n"/>
      <c r="B545" s="60" t="n"/>
      <c r="C545" s="60" t="n"/>
      <c r="D545" s="45">
        <f>IF($C545="","",IFERROR(INDEX('Chain Program'!$B$6:$B$120,MATCH($C545,'Chain Program'!$A$6:$A$120,0)),"Unknown ID"))</f>
        <v/>
      </c>
      <c r="E545" s="45">
        <f>IF($C545="","",IFERROR(INDEX('Chain Program'!$D$6:$D$120,MATCH($C545,'Chain Program'!$A$6:$A$120,0)),"Unknown ID"))</f>
        <v/>
      </c>
      <c r="F545" s="60" t="n"/>
      <c r="G545" s="60" t="n"/>
      <c r="H545" s="56">
        <f>IF(OR($C545="",$A545=""),"",IF(COUNTIFS('Promo Calendar'!$A$6:$A$400,$C545,'Promo Calendar'!$D$6:$D$400,IF($G545="","All",$G545),'Promo Calendar'!$I$6:$I$400,"&lt;="&amp;$A545,'Promo Calendar'!$J$6:$J$400,"&gt;="&amp;$A545,'Promo Calendar'!$G$6:$G$400,"&gt;0")&gt;0,_xlfn.MINIFS('Promo Calendar'!$G$6:$G$400,'Promo Calendar'!$A$6:$A$400,$C545,'Promo Calendar'!$D$6:$D$400,IF($G545="","All",$G545),'Promo Calendar'!$I$6:$I$400,"&lt;="&amp;$A545,'Promo Calendar'!$J$6:$J$400,"&gt;="&amp;$A545,'Promo Calendar'!$G$6:$G$400,"&gt;0"),IF(COUNTIFS('Promo Calendar'!$A$6:$A$400,$C545,'Promo Calendar'!$D$6:$D$400,"All",'Promo Calendar'!$I$6:$I$400,"&lt;="&amp;$A545,'Promo Calendar'!$J$6:$J$400,"&gt;="&amp;$A545,'Promo Calendar'!$G$6:$G$400,"&gt;0")&gt;0,_xlfn.MINIFS('Promo Calendar'!$G$6:$G$400,'Promo Calendar'!$A$6:$A$400,$C545,'Promo Calendar'!$D$6:$D$400,"All",'Promo Calendar'!$I$6:$I$400,"&lt;="&amp;$A545,'Promo Calendar'!$J$6:$J$400,"&gt;="&amp;$A545,'Promo Calendar'!$G$6:$G$400,"&gt;0"),IFERROR(IF(INDEX('Chain Program'!$M$6:$M$120,MATCH($C545,'Chain Program'!$A$6:$A$120,0))="","Not set",INDEX('Chain Program'!$M$6:$M$120,MATCH($C545,'Chain Program'!$A$6:$A$120,0))),"Not set"))))</f>
        <v/>
      </c>
      <c r="I545" s="61" t="n"/>
      <c r="J545" s="45">
        <f>IF($I545="","",IF(NOT(ISNUMBER($H545)),"No plan price",IF(ABS($I545-$H545)&lt;0.005,"Match",IF($I545&gt;$H545,"Over plan","Under plan"))))</f>
        <v/>
      </c>
      <c r="K545" s="60" t="n"/>
      <c r="L545" s="60" t="n"/>
      <c r="M545" s="60" t="n"/>
      <c r="N545" s="60" t="n"/>
      <c r="O545" s="60" t="n"/>
      <c r="P545" s="62" t="n"/>
      <c r="Q545" s="62" t="n"/>
      <c r="R545" s="60" t="n"/>
      <c r="S545" s="59" t="n"/>
      <c r="T545" s="60" t="n"/>
      <c r="U545" s="59" t="n"/>
      <c r="V545" s="45">
        <f>IF(OR($A545="",$T545="",$T545="No Issue"),"",IF($T545="Resolved",IF($U545="","",$U545-$A545),TODAY()-$A545))</f>
        <v/>
      </c>
      <c r="W545" s="47">
        <f>IF(AND($C545&lt;&gt;"",$C545='Store History'!$C$4,OR('Store History'!$C$5="",$F545='Store History'!$C$5)),1,0)</f>
        <v/>
      </c>
      <c r="X545" s="47">
        <f>IF($W545=1,SUM($W545:$W$1005),"")</f>
        <v/>
      </c>
    </row>
    <row r="546">
      <c r="A546" s="59" t="n"/>
      <c r="B546" s="60" t="n"/>
      <c r="C546" s="60" t="n"/>
      <c r="D546" s="45">
        <f>IF($C546="","",IFERROR(INDEX('Chain Program'!$B$6:$B$120,MATCH($C546,'Chain Program'!$A$6:$A$120,0)),"Unknown ID"))</f>
        <v/>
      </c>
      <c r="E546" s="45">
        <f>IF($C546="","",IFERROR(INDEX('Chain Program'!$D$6:$D$120,MATCH($C546,'Chain Program'!$A$6:$A$120,0)),"Unknown ID"))</f>
        <v/>
      </c>
      <c r="F546" s="60" t="n"/>
      <c r="G546" s="60" t="n"/>
      <c r="H546" s="56">
        <f>IF(OR($C546="",$A546=""),"",IF(COUNTIFS('Promo Calendar'!$A$6:$A$400,$C546,'Promo Calendar'!$D$6:$D$400,IF($G546="","All",$G546),'Promo Calendar'!$I$6:$I$400,"&lt;="&amp;$A546,'Promo Calendar'!$J$6:$J$400,"&gt;="&amp;$A546,'Promo Calendar'!$G$6:$G$400,"&gt;0")&gt;0,_xlfn.MINIFS('Promo Calendar'!$G$6:$G$400,'Promo Calendar'!$A$6:$A$400,$C546,'Promo Calendar'!$D$6:$D$400,IF($G546="","All",$G546),'Promo Calendar'!$I$6:$I$400,"&lt;="&amp;$A546,'Promo Calendar'!$J$6:$J$400,"&gt;="&amp;$A546,'Promo Calendar'!$G$6:$G$400,"&gt;0"),IF(COUNTIFS('Promo Calendar'!$A$6:$A$400,$C546,'Promo Calendar'!$D$6:$D$400,"All",'Promo Calendar'!$I$6:$I$400,"&lt;="&amp;$A546,'Promo Calendar'!$J$6:$J$400,"&gt;="&amp;$A546,'Promo Calendar'!$G$6:$G$400,"&gt;0")&gt;0,_xlfn.MINIFS('Promo Calendar'!$G$6:$G$400,'Promo Calendar'!$A$6:$A$400,$C546,'Promo Calendar'!$D$6:$D$400,"All",'Promo Calendar'!$I$6:$I$400,"&lt;="&amp;$A546,'Promo Calendar'!$J$6:$J$400,"&gt;="&amp;$A546,'Promo Calendar'!$G$6:$G$400,"&gt;0"),IFERROR(IF(INDEX('Chain Program'!$M$6:$M$120,MATCH($C546,'Chain Program'!$A$6:$A$120,0))="","Not set",INDEX('Chain Program'!$M$6:$M$120,MATCH($C546,'Chain Program'!$A$6:$A$120,0))),"Not set"))))</f>
        <v/>
      </c>
      <c r="I546" s="61" t="n"/>
      <c r="J546" s="45">
        <f>IF($I546="","",IF(NOT(ISNUMBER($H546)),"No plan price",IF(ABS($I546-$H546)&lt;0.005,"Match",IF($I546&gt;$H546,"Over plan","Under plan"))))</f>
        <v/>
      </c>
      <c r="K546" s="60" t="n"/>
      <c r="L546" s="60" t="n"/>
      <c r="M546" s="60" t="n"/>
      <c r="N546" s="60" t="n"/>
      <c r="O546" s="60" t="n"/>
      <c r="P546" s="62" t="n"/>
      <c r="Q546" s="62" t="n"/>
      <c r="R546" s="60" t="n"/>
      <c r="S546" s="59" t="n"/>
      <c r="T546" s="60" t="n"/>
      <c r="U546" s="59" t="n"/>
      <c r="V546" s="45">
        <f>IF(OR($A546="",$T546="",$T546="No Issue"),"",IF($T546="Resolved",IF($U546="","",$U546-$A546),TODAY()-$A546))</f>
        <v/>
      </c>
      <c r="W546" s="47">
        <f>IF(AND($C546&lt;&gt;"",$C546='Store History'!$C$4,OR('Store History'!$C$5="",$F546='Store History'!$C$5)),1,0)</f>
        <v/>
      </c>
      <c r="X546" s="47">
        <f>IF($W546=1,SUM($W546:$W$1005),"")</f>
        <v/>
      </c>
    </row>
    <row r="547">
      <c r="A547" s="59" t="n"/>
      <c r="B547" s="60" t="n"/>
      <c r="C547" s="60" t="n"/>
      <c r="D547" s="45">
        <f>IF($C547="","",IFERROR(INDEX('Chain Program'!$B$6:$B$120,MATCH($C547,'Chain Program'!$A$6:$A$120,0)),"Unknown ID"))</f>
        <v/>
      </c>
      <c r="E547" s="45">
        <f>IF($C547="","",IFERROR(INDEX('Chain Program'!$D$6:$D$120,MATCH($C547,'Chain Program'!$A$6:$A$120,0)),"Unknown ID"))</f>
        <v/>
      </c>
      <c r="F547" s="60" t="n"/>
      <c r="G547" s="60" t="n"/>
      <c r="H547" s="56">
        <f>IF(OR($C547="",$A547=""),"",IF(COUNTIFS('Promo Calendar'!$A$6:$A$400,$C547,'Promo Calendar'!$D$6:$D$400,IF($G547="","All",$G547),'Promo Calendar'!$I$6:$I$400,"&lt;="&amp;$A547,'Promo Calendar'!$J$6:$J$400,"&gt;="&amp;$A547,'Promo Calendar'!$G$6:$G$400,"&gt;0")&gt;0,_xlfn.MINIFS('Promo Calendar'!$G$6:$G$400,'Promo Calendar'!$A$6:$A$400,$C547,'Promo Calendar'!$D$6:$D$400,IF($G547="","All",$G547),'Promo Calendar'!$I$6:$I$400,"&lt;="&amp;$A547,'Promo Calendar'!$J$6:$J$400,"&gt;="&amp;$A547,'Promo Calendar'!$G$6:$G$400,"&gt;0"),IF(COUNTIFS('Promo Calendar'!$A$6:$A$400,$C547,'Promo Calendar'!$D$6:$D$400,"All",'Promo Calendar'!$I$6:$I$400,"&lt;="&amp;$A547,'Promo Calendar'!$J$6:$J$400,"&gt;="&amp;$A547,'Promo Calendar'!$G$6:$G$400,"&gt;0")&gt;0,_xlfn.MINIFS('Promo Calendar'!$G$6:$G$400,'Promo Calendar'!$A$6:$A$400,$C547,'Promo Calendar'!$D$6:$D$400,"All",'Promo Calendar'!$I$6:$I$400,"&lt;="&amp;$A547,'Promo Calendar'!$J$6:$J$400,"&gt;="&amp;$A547,'Promo Calendar'!$G$6:$G$400,"&gt;0"),IFERROR(IF(INDEX('Chain Program'!$M$6:$M$120,MATCH($C547,'Chain Program'!$A$6:$A$120,0))="","Not set",INDEX('Chain Program'!$M$6:$M$120,MATCH($C547,'Chain Program'!$A$6:$A$120,0))),"Not set"))))</f>
        <v/>
      </c>
      <c r="I547" s="61" t="n"/>
      <c r="J547" s="45">
        <f>IF($I547="","",IF(NOT(ISNUMBER($H547)),"No plan price",IF(ABS($I547-$H547)&lt;0.005,"Match",IF($I547&gt;$H547,"Over plan","Under plan"))))</f>
        <v/>
      </c>
      <c r="K547" s="60" t="n"/>
      <c r="L547" s="60" t="n"/>
      <c r="M547" s="60" t="n"/>
      <c r="N547" s="60" t="n"/>
      <c r="O547" s="60" t="n"/>
      <c r="P547" s="62" t="n"/>
      <c r="Q547" s="62" t="n"/>
      <c r="R547" s="60" t="n"/>
      <c r="S547" s="59" t="n"/>
      <c r="T547" s="60" t="n"/>
      <c r="U547" s="59" t="n"/>
      <c r="V547" s="45">
        <f>IF(OR($A547="",$T547="",$T547="No Issue"),"",IF($T547="Resolved",IF($U547="","",$U547-$A547),TODAY()-$A547))</f>
        <v/>
      </c>
      <c r="W547" s="47">
        <f>IF(AND($C547&lt;&gt;"",$C547='Store History'!$C$4,OR('Store History'!$C$5="",$F547='Store History'!$C$5)),1,0)</f>
        <v/>
      </c>
      <c r="X547" s="47">
        <f>IF($W547=1,SUM($W547:$W$1005),"")</f>
        <v/>
      </c>
    </row>
    <row r="548">
      <c r="A548" s="59" t="n"/>
      <c r="B548" s="60" t="n"/>
      <c r="C548" s="60" t="n"/>
      <c r="D548" s="45">
        <f>IF($C548="","",IFERROR(INDEX('Chain Program'!$B$6:$B$120,MATCH($C548,'Chain Program'!$A$6:$A$120,0)),"Unknown ID"))</f>
        <v/>
      </c>
      <c r="E548" s="45">
        <f>IF($C548="","",IFERROR(INDEX('Chain Program'!$D$6:$D$120,MATCH($C548,'Chain Program'!$A$6:$A$120,0)),"Unknown ID"))</f>
        <v/>
      </c>
      <c r="F548" s="60" t="n"/>
      <c r="G548" s="60" t="n"/>
      <c r="H548" s="56">
        <f>IF(OR($C548="",$A548=""),"",IF(COUNTIFS('Promo Calendar'!$A$6:$A$400,$C548,'Promo Calendar'!$D$6:$D$400,IF($G548="","All",$G548),'Promo Calendar'!$I$6:$I$400,"&lt;="&amp;$A548,'Promo Calendar'!$J$6:$J$400,"&gt;="&amp;$A548,'Promo Calendar'!$G$6:$G$400,"&gt;0")&gt;0,_xlfn.MINIFS('Promo Calendar'!$G$6:$G$400,'Promo Calendar'!$A$6:$A$400,$C548,'Promo Calendar'!$D$6:$D$400,IF($G548="","All",$G548),'Promo Calendar'!$I$6:$I$400,"&lt;="&amp;$A548,'Promo Calendar'!$J$6:$J$400,"&gt;="&amp;$A548,'Promo Calendar'!$G$6:$G$400,"&gt;0"),IF(COUNTIFS('Promo Calendar'!$A$6:$A$400,$C548,'Promo Calendar'!$D$6:$D$400,"All",'Promo Calendar'!$I$6:$I$400,"&lt;="&amp;$A548,'Promo Calendar'!$J$6:$J$400,"&gt;="&amp;$A548,'Promo Calendar'!$G$6:$G$400,"&gt;0")&gt;0,_xlfn.MINIFS('Promo Calendar'!$G$6:$G$400,'Promo Calendar'!$A$6:$A$400,$C548,'Promo Calendar'!$D$6:$D$400,"All",'Promo Calendar'!$I$6:$I$400,"&lt;="&amp;$A548,'Promo Calendar'!$J$6:$J$400,"&gt;="&amp;$A548,'Promo Calendar'!$G$6:$G$400,"&gt;0"),IFERROR(IF(INDEX('Chain Program'!$M$6:$M$120,MATCH($C548,'Chain Program'!$A$6:$A$120,0))="","Not set",INDEX('Chain Program'!$M$6:$M$120,MATCH($C548,'Chain Program'!$A$6:$A$120,0))),"Not set"))))</f>
        <v/>
      </c>
      <c r="I548" s="61" t="n"/>
      <c r="J548" s="45">
        <f>IF($I548="","",IF(NOT(ISNUMBER($H548)),"No plan price",IF(ABS($I548-$H548)&lt;0.005,"Match",IF($I548&gt;$H548,"Over plan","Under plan"))))</f>
        <v/>
      </c>
      <c r="K548" s="60" t="n"/>
      <c r="L548" s="60" t="n"/>
      <c r="M548" s="60" t="n"/>
      <c r="N548" s="60" t="n"/>
      <c r="O548" s="60" t="n"/>
      <c r="P548" s="62" t="n"/>
      <c r="Q548" s="62" t="n"/>
      <c r="R548" s="60" t="n"/>
      <c r="S548" s="59" t="n"/>
      <c r="T548" s="60" t="n"/>
      <c r="U548" s="59" t="n"/>
      <c r="V548" s="45">
        <f>IF(OR($A548="",$T548="",$T548="No Issue"),"",IF($T548="Resolved",IF($U548="","",$U548-$A548),TODAY()-$A548))</f>
        <v/>
      </c>
      <c r="W548" s="47">
        <f>IF(AND($C548&lt;&gt;"",$C548='Store History'!$C$4,OR('Store History'!$C$5="",$F548='Store History'!$C$5)),1,0)</f>
        <v/>
      </c>
      <c r="X548" s="47">
        <f>IF($W548=1,SUM($W548:$W$1005),"")</f>
        <v/>
      </c>
    </row>
    <row r="549">
      <c r="A549" s="59" t="n"/>
      <c r="B549" s="60" t="n"/>
      <c r="C549" s="60" t="n"/>
      <c r="D549" s="45">
        <f>IF($C549="","",IFERROR(INDEX('Chain Program'!$B$6:$B$120,MATCH($C549,'Chain Program'!$A$6:$A$120,0)),"Unknown ID"))</f>
        <v/>
      </c>
      <c r="E549" s="45">
        <f>IF($C549="","",IFERROR(INDEX('Chain Program'!$D$6:$D$120,MATCH($C549,'Chain Program'!$A$6:$A$120,0)),"Unknown ID"))</f>
        <v/>
      </c>
      <c r="F549" s="60" t="n"/>
      <c r="G549" s="60" t="n"/>
      <c r="H549" s="56">
        <f>IF(OR($C549="",$A549=""),"",IF(COUNTIFS('Promo Calendar'!$A$6:$A$400,$C549,'Promo Calendar'!$D$6:$D$400,IF($G549="","All",$G549),'Promo Calendar'!$I$6:$I$400,"&lt;="&amp;$A549,'Promo Calendar'!$J$6:$J$400,"&gt;="&amp;$A549,'Promo Calendar'!$G$6:$G$400,"&gt;0")&gt;0,_xlfn.MINIFS('Promo Calendar'!$G$6:$G$400,'Promo Calendar'!$A$6:$A$400,$C549,'Promo Calendar'!$D$6:$D$400,IF($G549="","All",$G549),'Promo Calendar'!$I$6:$I$400,"&lt;="&amp;$A549,'Promo Calendar'!$J$6:$J$400,"&gt;="&amp;$A549,'Promo Calendar'!$G$6:$G$400,"&gt;0"),IF(COUNTIFS('Promo Calendar'!$A$6:$A$400,$C549,'Promo Calendar'!$D$6:$D$400,"All",'Promo Calendar'!$I$6:$I$400,"&lt;="&amp;$A549,'Promo Calendar'!$J$6:$J$400,"&gt;="&amp;$A549,'Promo Calendar'!$G$6:$G$400,"&gt;0")&gt;0,_xlfn.MINIFS('Promo Calendar'!$G$6:$G$400,'Promo Calendar'!$A$6:$A$400,$C549,'Promo Calendar'!$D$6:$D$400,"All",'Promo Calendar'!$I$6:$I$400,"&lt;="&amp;$A549,'Promo Calendar'!$J$6:$J$400,"&gt;="&amp;$A549,'Promo Calendar'!$G$6:$G$400,"&gt;0"),IFERROR(IF(INDEX('Chain Program'!$M$6:$M$120,MATCH($C549,'Chain Program'!$A$6:$A$120,0))="","Not set",INDEX('Chain Program'!$M$6:$M$120,MATCH($C549,'Chain Program'!$A$6:$A$120,0))),"Not set"))))</f>
        <v/>
      </c>
      <c r="I549" s="61" t="n"/>
      <c r="J549" s="45">
        <f>IF($I549="","",IF(NOT(ISNUMBER($H549)),"No plan price",IF(ABS($I549-$H549)&lt;0.005,"Match",IF($I549&gt;$H549,"Over plan","Under plan"))))</f>
        <v/>
      </c>
      <c r="K549" s="60" t="n"/>
      <c r="L549" s="60" t="n"/>
      <c r="M549" s="60" t="n"/>
      <c r="N549" s="60" t="n"/>
      <c r="O549" s="60" t="n"/>
      <c r="P549" s="62" t="n"/>
      <c r="Q549" s="62" t="n"/>
      <c r="R549" s="60" t="n"/>
      <c r="S549" s="59" t="n"/>
      <c r="T549" s="60" t="n"/>
      <c r="U549" s="59" t="n"/>
      <c r="V549" s="45">
        <f>IF(OR($A549="",$T549="",$T549="No Issue"),"",IF($T549="Resolved",IF($U549="","",$U549-$A549),TODAY()-$A549))</f>
        <v/>
      </c>
      <c r="W549" s="47">
        <f>IF(AND($C549&lt;&gt;"",$C549='Store History'!$C$4,OR('Store History'!$C$5="",$F549='Store History'!$C$5)),1,0)</f>
        <v/>
      </c>
      <c r="X549" s="47">
        <f>IF($W549=1,SUM($W549:$W$1005),"")</f>
        <v/>
      </c>
    </row>
    <row r="550">
      <c r="A550" s="59" t="n"/>
      <c r="B550" s="60" t="n"/>
      <c r="C550" s="60" t="n"/>
      <c r="D550" s="45">
        <f>IF($C550="","",IFERROR(INDEX('Chain Program'!$B$6:$B$120,MATCH($C550,'Chain Program'!$A$6:$A$120,0)),"Unknown ID"))</f>
        <v/>
      </c>
      <c r="E550" s="45">
        <f>IF($C550="","",IFERROR(INDEX('Chain Program'!$D$6:$D$120,MATCH($C550,'Chain Program'!$A$6:$A$120,0)),"Unknown ID"))</f>
        <v/>
      </c>
      <c r="F550" s="60" t="n"/>
      <c r="G550" s="60" t="n"/>
      <c r="H550" s="56">
        <f>IF(OR($C550="",$A550=""),"",IF(COUNTIFS('Promo Calendar'!$A$6:$A$400,$C550,'Promo Calendar'!$D$6:$D$400,IF($G550="","All",$G550),'Promo Calendar'!$I$6:$I$400,"&lt;="&amp;$A550,'Promo Calendar'!$J$6:$J$400,"&gt;="&amp;$A550,'Promo Calendar'!$G$6:$G$400,"&gt;0")&gt;0,_xlfn.MINIFS('Promo Calendar'!$G$6:$G$400,'Promo Calendar'!$A$6:$A$400,$C550,'Promo Calendar'!$D$6:$D$400,IF($G550="","All",$G550),'Promo Calendar'!$I$6:$I$400,"&lt;="&amp;$A550,'Promo Calendar'!$J$6:$J$400,"&gt;="&amp;$A550,'Promo Calendar'!$G$6:$G$400,"&gt;0"),IF(COUNTIFS('Promo Calendar'!$A$6:$A$400,$C550,'Promo Calendar'!$D$6:$D$400,"All",'Promo Calendar'!$I$6:$I$400,"&lt;="&amp;$A550,'Promo Calendar'!$J$6:$J$400,"&gt;="&amp;$A550,'Promo Calendar'!$G$6:$G$400,"&gt;0")&gt;0,_xlfn.MINIFS('Promo Calendar'!$G$6:$G$400,'Promo Calendar'!$A$6:$A$400,$C550,'Promo Calendar'!$D$6:$D$400,"All",'Promo Calendar'!$I$6:$I$400,"&lt;="&amp;$A550,'Promo Calendar'!$J$6:$J$400,"&gt;="&amp;$A550,'Promo Calendar'!$G$6:$G$400,"&gt;0"),IFERROR(IF(INDEX('Chain Program'!$M$6:$M$120,MATCH($C550,'Chain Program'!$A$6:$A$120,0))="","Not set",INDEX('Chain Program'!$M$6:$M$120,MATCH($C550,'Chain Program'!$A$6:$A$120,0))),"Not set"))))</f>
        <v/>
      </c>
      <c r="I550" s="61" t="n"/>
      <c r="J550" s="45">
        <f>IF($I550="","",IF(NOT(ISNUMBER($H550)),"No plan price",IF(ABS($I550-$H550)&lt;0.005,"Match",IF($I550&gt;$H550,"Over plan","Under plan"))))</f>
        <v/>
      </c>
      <c r="K550" s="60" t="n"/>
      <c r="L550" s="60" t="n"/>
      <c r="M550" s="60" t="n"/>
      <c r="N550" s="60" t="n"/>
      <c r="O550" s="60" t="n"/>
      <c r="P550" s="62" t="n"/>
      <c r="Q550" s="62" t="n"/>
      <c r="R550" s="60" t="n"/>
      <c r="S550" s="59" t="n"/>
      <c r="T550" s="60" t="n"/>
      <c r="U550" s="59" t="n"/>
      <c r="V550" s="45">
        <f>IF(OR($A550="",$T550="",$T550="No Issue"),"",IF($T550="Resolved",IF($U550="","",$U550-$A550),TODAY()-$A550))</f>
        <v/>
      </c>
      <c r="W550" s="47">
        <f>IF(AND($C550&lt;&gt;"",$C550='Store History'!$C$4,OR('Store History'!$C$5="",$F550='Store History'!$C$5)),1,0)</f>
        <v/>
      </c>
      <c r="X550" s="47">
        <f>IF($W550=1,SUM($W550:$W$1005),"")</f>
        <v/>
      </c>
    </row>
    <row r="551">
      <c r="A551" s="59" t="n"/>
      <c r="B551" s="60" t="n"/>
      <c r="C551" s="60" t="n"/>
      <c r="D551" s="45">
        <f>IF($C551="","",IFERROR(INDEX('Chain Program'!$B$6:$B$120,MATCH($C551,'Chain Program'!$A$6:$A$120,0)),"Unknown ID"))</f>
        <v/>
      </c>
      <c r="E551" s="45">
        <f>IF($C551="","",IFERROR(INDEX('Chain Program'!$D$6:$D$120,MATCH($C551,'Chain Program'!$A$6:$A$120,0)),"Unknown ID"))</f>
        <v/>
      </c>
      <c r="F551" s="60" t="n"/>
      <c r="G551" s="60" t="n"/>
      <c r="H551" s="56">
        <f>IF(OR($C551="",$A551=""),"",IF(COUNTIFS('Promo Calendar'!$A$6:$A$400,$C551,'Promo Calendar'!$D$6:$D$400,IF($G551="","All",$G551),'Promo Calendar'!$I$6:$I$400,"&lt;="&amp;$A551,'Promo Calendar'!$J$6:$J$400,"&gt;="&amp;$A551,'Promo Calendar'!$G$6:$G$400,"&gt;0")&gt;0,_xlfn.MINIFS('Promo Calendar'!$G$6:$G$400,'Promo Calendar'!$A$6:$A$400,$C551,'Promo Calendar'!$D$6:$D$400,IF($G551="","All",$G551),'Promo Calendar'!$I$6:$I$400,"&lt;="&amp;$A551,'Promo Calendar'!$J$6:$J$400,"&gt;="&amp;$A551,'Promo Calendar'!$G$6:$G$400,"&gt;0"),IF(COUNTIFS('Promo Calendar'!$A$6:$A$400,$C551,'Promo Calendar'!$D$6:$D$400,"All",'Promo Calendar'!$I$6:$I$400,"&lt;="&amp;$A551,'Promo Calendar'!$J$6:$J$400,"&gt;="&amp;$A551,'Promo Calendar'!$G$6:$G$400,"&gt;0")&gt;0,_xlfn.MINIFS('Promo Calendar'!$G$6:$G$400,'Promo Calendar'!$A$6:$A$400,$C551,'Promo Calendar'!$D$6:$D$400,"All",'Promo Calendar'!$I$6:$I$400,"&lt;="&amp;$A551,'Promo Calendar'!$J$6:$J$400,"&gt;="&amp;$A551,'Promo Calendar'!$G$6:$G$400,"&gt;0"),IFERROR(IF(INDEX('Chain Program'!$M$6:$M$120,MATCH($C551,'Chain Program'!$A$6:$A$120,0))="","Not set",INDEX('Chain Program'!$M$6:$M$120,MATCH($C551,'Chain Program'!$A$6:$A$120,0))),"Not set"))))</f>
        <v/>
      </c>
      <c r="I551" s="61" t="n"/>
      <c r="J551" s="45">
        <f>IF($I551="","",IF(NOT(ISNUMBER($H551)),"No plan price",IF(ABS($I551-$H551)&lt;0.005,"Match",IF($I551&gt;$H551,"Over plan","Under plan"))))</f>
        <v/>
      </c>
      <c r="K551" s="60" t="n"/>
      <c r="L551" s="60" t="n"/>
      <c r="M551" s="60" t="n"/>
      <c r="N551" s="60" t="n"/>
      <c r="O551" s="60" t="n"/>
      <c r="P551" s="62" t="n"/>
      <c r="Q551" s="62" t="n"/>
      <c r="R551" s="60" t="n"/>
      <c r="S551" s="59" t="n"/>
      <c r="T551" s="60" t="n"/>
      <c r="U551" s="59" t="n"/>
      <c r="V551" s="45">
        <f>IF(OR($A551="",$T551="",$T551="No Issue"),"",IF($T551="Resolved",IF($U551="","",$U551-$A551),TODAY()-$A551))</f>
        <v/>
      </c>
      <c r="W551" s="47">
        <f>IF(AND($C551&lt;&gt;"",$C551='Store History'!$C$4,OR('Store History'!$C$5="",$F551='Store History'!$C$5)),1,0)</f>
        <v/>
      </c>
      <c r="X551" s="47">
        <f>IF($W551=1,SUM($W551:$W$1005),"")</f>
        <v/>
      </c>
    </row>
    <row r="552">
      <c r="A552" s="59" t="n"/>
      <c r="B552" s="60" t="n"/>
      <c r="C552" s="60" t="n"/>
      <c r="D552" s="45">
        <f>IF($C552="","",IFERROR(INDEX('Chain Program'!$B$6:$B$120,MATCH($C552,'Chain Program'!$A$6:$A$120,0)),"Unknown ID"))</f>
        <v/>
      </c>
      <c r="E552" s="45">
        <f>IF($C552="","",IFERROR(INDEX('Chain Program'!$D$6:$D$120,MATCH($C552,'Chain Program'!$A$6:$A$120,0)),"Unknown ID"))</f>
        <v/>
      </c>
      <c r="F552" s="60" t="n"/>
      <c r="G552" s="60" t="n"/>
      <c r="H552" s="56">
        <f>IF(OR($C552="",$A552=""),"",IF(COUNTIFS('Promo Calendar'!$A$6:$A$400,$C552,'Promo Calendar'!$D$6:$D$400,IF($G552="","All",$G552),'Promo Calendar'!$I$6:$I$400,"&lt;="&amp;$A552,'Promo Calendar'!$J$6:$J$400,"&gt;="&amp;$A552,'Promo Calendar'!$G$6:$G$400,"&gt;0")&gt;0,_xlfn.MINIFS('Promo Calendar'!$G$6:$G$400,'Promo Calendar'!$A$6:$A$400,$C552,'Promo Calendar'!$D$6:$D$400,IF($G552="","All",$G552),'Promo Calendar'!$I$6:$I$400,"&lt;="&amp;$A552,'Promo Calendar'!$J$6:$J$400,"&gt;="&amp;$A552,'Promo Calendar'!$G$6:$G$400,"&gt;0"),IF(COUNTIFS('Promo Calendar'!$A$6:$A$400,$C552,'Promo Calendar'!$D$6:$D$400,"All",'Promo Calendar'!$I$6:$I$400,"&lt;="&amp;$A552,'Promo Calendar'!$J$6:$J$400,"&gt;="&amp;$A552,'Promo Calendar'!$G$6:$G$400,"&gt;0")&gt;0,_xlfn.MINIFS('Promo Calendar'!$G$6:$G$400,'Promo Calendar'!$A$6:$A$400,$C552,'Promo Calendar'!$D$6:$D$400,"All",'Promo Calendar'!$I$6:$I$400,"&lt;="&amp;$A552,'Promo Calendar'!$J$6:$J$400,"&gt;="&amp;$A552,'Promo Calendar'!$G$6:$G$400,"&gt;0"),IFERROR(IF(INDEX('Chain Program'!$M$6:$M$120,MATCH($C552,'Chain Program'!$A$6:$A$120,0))="","Not set",INDEX('Chain Program'!$M$6:$M$120,MATCH($C552,'Chain Program'!$A$6:$A$120,0))),"Not set"))))</f>
        <v/>
      </c>
      <c r="I552" s="61" t="n"/>
      <c r="J552" s="45">
        <f>IF($I552="","",IF(NOT(ISNUMBER($H552)),"No plan price",IF(ABS($I552-$H552)&lt;0.005,"Match",IF($I552&gt;$H552,"Over plan","Under plan"))))</f>
        <v/>
      </c>
      <c r="K552" s="60" t="n"/>
      <c r="L552" s="60" t="n"/>
      <c r="M552" s="60" t="n"/>
      <c r="N552" s="60" t="n"/>
      <c r="O552" s="60" t="n"/>
      <c r="P552" s="62" t="n"/>
      <c r="Q552" s="62" t="n"/>
      <c r="R552" s="60" t="n"/>
      <c r="S552" s="59" t="n"/>
      <c r="T552" s="60" t="n"/>
      <c r="U552" s="59" t="n"/>
      <c r="V552" s="45">
        <f>IF(OR($A552="",$T552="",$T552="No Issue"),"",IF($T552="Resolved",IF($U552="","",$U552-$A552),TODAY()-$A552))</f>
        <v/>
      </c>
      <c r="W552" s="47">
        <f>IF(AND($C552&lt;&gt;"",$C552='Store History'!$C$4,OR('Store History'!$C$5="",$F552='Store History'!$C$5)),1,0)</f>
        <v/>
      </c>
      <c r="X552" s="47">
        <f>IF($W552=1,SUM($W552:$W$1005),"")</f>
        <v/>
      </c>
    </row>
    <row r="553">
      <c r="A553" s="59" t="n"/>
      <c r="B553" s="60" t="n"/>
      <c r="C553" s="60" t="n"/>
      <c r="D553" s="45">
        <f>IF($C553="","",IFERROR(INDEX('Chain Program'!$B$6:$B$120,MATCH($C553,'Chain Program'!$A$6:$A$120,0)),"Unknown ID"))</f>
        <v/>
      </c>
      <c r="E553" s="45">
        <f>IF($C553="","",IFERROR(INDEX('Chain Program'!$D$6:$D$120,MATCH($C553,'Chain Program'!$A$6:$A$120,0)),"Unknown ID"))</f>
        <v/>
      </c>
      <c r="F553" s="60" t="n"/>
      <c r="G553" s="60" t="n"/>
      <c r="H553" s="56">
        <f>IF(OR($C553="",$A553=""),"",IF(COUNTIFS('Promo Calendar'!$A$6:$A$400,$C553,'Promo Calendar'!$D$6:$D$400,IF($G553="","All",$G553),'Promo Calendar'!$I$6:$I$400,"&lt;="&amp;$A553,'Promo Calendar'!$J$6:$J$400,"&gt;="&amp;$A553,'Promo Calendar'!$G$6:$G$400,"&gt;0")&gt;0,_xlfn.MINIFS('Promo Calendar'!$G$6:$G$400,'Promo Calendar'!$A$6:$A$400,$C553,'Promo Calendar'!$D$6:$D$400,IF($G553="","All",$G553),'Promo Calendar'!$I$6:$I$400,"&lt;="&amp;$A553,'Promo Calendar'!$J$6:$J$400,"&gt;="&amp;$A553,'Promo Calendar'!$G$6:$G$400,"&gt;0"),IF(COUNTIFS('Promo Calendar'!$A$6:$A$400,$C553,'Promo Calendar'!$D$6:$D$400,"All",'Promo Calendar'!$I$6:$I$400,"&lt;="&amp;$A553,'Promo Calendar'!$J$6:$J$400,"&gt;="&amp;$A553,'Promo Calendar'!$G$6:$G$400,"&gt;0")&gt;0,_xlfn.MINIFS('Promo Calendar'!$G$6:$G$400,'Promo Calendar'!$A$6:$A$400,$C553,'Promo Calendar'!$D$6:$D$400,"All",'Promo Calendar'!$I$6:$I$400,"&lt;="&amp;$A553,'Promo Calendar'!$J$6:$J$400,"&gt;="&amp;$A553,'Promo Calendar'!$G$6:$G$400,"&gt;0"),IFERROR(IF(INDEX('Chain Program'!$M$6:$M$120,MATCH($C553,'Chain Program'!$A$6:$A$120,0))="","Not set",INDEX('Chain Program'!$M$6:$M$120,MATCH($C553,'Chain Program'!$A$6:$A$120,0))),"Not set"))))</f>
        <v/>
      </c>
      <c r="I553" s="61" t="n"/>
      <c r="J553" s="45">
        <f>IF($I553="","",IF(NOT(ISNUMBER($H553)),"No plan price",IF(ABS($I553-$H553)&lt;0.005,"Match",IF($I553&gt;$H553,"Over plan","Under plan"))))</f>
        <v/>
      </c>
      <c r="K553" s="60" t="n"/>
      <c r="L553" s="60" t="n"/>
      <c r="M553" s="60" t="n"/>
      <c r="N553" s="60" t="n"/>
      <c r="O553" s="60" t="n"/>
      <c r="P553" s="62" t="n"/>
      <c r="Q553" s="62" t="n"/>
      <c r="R553" s="60" t="n"/>
      <c r="S553" s="59" t="n"/>
      <c r="T553" s="60" t="n"/>
      <c r="U553" s="59" t="n"/>
      <c r="V553" s="45">
        <f>IF(OR($A553="",$T553="",$T553="No Issue"),"",IF($T553="Resolved",IF($U553="","",$U553-$A553),TODAY()-$A553))</f>
        <v/>
      </c>
      <c r="W553" s="47">
        <f>IF(AND($C553&lt;&gt;"",$C553='Store History'!$C$4,OR('Store History'!$C$5="",$F553='Store History'!$C$5)),1,0)</f>
        <v/>
      </c>
      <c r="X553" s="47">
        <f>IF($W553=1,SUM($W553:$W$1005),"")</f>
        <v/>
      </c>
    </row>
    <row r="554">
      <c r="A554" s="59" t="n"/>
      <c r="B554" s="60" t="n"/>
      <c r="C554" s="60" t="n"/>
      <c r="D554" s="45">
        <f>IF($C554="","",IFERROR(INDEX('Chain Program'!$B$6:$B$120,MATCH($C554,'Chain Program'!$A$6:$A$120,0)),"Unknown ID"))</f>
        <v/>
      </c>
      <c r="E554" s="45">
        <f>IF($C554="","",IFERROR(INDEX('Chain Program'!$D$6:$D$120,MATCH($C554,'Chain Program'!$A$6:$A$120,0)),"Unknown ID"))</f>
        <v/>
      </c>
      <c r="F554" s="60" t="n"/>
      <c r="G554" s="60" t="n"/>
      <c r="H554" s="56">
        <f>IF(OR($C554="",$A554=""),"",IF(COUNTIFS('Promo Calendar'!$A$6:$A$400,$C554,'Promo Calendar'!$D$6:$D$400,IF($G554="","All",$G554),'Promo Calendar'!$I$6:$I$400,"&lt;="&amp;$A554,'Promo Calendar'!$J$6:$J$400,"&gt;="&amp;$A554,'Promo Calendar'!$G$6:$G$400,"&gt;0")&gt;0,_xlfn.MINIFS('Promo Calendar'!$G$6:$G$400,'Promo Calendar'!$A$6:$A$400,$C554,'Promo Calendar'!$D$6:$D$400,IF($G554="","All",$G554),'Promo Calendar'!$I$6:$I$400,"&lt;="&amp;$A554,'Promo Calendar'!$J$6:$J$400,"&gt;="&amp;$A554,'Promo Calendar'!$G$6:$G$400,"&gt;0"),IF(COUNTIFS('Promo Calendar'!$A$6:$A$400,$C554,'Promo Calendar'!$D$6:$D$400,"All",'Promo Calendar'!$I$6:$I$400,"&lt;="&amp;$A554,'Promo Calendar'!$J$6:$J$400,"&gt;="&amp;$A554,'Promo Calendar'!$G$6:$G$400,"&gt;0")&gt;0,_xlfn.MINIFS('Promo Calendar'!$G$6:$G$400,'Promo Calendar'!$A$6:$A$400,$C554,'Promo Calendar'!$D$6:$D$400,"All",'Promo Calendar'!$I$6:$I$400,"&lt;="&amp;$A554,'Promo Calendar'!$J$6:$J$400,"&gt;="&amp;$A554,'Promo Calendar'!$G$6:$G$400,"&gt;0"),IFERROR(IF(INDEX('Chain Program'!$M$6:$M$120,MATCH($C554,'Chain Program'!$A$6:$A$120,0))="","Not set",INDEX('Chain Program'!$M$6:$M$120,MATCH($C554,'Chain Program'!$A$6:$A$120,0))),"Not set"))))</f>
        <v/>
      </c>
      <c r="I554" s="61" t="n"/>
      <c r="J554" s="45">
        <f>IF($I554="","",IF(NOT(ISNUMBER($H554)),"No plan price",IF(ABS($I554-$H554)&lt;0.005,"Match",IF($I554&gt;$H554,"Over plan","Under plan"))))</f>
        <v/>
      </c>
      <c r="K554" s="60" t="n"/>
      <c r="L554" s="60" t="n"/>
      <c r="M554" s="60" t="n"/>
      <c r="N554" s="60" t="n"/>
      <c r="O554" s="60" t="n"/>
      <c r="P554" s="62" t="n"/>
      <c r="Q554" s="62" t="n"/>
      <c r="R554" s="60" t="n"/>
      <c r="S554" s="59" t="n"/>
      <c r="T554" s="60" t="n"/>
      <c r="U554" s="59" t="n"/>
      <c r="V554" s="45">
        <f>IF(OR($A554="",$T554="",$T554="No Issue"),"",IF($T554="Resolved",IF($U554="","",$U554-$A554),TODAY()-$A554))</f>
        <v/>
      </c>
      <c r="W554" s="47">
        <f>IF(AND($C554&lt;&gt;"",$C554='Store History'!$C$4,OR('Store History'!$C$5="",$F554='Store History'!$C$5)),1,0)</f>
        <v/>
      </c>
      <c r="X554" s="47">
        <f>IF($W554=1,SUM($W554:$W$1005),"")</f>
        <v/>
      </c>
    </row>
    <row r="555">
      <c r="A555" s="59" t="n"/>
      <c r="B555" s="60" t="n"/>
      <c r="C555" s="60" t="n"/>
      <c r="D555" s="45">
        <f>IF($C555="","",IFERROR(INDEX('Chain Program'!$B$6:$B$120,MATCH($C555,'Chain Program'!$A$6:$A$120,0)),"Unknown ID"))</f>
        <v/>
      </c>
      <c r="E555" s="45">
        <f>IF($C555="","",IFERROR(INDEX('Chain Program'!$D$6:$D$120,MATCH($C555,'Chain Program'!$A$6:$A$120,0)),"Unknown ID"))</f>
        <v/>
      </c>
      <c r="F555" s="60" t="n"/>
      <c r="G555" s="60" t="n"/>
      <c r="H555" s="56">
        <f>IF(OR($C555="",$A555=""),"",IF(COUNTIFS('Promo Calendar'!$A$6:$A$400,$C555,'Promo Calendar'!$D$6:$D$400,IF($G555="","All",$G555),'Promo Calendar'!$I$6:$I$400,"&lt;="&amp;$A555,'Promo Calendar'!$J$6:$J$400,"&gt;="&amp;$A555,'Promo Calendar'!$G$6:$G$400,"&gt;0")&gt;0,_xlfn.MINIFS('Promo Calendar'!$G$6:$G$400,'Promo Calendar'!$A$6:$A$400,$C555,'Promo Calendar'!$D$6:$D$400,IF($G555="","All",$G555),'Promo Calendar'!$I$6:$I$400,"&lt;="&amp;$A555,'Promo Calendar'!$J$6:$J$400,"&gt;="&amp;$A555,'Promo Calendar'!$G$6:$G$400,"&gt;0"),IF(COUNTIFS('Promo Calendar'!$A$6:$A$400,$C555,'Promo Calendar'!$D$6:$D$400,"All",'Promo Calendar'!$I$6:$I$400,"&lt;="&amp;$A555,'Promo Calendar'!$J$6:$J$400,"&gt;="&amp;$A555,'Promo Calendar'!$G$6:$G$400,"&gt;0")&gt;0,_xlfn.MINIFS('Promo Calendar'!$G$6:$G$400,'Promo Calendar'!$A$6:$A$400,$C555,'Promo Calendar'!$D$6:$D$400,"All",'Promo Calendar'!$I$6:$I$400,"&lt;="&amp;$A555,'Promo Calendar'!$J$6:$J$400,"&gt;="&amp;$A555,'Promo Calendar'!$G$6:$G$400,"&gt;0"),IFERROR(IF(INDEX('Chain Program'!$M$6:$M$120,MATCH($C555,'Chain Program'!$A$6:$A$120,0))="","Not set",INDEX('Chain Program'!$M$6:$M$120,MATCH($C555,'Chain Program'!$A$6:$A$120,0))),"Not set"))))</f>
        <v/>
      </c>
      <c r="I555" s="61" t="n"/>
      <c r="J555" s="45">
        <f>IF($I555="","",IF(NOT(ISNUMBER($H555)),"No plan price",IF(ABS($I555-$H555)&lt;0.005,"Match",IF($I555&gt;$H555,"Over plan","Under plan"))))</f>
        <v/>
      </c>
      <c r="K555" s="60" t="n"/>
      <c r="L555" s="60" t="n"/>
      <c r="M555" s="60" t="n"/>
      <c r="N555" s="60" t="n"/>
      <c r="O555" s="60" t="n"/>
      <c r="P555" s="62" t="n"/>
      <c r="Q555" s="62" t="n"/>
      <c r="R555" s="60" t="n"/>
      <c r="S555" s="59" t="n"/>
      <c r="T555" s="60" t="n"/>
      <c r="U555" s="59" t="n"/>
      <c r="V555" s="45">
        <f>IF(OR($A555="",$T555="",$T555="No Issue"),"",IF($T555="Resolved",IF($U555="","",$U555-$A555),TODAY()-$A555))</f>
        <v/>
      </c>
      <c r="W555" s="47">
        <f>IF(AND($C555&lt;&gt;"",$C555='Store History'!$C$4,OR('Store History'!$C$5="",$F555='Store History'!$C$5)),1,0)</f>
        <v/>
      </c>
      <c r="X555" s="47">
        <f>IF($W555=1,SUM($W555:$W$1005),"")</f>
        <v/>
      </c>
    </row>
    <row r="556">
      <c r="A556" s="59" t="n"/>
      <c r="B556" s="60" t="n"/>
      <c r="C556" s="60" t="n"/>
      <c r="D556" s="45">
        <f>IF($C556="","",IFERROR(INDEX('Chain Program'!$B$6:$B$120,MATCH($C556,'Chain Program'!$A$6:$A$120,0)),"Unknown ID"))</f>
        <v/>
      </c>
      <c r="E556" s="45">
        <f>IF($C556="","",IFERROR(INDEX('Chain Program'!$D$6:$D$120,MATCH($C556,'Chain Program'!$A$6:$A$120,0)),"Unknown ID"))</f>
        <v/>
      </c>
      <c r="F556" s="60" t="n"/>
      <c r="G556" s="60" t="n"/>
      <c r="H556" s="56">
        <f>IF(OR($C556="",$A556=""),"",IF(COUNTIFS('Promo Calendar'!$A$6:$A$400,$C556,'Promo Calendar'!$D$6:$D$400,IF($G556="","All",$G556),'Promo Calendar'!$I$6:$I$400,"&lt;="&amp;$A556,'Promo Calendar'!$J$6:$J$400,"&gt;="&amp;$A556,'Promo Calendar'!$G$6:$G$400,"&gt;0")&gt;0,_xlfn.MINIFS('Promo Calendar'!$G$6:$G$400,'Promo Calendar'!$A$6:$A$400,$C556,'Promo Calendar'!$D$6:$D$400,IF($G556="","All",$G556),'Promo Calendar'!$I$6:$I$400,"&lt;="&amp;$A556,'Promo Calendar'!$J$6:$J$400,"&gt;="&amp;$A556,'Promo Calendar'!$G$6:$G$400,"&gt;0"),IF(COUNTIFS('Promo Calendar'!$A$6:$A$400,$C556,'Promo Calendar'!$D$6:$D$400,"All",'Promo Calendar'!$I$6:$I$400,"&lt;="&amp;$A556,'Promo Calendar'!$J$6:$J$400,"&gt;="&amp;$A556,'Promo Calendar'!$G$6:$G$400,"&gt;0")&gt;0,_xlfn.MINIFS('Promo Calendar'!$G$6:$G$400,'Promo Calendar'!$A$6:$A$400,$C556,'Promo Calendar'!$D$6:$D$400,"All",'Promo Calendar'!$I$6:$I$400,"&lt;="&amp;$A556,'Promo Calendar'!$J$6:$J$400,"&gt;="&amp;$A556,'Promo Calendar'!$G$6:$G$400,"&gt;0"),IFERROR(IF(INDEX('Chain Program'!$M$6:$M$120,MATCH($C556,'Chain Program'!$A$6:$A$120,0))="","Not set",INDEX('Chain Program'!$M$6:$M$120,MATCH($C556,'Chain Program'!$A$6:$A$120,0))),"Not set"))))</f>
        <v/>
      </c>
      <c r="I556" s="61" t="n"/>
      <c r="J556" s="45">
        <f>IF($I556="","",IF(NOT(ISNUMBER($H556)),"No plan price",IF(ABS($I556-$H556)&lt;0.005,"Match",IF($I556&gt;$H556,"Over plan","Under plan"))))</f>
        <v/>
      </c>
      <c r="K556" s="60" t="n"/>
      <c r="L556" s="60" t="n"/>
      <c r="M556" s="60" t="n"/>
      <c r="N556" s="60" t="n"/>
      <c r="O556" s="60" t="n"/>
      <c r="P556" s="62" t="n"/>
      <c r="Q556" s="62" t="n"/>
      <c r="R556" s="60" t="n"/>
      <c r="S556" s="59" t="n"/>
      <c r="T556" s="60" t="n"/>
      <c r="U556" s="59" t="n"/>
      <c r="V556" s="45">
        <f>IF(OR($A556="",$T556="",$T556="No Issue"),"",IF($T556="Resolved",IF($U556="","",$U556-$A556),TODAY()-$A556))</f>
        <v/>
      </c>
      <c r="W556" s="47">
        <f>IF(AND($C556&lt;&gt;"",$C556='Store History'!$C$4,OR('Store History'!$C$5="",$F556='Store History'!$C$5)),1,0)</f>
        <v/>
      </c>
      <c r="X556" s="47">
        <f>IF($W556=1,SUM($W556:$W$1005),"")</f>
        <v/>
      </c>
    </row>
    <row r="557">
      <c r="A557" s="59" t="n"/>
      <c r="B557" s="60" t="n"/>
      <c r="C557" s="60" t="n"/>
      <c r="D557" s="45">
        <f>IF($C557="","",IFERROR(INDEX('Chain Program'!$B$6:$B$120,MATCH($C557,'Chain Program'!$A$6:$A$120,0)),"Unknown ID"))</f>
        <v/>
      </c>
      <c r="E557" s="45">
        <f>IF($C557="","",IFERROR(INDEX('Chain Program'!$D$6:$D$120,MATCH($C557,'Chain Program'!$A$6:$A$120,0)),"Unknown ID"))</f>
        <v/>
      </c>
      <c r="F557" s="60" t="n"/>
      <c r="G557" s="60" t="n"/>
      <c r="H557" s="56">
        <f>IF(OR($C557="",$A557=""),"",IF(COUNTIFS('Promo Calendar'!$A$6:$A$400,$C557,'Promo Calendar'!$D$6:$D$400,IF($G557="","All",$G557),'Promo Calendar'!$I$6:$I$400,"&lt;="&amp;$A557,'Promo Calendar'!$J$6:$J$400,"&gt;="&amp;$A557,'Promo Calendar'!$G$6:$G$400,"&gt;0")&gt;0,_xlfn.MINIFS('Promo Calendar'!$G$6:$G$400,'Promo Calendar'!$A$6:$A$400,$C557,'Promo Calendar'!$D$6:$D$400,IF($G557="","All",$G557),'Promo Calendar'!$I$6:$I$400,"&lt;="&amp;$A557,'Promo Calendar'!$J$6:$J$400,"&gt;="&amp;$A557,'Promo Calendar'!$G$6:$G$400,"&gt;0"),IF(COUNTIFS('Promo Calendar'!$A$6:$A$400,$C557,'Promo Calendar'!$D$6:$D$400,"All",'Promo Calendar'!$I$6:$I$400,"&lt;="&amp;$A557,'Promo Calendar'!$J$6:$J$400,"&gt;="&amp;$A557,'Promo Calendar'!$G$6:$G$400,"&gt;0")&gt;0,_xlfn.MINIFS('Promo Calendar'!$G$6:$G$400,'Promo Calendar'!$A$6:$A$400,$C557,'Promo Calendar'!$D$6:$D$400,"All",'Promo Calendar'!$I$6:$I$400,"&lt;="&amp;$A557,'Promo Calendar'!$J$6:$J$400,"&gt;="&amp;$A557,'Promo Calendar'!$G$6:$G$400,"&gt;0"),IFERROR(IF(INDEX('Chain Program'!$M$6:$M$120,MATCH($C557,'Chain Program'!$A$6:$A$120,0))="","Not set",INDEX('Chain Program'!$M$6:$M$120,MATCH($C557,'Chain Program'!$A$6:$A$120,0))),"Not set"))))</f>
        <v/>
      </c>
      <c r="I557" s="61" t="n"/>
      <c r="J557" s="45">
        <f>IF($I557="","",IF(NOT(ISNUMBER($H557)),"No plan price",IF(ABS($I557-$H557)&lt;0.005,"Match",IF($I557&gt;$H557,"Over plan","Under plan"))))</f>
        <v/>
      </c>
      <c r="K557" s="60" t="n"/>
      <c r="L557" s="60" t="n"/>
      <c r="M557" s="60" t="n"/>
      <c r="N557" s="60" t="n"/>
      <c r="O557" s="60" t="n"/>
      <c r="P557" s="62" t="n"/>
      <c r="Q557" s="62" t="n"/>
      <c r="R557" s="60" t="n"/>
      <c r="S557" s="59" t="n"/>
      <c r="T557" s="60" t="n"/>
      <c r="U557" s="59" t="n"/>
      <c r="V557" s="45">
        <f>IF(OR($A557="",$T557="",$T557="No Issue"),"",IF($T557="Resolved",IF($U557="","",$U557-$A557),TODAY()-$A557))</f>
        <v/>
      </c>
      <c r="W557" s="47">
        <f>IF(AND($C557&lt;&gt;"",$C557='Store History'!$C$4,OR('Store History'!$C$5="",$F557='Store History'!$C$5)),1,0)</f>
        <v/>
      </c>
      <c r="X557" s="47">
        <f>IF($W557=1,SUM($W557:$W$1005),"")</f>
        <v/>
      </c>
    </row>
    <row r="558">
      <c r="A558" s="59" t="n"/>
      <c r="B558" s="60" t="n"/>
      <c r="C558" s="60" t="n"/>
      <c r="D558" s="45">
        <f>IF($C558="","",IFERROR(INDEX('Chain Program'!$B$6:$B$120,MATCH($C558,'Chain Program'!$A$6:$A$120,0)),"Unknown ID"))</f>
        <v/>
      </c>
      <c r="E558" s="45">
        <f>IF($C558="","",IFERROR(INDEX('Chain Program'!$D$6:$D$120,MATCH($C558,'Chain Program'!$A$6:$A$120,0)),"Unknown ID"))</f>
        <v/>
      </c>
      <c r="F558" s="60" t="n"/>
      <c r="G558" s="60" t="n"/>
      <c r="H558" s="56">
        <f>IF(OR($C558="",$A558=""),"",IF(COUNTIFS('Promo Calendar'!$A$6:$A$400,$C558,'Promo Calendar'!$D$6:$D$400,IF($G558="","All",$G558),'Promo Calendar'!$I$6:$I$400,"&lt;="&amp;$A558,'Promo Calendar'!$J$6:$J$400,"&gt;="&amp;$A558,'Promo Calendar'!$G$6:$G$400,"&gt;0")&gt;0,_xlfn.MINIFS('Promo Calendar'!$G$6:$G$400,'Promo Calendar'!$A$6:$A$400,$C558,'Promo Calendar'!$D$6:$D$400,IF($G558="","All",$G558),'Promo Calendar'!$I$6:$I$400,"&lt;="&amp;$A558,'Promo Calendar'!$J$6:$J$400,"&gt;="&amp;$A558,'Promo Calendar'!$G$6:$G$400,"&gt;0"),IF(COUNTIFS('Promo Calendar'!$A$6:$A$400,$C558,'Promo Calendar'!$D$6:$D$400,"All",'Promo Calendar'!$I$6:$I$400,"&lt;="&amp;$A558,'Promo Calendar'!$J$6:$J$400,"&gt;="&amp;$A558,'Promo Calendar'!$G$6:$G$400,"&gt;0")&gt;0,_xlfn.MINIFS('Promo Calendar'!$G$6:$G$400,'Promo Calendar'!$A$6:$A$400,$C558,'Promo Calendar'!$D$6:$D$400,"All",'Promo Calendar'!$I$6:$I$400,"&lt;="&amp;$A558,'Promo Calendar'!$J$6:$J$400,"&gt;="&amp;$A558,'Promo Calendar'!$G$6:$G$400,"&gt;0"),IFERROR(IF(INDEX('Chain Program'!$M$6:$M$120,MATCH($C558,'Chain Program'!$A$6:$A$120,0))="","Not set",INDEX('Chain Program'!$M$6:$M$120,MATCH($C558,'Chain Program'!$A$6:$A$120,0))),"Not set"))))</f>
        <v/>
      </c>
      <c r="I558" s="61" t="n"/>
      <c r="J558" s="45">
        <f>IF($I558="","",IF(NOT(ISNUMBER($H558)),"No plan price",IF(ABS($I558-$H558)&lt;0.005,"Match",IF($I558&gt;$H558,"Over plan","Under plan"))))</f>
        <v/>
      </c>
      <c r="K558" s="60" t="n"/>
      <c r="L558" s="60" t="n"/>
      <c r="M558" s="60" t="n"/>
      <c r="N558" s="60" t="n"/>
      <c r="O558" s="60" t="n"/>
      <c r="P558" s="62" t="n"/>
      <c r="Q558" s="62" t="n"/>
      <c r="R558" s="60" t="n"/>
      <c r="S558" s="59" t="n"/>
      <c r="T558" s="60" t="n"/>
      <c r="U558" s="59" t="n"/>
      <c r="V558" s="45">
        <f>IF(OR($A558="",$T558="",$T558="No Issue"),"",IF($T558="Resolved",IF($U558="","",$U558-$A558),TODAY()-$A558))</f>
        <v/>
      </c>
      <c r="W558" s="47">
        <f>IF(AND($C558&lt;&gt;"",$C558='Store History'!$C$4,OR('Store History'!$C$5="",$F558='Store History'!$C$5)),1,0)</f>
        <v/>
      </c>
      <c r="X558" s="47">
        <f>IF($W558=1,SUM($W558:$W$1005),"")</f>
        <v/>
      </c>
    </row>
    <row r="559">
      <c r="A559" s="59" t="n"/>
      <c r="B559" s="60" t="n"/>
      <c r="C559" s="60" t="n"/>
      <c r="D559" s="45">
        <f>IF($C559="","",IFERROR(INDEX('Chain Program'!$B$6:$B$120,MATCH($C559,'Chain Program'!$A$6:$A$120,0)),"Unknown ID"))</f>
        <v/>
      </c>
      <c r="E559" s="45">
        <f>IF($C559="","",IFERROR(INDEX('Chain Program'!$D$6:$D$120,MATCH($C559,'Chain Program'!$A$6:$A$120,0)),"Unknown ID"))</f>
        <v/>
      </c>
      <c r="F559" s="60" t="n"/>
      <c r="G559" s="60" t="n"/>
      <c r="H559" s="56">
        <f>IF(OR($C559="",$A559=""),"",IF(COUNTIFS('Promo Calendar'!$A$6:$A$400,$C559,'Promo Calendar'!$D$6:$D$400,IF($G559="","All",$G559),'Promo Calendar'!$I$6:$I$400,"&lt;="&amp;$A559,'Promo Calendar'!$J$6:$J$400,"&gt;="&amp;$A559,'Promo Calendar'!$G$6:$G$400,"&gt;0")&gt;0,_xlfn.MINIFS('Promo Calendar'!$G$6:$G$400,'Promo Calendar'!$A$6:$A$400,$C559,'Promo Calendar'!$D$6:$D$400,IF($G559="","All",$G559),'Promo Calendar'!$I$6:$I$400,"&lt;="&amp;$A559,'Promo Calendar'!$J$6:$J$400,"&gt;="&amp;$A559,'Promo Calendar'!$G$6:$G$400,"&gt;0"),IF(COUNTIFS('Promo Calendar'!$A$6:$A$400,$C559,'Promo Calendar'!$D$6:$D$400,"All",'Promo Calendar'!$I$6:$I$400,"&lt;="&amp;$A559,'Promo Calendar'!$J$6:$J$400,"&gt;="&amp;$A559,'Promo Calendar'!$G$6:$G$400,"&gt;0")&gt;0,_xlfn.MINIFS('Promo Calendar'!$G$6:$G$400,'Promo Calendar'!$A$6:$A$400,$C559,'Promo Calendar'!$D$6:$D$400,"All",'Promo Calendar'!$I$6:$I$400,"&lt;="&amp;$A559,'Promo Calendar'!$J$6:$J$400,"&gt;="&amp;$A559,'Promo Calendar'!$G$6:$G$400,"&gt;0"),IFERROR(IF(INDEX('Chain Program'!$M$6:$M$120,MATCH($C559,'Chain Program'!$A$6:$A$120,0))="","Not set",INDEX('Chain Program'!$M$6:$M$120,MATCH($C559,'Chain Program'!$A$6:$A$120,0))),"Not set"))))</f>
        <v/>
      </c>
      <c r="I559" s="61" t="n"/>
      <c r="J559" s="45">
        <f>IF($I559="","",IF(NOT(ISNUMBER($H559)),"No plan price",IF(ABS($I559-$H559)&lt;0.005,"Match",IF($I559&gt;$H559,"Over plan","Under plan"))))</f>
        <v/>
      </c>
      <c r="K559" s="60" t="n"/>
      <c r="L559" s="60" t="n"/>
      <c r="M559" s="60" t="n"/>
      <c r="N559" s="60" t="n"/>
      <c r="O559" s="60" t="n"/>
      <c r="P559" s="62" t="n"/>
      <c r="Q559" s="62" t="n"/>
      <c r="R559" s="60" t="n"/>
      <c r="S559" s="59" t="n"/>
      <c r="T559" s="60" t="n"/>
      <c r="U559" s="59" t="n"/>
      <c r="V559" s="45">
        <f>IF(OR($A559="",$T559="",$T559="No Issue"),"",IF($T559="Resolved",IF($U559="","",$U559-$A559),TODAY()-$A559))</f>
        <v/>
      </c>
      <c r="W559" s="47">
        <f>IF(AND($C559&lt;&gt;"",$C559='Store History'!$C$4,OR('Store History'!$C$5="",$F559='Store History'!$C$5)),1,0)</f>
        <v/>
      </c>
      <c r="X559" s="47">
        <f>IF($W559=1,SUM($W559:$W$1005),"")</f>
        <v/>
      </c>
    </row>
    <row r="560">
      <c r="A560" s="59" t="n"/>
      <c r="B560" s="60" t="n"/>
      <c r="C560" s="60" t="n"/>
      <c r="D560" s="45">
        <f>IF($C560="","",IFERROR(INDEX('Chain Program'!$B$6:$B$120,MATCH($C560,'Chain Program'!$A$6:$A$120,0)),"Unknown ID"))</f>
        <v/>
      </c>
      <c r="E560" s="45">
        <f>IF($C560="","",IFERROR(INDEX('Chain Program'!$D$6:$D$120,MATCH($C560,'Chain Program'!$A$6:$A$120,0)),"Unknown ID"))</f>
        <v/>
      </c>
      <c r="F560" s="60" t="n"/>
      <c r="G560" s="60" t="n"/>
      <c r="H560" s="56">
        <f>IF(OR($C560="",$A560=""),"",IF(COUNTIFS('Promo Calendar'!$A$6:$A$400,$C560,'Promo Calendar'!$D$6:$D$400,IF($G560="","All",$G560),'Promo Calendar'!$I$6:$I$400,"&lt;="&amp;$A560,'Promo Calendar'!$J$6:$J$400,"&gt;="&amp;$A560,'Promo Calendar'!$G$6:$G$400,"&gt;0")&gt;0,_xlfn.MINIFS('Promo Calendar'!$G$6:$G$400,'Promo Calendar'!$A$6:$A$400,$C560,'Promo Calendar'!$D$6:$D$400,IF($G560="","All",$G560),'Promo Calendar'!$I$6:$I$400,"&lt;="&amp;$A560,'Promo Calendar'!$J$6:$J$400,"&gt;="&amp;$A560,'Promo Calendar'!$G$6:$G$400,"&gt;0"),IF(COUNTIFS('Promo Calendar'!$A$6:$A$400,$C560,'Promo Calendar'!$D$6:$D$400,"All",'Promo Calendar'!$I$6:$I$400,"&lt;="&amp;$A560,'Promo Calendar'!$J$6:$J$400,"&gt;="&amp;$A560,'Promo Calendar'!$G$6:$G$400,"&gt;0")&gt;0,_xlfn.MINIFS('Promo Calendar'!$G$6:$G$400,'Promo Calendar'!$A$6:$A$400,$C560,'Promo Calendar'!$D$6:$D$400,"All",'Promo Calendar'!$I$6:$I$400,"&lt;="&amp;$A560,'Promo Calendar'!$J$6:$J$400,"&gt;="&amp;$A560,'Promo Calendar'!$G$6:$G$400,"&gt;0"),IFERROR(IF(INDEX('Chain Program'!$M$6:$M$120,MATCH($C560,'Chain Program'!$A$6:$A$120,0))="","Not set",INDEX('Chain Program'!$M$6:$M$120,MATCH($C560,'Chain Program'!$A$6:$A$120,0))),"Not set"))))</f>
        <v/>
      </c>
      <c r="I560" s="61" t="n"/>
      <c r="J560" s="45">
        <f>IF($I560="","",IF(NOT(ISNUMBER($H560)),"No plan price",IF(ABS($I560-$H560)&lt;0.005,"Match",IF($I560&gt;$H560,"Over plan","Under plan"))))</f>
        <v/>
      </c>
      <c r="K560" s="60" t="n"/>
      <c r="L560" s="60" t="n"/>
      <c r="M560" s="60" t="n"/>
      <c r="N560" s="60" t="n"/>
      <c r="O560" s="60" t="n"/>
      <c r="P560" s="62" t="n"/>
      <c r="Q560" s="62" t="n"/>
      <c r="R560" s="60" t="n"/>
      <c r="S560" s="59" t="n"/>
      <c r="T560" s="60" t="n"/>
      <c r="U560" s="59" t="n"/>
      <c r="V560" s="45">
        <f>IF(OR($A560="",$T560="",$T560="No Issue"),"",IF($T560="Resolved",IF($U560="","",$U560-$A560),TODAY()-$A560))</f>
        <v/>
      </c>
      <c r="W560" s="47">
        <f>IF(AND($C560&lt;&gt;"",$C560='Store History'!$C$4,OR('Store History'!$C$5="",$F560='Store History'!$C$5)),1,0)</f>
        <v/>
      </c>
      <c r="X560" s="47">
        <f>IF($W560=1,SUM($W560:$W$1005),"")</f>
        <v/>
      </c>
    </row>
    <row r="561">
      <c r="A561" s="59" t="n"/>
      <c r="B561" s="60" t="n"/>
      <c r="C561" s="60" t="n"/>
      <c r="D561" s="45">
        <f>IF($C561="","",IFERROR(INDEX('Chain Program'!$B$6:$B$120,MATCH($C561,'Chain Program'!$A$6:$A$120,0)),"Unknown ID"))</f>
        <v/>
      </c>
      <c r="E561" s="45">
        <f>IF($C561="","",IFERROR(INDEX('Chain Program'!$D$6:$D$120,MATCH($C561,'Chain Program'!$A$6:$A$120,0)),"Unknown ID"))</f>
        <v/>
      </c>
      <c r="F561" s="60" t="n"/>
      <c r="G561" s="60" t="n"/>
      <c r="H561" s="56">
        <f>IF(OR($C561="",$A561=""),"",IF(COUNTIFS('Promo Calendar'!$A$6:$A$400,$C561,'Promo Calendar'!$D$6:$D$400,IF($G561="","All",$G561),'Promo Calendar'!$I$6:$I$400,"&lt;="&amp;$A561,'Promo Calendar'!$J$6:$J$400,"&gt;="&amp;$A561,'Promo Calendar'!$G$6:$G$400,"&gt;0")&gt;0,_xlfn.MINIFS('Promo Calendar'!$G$6:$G$400,'Promo Calendar'!$A$6:$A$400,$C561,'Promo Calendar'!$D$6:$D$400,IF($G561="","All",$G561),'Promo Calendar'!$I$6:$I$400,"&lt;="&amp;$A561,'Promo Calendar'!$J$6:$J$400,"&gt;="&amp;$A561,'Promo Calendar'!$G$6:$G$400,"&gt;0"),IF(COUNTIFS('Promo Calendar'!$A$6:$A$400,$C561,'Promo Calendar'!$D$6:$D$400,"All",'Promo Calendar'!$I$6:$I$400,"&lt;="&amp;$A561,'Promo Calendar'!$J$6:$J$400,"&gt;="&amp;$A561,'Promo Calendar'!$G$6:$G$400,"&gt;0")&gt;0,_xlfn.MINIFS('Promo Calendar'!$G$6:$G$400,'Promo Calendar'!$A$6:$A$400,$C561,'Promo Calendar'!$D$6:$D$400,"All",'Promo Calendar'!$I$6:$I$400,"&lt;="&amp;$A561,'Promo Calendar'!$J$6:$J$400,"&gt;="&amp;$A561,'Promo Calendar'!$G$6:$G$400,"&gt;0"),IFERROR(IF(INDEX('Chain Program'!$M$6:$M$120,MATCH($C561,'Chain Program'!$A$6:$A$120,0))="","Not set",INDEX('Chain Program'!$M$6:$M$120,MATCH($C561,'Chain Program'!$A$6:$A$120,0))),"Not set"))))</f>
        <v/>
      </c>
      <c r="I561" s="61" t="n"/>
      <c r="J561" s="45">
        <f>IF($I561="","",IF(NOT(ISNUMBER($H561)),"No plan price",IF(ABS($I561-$H561)&lt;0.005,"Match",IF($I561&gt;$H561,"Over plan","Under plan"))))</f>
        <v/>
      </c>
      <c r="K561" s="60" t="n"/>
      <c r="L561" s="60" t="n"/>
      <c r="M561" s="60" t="n"/>
      <c r="N561" s="60" t="n"/>
      <c r="O561" s="60" t="n"/>
      <c r="P561" s="62" t="n"/>
      <c r="Q561" s="62" t="n"/>
      <c r="R561" s="60" t="n"/>
      <c r="S561" s="59" t="n"/>
      <c r="T561" s="60" t="n"/>
      <c r="U561" s="59" t="n"/>
      <c r="V561" s="45">
        <f>IF(OR($A561="",$T561="",$T561="No Issue"),"",IF($T561="Resolved",IF($U561="","",$U561-$A561),TODAY()-$A561))</f>
        <v/>
      </c>
      <c r="W561" s="47">
        <f>IF(AND($C561&lt;&gt;"",$C561='Store History'!$C$4,OR('Store History'!$C$5="",$F561='Store History'!$C$5)),1,0)</f>
        <v/>
      </c>
      <c r="X561" s="47">
        <f>IF($W561=1,SUM($W561:$W$1005),"")</f>
        <v/>
      </c>
    </row>
    <row r="562">
      <c r="A562" s="59" t="n"/>
      <c r="B562" s="60" t="n"/>
      <c r="C562" s="60" t="n"/>
      <c r="D562" s="45">
        <f>IF($C562="","",IFERROR(INDEX('Chain Program'!$B$6:$B$120,MATCH($C562,'Chain Program'!$A$6:$A$120,0)),"Unknown ID"))</f>
        <v/>
      </c>
      <c r="E562" s="45">
        <f>IF($C562="","",IFERROR(INDEX('Chain Program'!$D$6:$D$120,MATCH($C562,'Chain Program'!$A$6:$A$120,0)),"Unknown ID"))</f>
        <v/>
      </c>
      <c r="F562" s="60" t="n"/>
      <c r="G562" s="60" t="n"/>
      <c r="H562" s="56">
        <f>IF(OR($C562="",$A562=""),"",IF(COUNTIFS('Promo Calendar'!$A$6:$A$400,$C562,'Promo Calendar'!$D$6:$D$400,IF($G562="","All",$G562),'Promo Calendar'!$I$6:$I$400,"&lt;="&amp;$A562,'Promo Calendar'!$J$6:$J$400,"&gt;="&amp;$A562,'Promo Calendar'!$G$6:$G$400,"&gt;0")&gt;0,_xlfn.MINIFS('Promo Calendar'!$G$6:$G$400,'Promo Calendar'!$A$6:$A$400,$C562,'Promo Calendar'!$D$6:$D$400,IF($G562="","All",$G562),'Promo Calendar'!$I$6:$I$400,"&lt;="&amp;$A562,'Promo Calendar'!$J$6:$J$400,"&gt;="&amp;$A562,'Promo Calendar'!$G$6:$G$400,"&gt;0"),IF(COUNTIFS('Promo Calendar'!$A$6:$A$400,$C562,'Promo Calendar'!$D$6:$D$400,"All",'Promo Calendar'!$I$6:$I$400,"&lt;="&amp;$A562,'Promo Calendar'!$J$6:$J$400,"&gt;="&amp;$A562,'Promo Calendar'!$G$6:$G$400,"&gt;0")&gt;0,_xlfn.MINIFS('Promo Calendar'!$G$6:$G$400,'Promo Calendar'!$A$6:$A$400,$C562,'Promo Calendar'!$D$6:$D$400,"All",'Promo Calendar'!$I$6:$I$400,"&lt;="&amp;$A562,'Promo Calendar'!$J$6:$J$400,"&gt;="&amp;$A562,'Promo Calendar'!$G$6:$G$400,"&gt;0"),IFERROR(IF(INDEX('Chain Program'!$M$6:$M$120,MATCH($C562,'Chain Program'!$A$6:$A$120,0))="","Not set",INDEX('Chain Program'!$M$6:$M$120,MATCH($C562,'Chain Program'!$A$6:$A$120,0))),"Not set"))))</f>
        <v/>
      </c>
      <c r="I562" s="61" t="n"/>
      <c r="J562" s="45">
        <f>IF($I562="","",IF(NOT(ISNUMBER($H562)),"No plan price",IF(ABS($I562-$H562)&lt;0.005,"Match",IF($I562&gt;$H562,"Over plan","Under plan"))))</f>
        <v/>
      </c>
      <c r="K562" s="60" t="n"/>
      <c r="L562" s="60" t="n"/>
      <c r="M562" s="60" t="n"/>
      <c r="N562" s="60" t="n"/>
      <c r="O562" s="60" t="n"/>
      <c r="P562" s="62" t="n"/>
      <c r="Q562" s="62" t="n"/>
      <c r="R562" s="60" t="n"/>
      <c r="S562" s="59" t="n"/>
      <c r="T562" s="60" t="n"/>
      <c r="U562" s="59" t="n"/>
      <c r="V562" s="45">
        <f>IF(OR($A562="",$T562="",$T562="No Issue"),"",IF($T562="Resolved",IF($U562="","",$U562-$A562),TODAY()-$A562))</f>
        <v/>
      </c>
      <c r="W562" s="47">
        <f>IF(AND($C562&lt;&gt;"",$C562='Store History'!$C$4,OR('Store History'!$C$5="",$F562='Store History'!$C$5)),1,0)</f>
        <v/>
      </c>
      <c r="X562" s="47">
        <f>IF($W562=1,SUM($W562:$W$1005),"")</f>
        <v/>
      </c>
    </row>
    <row r="563">
      <c r="A563" s="59" t="n"/>
      <c r="B563" s="60" t="n"/>
      <c r="C563" s="60" t="n"/>
      <c r="D563" s="45">
        <f>IF($C563="","",IFERROR(INDEX('Chain Program'!$B$6:$B$120,MATCH($C563,'Chain Program'!$A$6:$A$120,0)),"Unknown ID"))</f>
        <v/>
      </c>
      <c r="E563" s="45">
        <f>IF($C563="","",IFERROR(INDEX('Chain Program'!$D$6:$D$120,MATCH($C563,'Chain Program'!$A$6:$A$120,0)),"Unknown ID"))</f>
        <v/>
      </c>
      <c r="F563" s="60" t="n"/>
      <c r="G563" s="60" t="n"/>
      <c r="H563" s="56">
        <f>IF(OR($C563="",$A563=""),"",IF(COUNTIFS('Promo Calendar'!$A$6:$A$400,$C563,'Promo Calendar'!$D$6:$D$400,IF($G563="","All",$G563),'Promo Calendar'!$I$6:$I$400,"&lt;="&amp;$A563,'Promo Calendar'!$J$6:$J$400,"&gt;="&amp;$A563,'Promo Calendar'!$G$6:$G$400,"&gt;0")&gt;0,_xlfn.MINIFS('Promo Calendar'!$G$6:$G$400,'Promo Calendar'!$A$6:$A$400,$C563,'Promo Calendar'!$D$6:$D$400,IF($G563="","All",$G563),'Promo Calendar'!$I$6:$I$400,"&lt;="&amp;$A563,'Promo Calendar'!$J$6:$J$400,"&gt;="&amp;$A563,'Promo Calendar'!$G$6:$G$400,"&gt;0"),IF(COUNTIFS('Promo Calendar'!$A$6:$A$400,$C563,'Promo Calendar'!$D$6:$D$400,"All",'Promo Calendar'!$I$6:$I$400,"&lt;="&amp;$A563,'Promo Calendar'!$J$6:$J$400,"&gt;="&amp;$A563,'Promo Calendar'!$G$6:$G$400,"&gt;0")&gt;0,_xlfn.MINIFS('Promo Calendar'!$G$6:$G$400,'Promo Calendar'!$A$6:$A$400,$C563,'Promo Calendar'!$D$6:$D$400,"All",'Promo Calendar'!$I$6:$I$400,"&lt;="&amp;$A563,'Promo Calendar'!$J$6:$J$400,"&gt;="&amp;$A563,'Promo Calendar'!$G$6:$G$400,"&gt;0"),IFERROR(IF(INDEX('Chain Program'!$M$6:$M$120,MATCH($C563,'Chain Program'!$A$6:$A$120,0))="","Not set",INDEX('Chain Program'!$M$6:$M$120,MATCH($C563,'Chain Program'!$A$6:$A$120,0))),"Not set"))))</f>
        <v/>
      </c>
      <c r="I563" s="61" t="n"/>
      <c r="J563" s="45">
        <f>IF($I563="","",IF(NOT(ISNUMBER($H563)),"No plan price",IF(ABS($I563-$H563)&lt;0.005,"Match",IF($I563&gt;$H563,"Over plan","Under plan"))))</f>
        <v/>
      </c>
      <c r="K563" s="60" t="n"/>
      <c r="L563" s="60" t="n"/>
      <c r="M563" s="60" t="n"/>
      <c r="N563" s="60" t="n"/>
      <c r="O563" s="60" t="n"/>
      <c r="P563" s="62" t="n"/>
      <c r="Q563" s="62" t="n"/>
      <c r="R563" s="60" t="n"/>
      <c r="S563" s="59" t="n"/>
      <c r="T563" s="60" t="n"/>
      <c r="U563" s="59" t="n"/>
      <c r="V563" s="45">
        <f>IF(OR($A563="",$T563="",$T563="No Issue"),"",IF($T563="Resolved",IF($U563="","",$U563-$A563),TODAY()-$A563))</f>
        <v/>
      </c>
      <c r="W563" s="47">
        <f>IF(AND($C563&lt;&gt;"",$C563='Store History'!$C$4,OR('Store History'!$C$5="",$F563='Store History'!$C$5)),1,0)</f>
        <v/>
      </c>
      <c r="X563" s="47">
        <f>IF($W563=1,SUM($W563:$W$1005),"")</f>
        <v/>
      </c>
    </row>
    <row r="564">
      <c r="A564" s="59" t="n"/>
      <c r="B564" s="60" t="n"/>
      <c r="C564" s="60" t="n"/>
      <c r="D564" s="45">
        <f>IF($C564="","",IFERROR(INDEX('Chain Program'!$B$6:$B$120,MATCH($C564,'Chain Program'!$A$6:$A$120,0)),"Unknown ID"))</f>
        <v/>
      </c>
      <c r="E564" s="45">
        <f>IF($C564="","",IFERROR(INDEX('Chain Program'!$D$6:$D$120,MATCH($C564,'Chain Program'!$A$6:$A$120,0)),"Unknown ID"))</f>
        <v/>
      </c>
      <c r="F564" s="60" t="n"/>
      <c r="G564" s="60" t="n"/>
      <c r="H564" s="56">
        <f>IF(OR($C564="",$A564=""),"",IF(COUNTIFS('Promo Calendar'!$A$6:$A$400,$C564,'Promo Calendar'!$D$6:$D$400,IF($G564="","All",$G564),'Promo Calendar'!$I$6:$I$400,"&lt;="&amp;$A564,'Promo Calendar'!$J$6:$J$400,"&gt;="&amp;$A564,'Promo Calendar'!$G$6:$G$400,"&gt;0")&gt;0,_xlfn.MINIFS('Promo Calendar'!$G$6:$G$400,'Promo Calendar'!$A$6:$A$400,$C564,'Promo Calendar'!$D$6:$D$400,IF($G564="","All",$G564),'Promo Calendar'!$I$6:$I$400,"&lt;="&amp;$A564,'Promo Calendar'!$J$6:$J$400,"&gt;="&amp;$A564,'Promo Calendar'!$G$6:$G$400,"&gt;0"),IF(COUNTIFS('Promo Calendar'!$A$6:$A$400,$C564,'Promo Calendar'!$D$6:$D$400,"All",'Promo Calendar'!$I$6:$I$400,"&lt;="&amp;$A564,'Promo Calendar'!$J$6:$J$400,"&gt;="&amp;$A564,'Promo Calendar'!$G$6:$G$400,"&gt;0")&gt;0,_xlfn.MINIFS('Promo Calendar'!$G$6:$G$400,'Promo Calendar'!$A$6:$A$400,$C564,'Promo Calendar'!$D$6:$D$400,"All",'Promo Calendar'!$I$6:$I$400,"&lt;="&amp;$A564,'Promo Calendar'!$J$6:$J$400,"&gt;="&amp;$A564,'Promo Calendar'!$G$6:$G$400,"&gt;0"),IFERROR(IF(INDEX('Chain Program'!$M$6:$M$120,MATCH($C564,'Chain Program'!$A$6:$A$120,0))="","Not set",INDEX('Chain Program'!$M$6:$M$120,MATCH($C564,'Chain Program'!$A$6:$A$120,0))),"Not set"))))</f>
        <v/>
      </c>
      <c r="I564" s="61" t="n"/>
      <c r="J564" s="45">
        <f>IF($I564="","",IF(NOT(ISNUMBER($H564)),"No plan price",IF(ABS($I564-$H564)&lt;0.005,"Match",IF($I564&gt;$H564,"Over plan","Under plan"))))</f>
        <v/>
      </c>
      <c r="K564" s="60" t="n"/>
      <c r="L564" s="60" t="n"/>
      <c r="M564" s="60" t="n"/>
      <c r="N564" s="60" t="n"/>
      <c r="O564" s="60" t="n"/>
      <c r="P564" s="62" t="n"/>
      <c r="Q564" s="62" t="n"/>
      <c r="R564" s="60" t="n"/>
      <c r="S564" s="59" t="n"/>
      <c r="T564" s="60" t="n"/>
      <c r="U564" s="59" t="n"/>
      <c r="V564" s="45">
        <f>IF(OR($A564="",$T564="",$T564="No Issue"),"",IF($T564="Resolved",IF($U564="","",$U564-$A564),TODAY()-$A564))</f>
        <v/>
      </c>
      <c r="W564" s="47">
        <f>IF(AND($C564&lt;&gt;"",$C564='Store History'!$C$4,OR('Store History'!$C$5="",$F564='Store History'!$C$5)),1,0)</f>
        <v/>
      </c>
      <c r="X564" s="47">
        <f>IF($W564=1,SUM($W564:$W$1005),"")</f>
        <v/>
      </c>
    </row>
    <row r="565">
      <c r="A565" s="59" t="n"/>
      <c r="B565" s="60" t="n"/>
      <c r="C565" s="60" t="n"/>
      <c r="D565" s="45">
        <f>IF($C565="","",IFERROR(INDEX('Chain Program'!$B$6:$B$120,MATCH($C565,'Chain Program'!$A$6:$A$120,0)),"Unknown ID"))</f>
        <v/>
      </c>
      <c r="E565" s="45">
        <f>IF($C565="","",IFERROR(INDEX('Chain Program'!$D$6:$D$120,MATCH($C565,'Chain Program'!$A$6:$A$120,0)),"Unknown ID"))</f>
        <v/>
      </c>
      <c r="F565" s="60" t="n"/>
      <c r="G565" s="60" t="n"/>
      <c r="H565" s="56">
        <f>IF(OR($C565="",$A565=""),"",IF(COUNTIFS('Promo Calendar'!$A$6:$A$400,$C565,'Promo Calendar'!$D$6:$D$400,IF($G565="","All",$G565),'Promo Calendar'!$I$6:$I$400,"&lt;="&amp;$A565,'Promo Calendar'!$J$6:$J$400,"&gt;="&amp;$A565,'Promo Calendar'!$G$6:$G$400,"&gt;0")&gt;0,_xlfn.MINIFS('Promo Calendar'!$G$6:$G$400,'Promo Calendar'!$A$6:$A$400,$C565,'Promo Calendar'!$D$6:$D$400,IF($G565="","All",$G565),'Promo Calendar'!$I$6:$I$400,"&lt;="&amp;$A565,'Promo Calendar'!$J$6:$J$400,"&gt;="&amp;$A565,'Promo Calendar'!$G$6:$G$400,"&gt;0"),IF(COUNTIFS('Promo Calendar'!$A$6:$A$400,$C565,'Promo Calendar'!$D$6:$D$400,"All",'Promo Calendar'!$I$6:$I$400,"&lt;="&amp;$A565,'Promo Calendar'!$J$6:$J$400,"&gt;="&amp;$A565,'Promo Calendar'!$G$6:$G$400,"&gt;0")&gt;0,_xlfn.MINIFS('Promo Calendar'!$G$6:$G$400,'Promo Calendar'!$A$6:$A$400,$C565,'Promo Calendar'!$D$6:$D$400,"All",'Promo Calendar'!$I$6:$I$400,"&lt;="&amp;$A565,'Promo Calendar'!$J$6:$J$400,"&gt;="&amp;$A565,'Promo Calendar'!$G$6:$G$400,"&gt;0"),IFERROR(IF(INDEX('Chain Program'!$M$6:$M$120,MATCH($C565,'Chain Program'!$A$6:$A$120,0))="","Not set",INDEX('Chain Program'!$M$6:$M$120,MATCH($C565,'Chain Program'!$A$6:$A$120,0))),"Not set"))))</f>
        <v/>
      </c>
      <c r="I565" s="61" t="n"/>
      <c r="J565" s="45">
        <f>IF($I565="","",IF(NOT(ISNUMBER($H565)),"No plan price",IF(ABS($I565-$H565)&lt;0.005,"Match",IF($I565&gt;$H565,"Over plan","Under plan"))))</f>
        <v/>
      </c>
      <c r="K565" s="60" t="n"/>
      <c r="L565" s="60" t="n"/>
      <c r="M565" s="60" t="n"/>
      <c r="N565" s="60" t="n"/>
      <c r="O565" s="60" t="n"/>
      <c r="P565" s="62" t="n"/>
      <c r="Q565" s="62" t="n"/>
      <c r="R565" s="60" t="n"/>
      <c r="S565" s="59" t="n"/>
      <c r="T565" s="60" t="n"/>
      <c r="U565" s="59" t="n"/>
      <c r="V565" s="45">
        <f>IF(OR($A565="",$T565="",$T565="No Issue"),"",IF($T565="Resolved",IF($U565="","",$U565-$A565),TODAY()-$A565))</f>
        <v/>
      </c>
      <c r="W565" s="47">
        <f>IF(AND($C565&lt;&gt;"",$C565='Store History'!$C$4,OR('Store History'!$C$5="",$F565='Store History'!$C$5)),1,0)</f>
        <v/>
      </c>
      <c r="X565" s="47">
        <f>IF($W565=1,SUM($W565:$W$1005),"")</f>
        <v/>
      </c>
    </row>
    <row r="566">
      <c r="A566" s="59" t="n"/>
      <c r="B566" s="60" t="n"/>
      <c r="C566" s="60" t="n"/>
      <c r="D566" s="45">
        <f>IF($C566="","",IFERROR(INDEX('Chain Program'!$B$6:$B$120,MATCH($C566,'Chain Program'!$A$6:$A$120,0)),"Unknown ID"))</f>
        <v/>
      </c>
      <c r="E566" s="45">
        <f>IF($C566="","",IFERROR(INDEX('Chain Program'!$D$6:$D$120,MATCH($C566,'Chain Program'!$A$6:$A$120,0)),"Unknown ID"))</f>
        <v/>
      </c>
      <c r="F566" s="60" t="n"/>
      <c r="G566" s="60" t="n"/>
      <c r="H566" s="56">
        <f>IF(OR($C566="",$A566=""),"",IF(COUNTIFS('Promo Calendar'!$A$6:$A$400,$C566,'Promo Calendar'!$D$6:$D$400,IF($G566="","All",$G566),'Promo Calendar'!$I$6:$I$400,"&lt;="&amp;$A566,'Promo Calendar'!$J$6:$J$400,"&gt;="&amp;$A566,'Promo Calendar'!$G$6:$G$400,"&gt;0")&gt;0,_xlfn.MINIFS('Promo Calendar'!$G$6:$G$400,'Promo Calendar'!$A$6:$A$400,$C566,'Promo Calendar'!$D$6:$D$400,IF($G566="","All",$G566),'Promo Calendar'!$I$6:$I$400,"&lt;="&amp;$A566,'Promo Calendar'!$J$6:$J$400,"&gt;="&amp;$A566,'Promo Calendar'!$G$6:$G$400,"&gt;0"),IF(COUNTIFS('Promo Calendar'!$A$6:$A$400,$C566,'Promo Calendar'!$D$6:$D$400,"All",'Promo Calendar'!$I$6:$I$400,"&lt;="&amp;$A566,'Promo Calendar'!$J$6:$J$400,"&gt;="&amp;$A566,'Promo Calendar'!$G$6:$G$400,"&gt;0")&gt;0,_xlfn.MINIFS('Promo Calendar'!$G$6:$G$400,'Promo Calendar'!$A$6:$A$400,$C566,'Promo Calendar'!$D$6:$D$400,"All",'Promo Calendar'!$I$6:$I$400,"&lt;="&amp;$A566,'Promo Calendar'!$J$6:$J$400,"&gt;="&amp;$A566,'Promo Calendar'!$G$6:$G$400,"&gt;0"),IFERROR(IF(INDEX('Chain Program'!$M$6:$M$120,MATCH($C566,'Chain Program'!$A$6:$A$120,0))="","Not set",INDEX('Chain Program'!$M$6:$M$120,MATCH($C566,'Chain Program'!$A$6:$A$120,0))),"Not set"))))</f>
        <v/>
      </c>
      <c r="I566" s="61" t="n"/>
      <c r="J566" s="45">
        <f>IF($I566="","",IF(NOT(ISNUMBER($H566)),"No plan price",IF(ABS($I566-$H566)&lt;0.005,"Match",IF($I566&gt;$H566,"Over plan","Under plan"))))</f>
        <v/>
      </c>
      <c r="K566" s="60" t="n"/>
      <c r="L566" s="60" t="n"/>
      <c r="M566" s="60" t="n"/>
      <c r="N566" s="60" t="n"/>
      <c r="O566" s="60" t="n"/>
      <c r="P566" s="62" t="n"/>
      <c r="Q566" s="62" t="n"/>
      <c r="R566" s="60" t="n"/>
      <c r="S566" s="59" t="n"/>
      <c r="T566" s="60" t="n"/>
      <c r="U566" s="59" t="n"/>
      <c r="V566" s="45">
        <f>IF(OR($A566="",$T566="",$T566="No Issue"),"",IF($T566="Resolved",IF($U566="","",$U566-$A566),TODAY()-$A566))</f>
        <v/>
      </c>
      <c r="W566" s="47">
        <f>IF(AND($C566&lt;&gt;"",$C566='Store History'!$C$4,OR('Store History'!$C$5="",$F566='Store History'!$C$5)),1,0)</f>
        <v/>
      </c>
      <c r="X566" s="47">
        <f>IF($W566=1,SUM($W566:$W$1005),"")</f>
        <v/>
      </c>
    </row>
    <row r="567">
      <c r="A567" s="59" t="n"/>
      <c r="B567" s="60" t="n"/>
      <c r="C567" s="60" t="n"/>
      <c r="D567" s="45">
        <f>IF($C567="","",IFERROR(INDEX('Chain Program'!$B$6:$B$120,MATCH($C567,'Chain Program'!$A$6:$A$120,0)),"Unknown ID"))</f>
        <v/>
      </c>
      <c r="E567" s="45">
        <f>IF($C567="","",IFERROR(INDEX('Chain Program'!$D$6:$D$120,MATCH($C567,'Chain Program'!$A$6:$A$120,0)),"Unknown ID"))</f>
        <v/>
      </c>
      <c r="F567" s="60" t="n"/>
      <c r="G567" s="60" t="n"/>
      <c r="H567" s="56">
        <f>IF(OR($C567="",$A567=""),"",IF(COUNTIFS('Promo Calendar'!$A$6:$A$400,$C567,'Promo Calendar'!$D$6:$D$400,IF($G567="","All",$G567),'Promo Calendar'!$I$6:$I$400,"&lt;="&amp;$A567,'Promo Calendar'!$J$6:$J$400,"&gt;="&amp;$A567,'Promo Calendar'!$G$6:$G$400,"&gt;0")&gt;0,_xlfn.MINIFS('Promo Calendar'!$G$6:$G$400,'Promo Calendar'!$A$6:$A$400,$C567,'Promo Calendar'!$D$6:$D$400,IF($G567="","All",$G567),'Promo Calendar'!$I$6:$I$400,"&lt;="&amp;$A567,'Promo Calendar'!$J$6:$J$400,"&gt;="&amp;$A567,'Promo Calendar'!$G$6:$G$400,"&gt;0"),IF(COUNTIFS('Promo Calendar'!$A$6:$A$400,$C567,'Promo Calendar'!$D$6:$D$400,"All",'Promo Calendar'!$I$6:$I$400,"&lt;="&amp;$A567,'Promo Calendar'!$J$6:$J$400,"&gt;="&amp;$A567,'Promo Calendar'!$G$6:$G$400,"&gt;0")&gt;0,_xlfn.MINIFS('Promo Calendar'!$G$6:$G$400,'Promo Calendar'!$A$6:$A$400,$C567,'Promo Calendar'!$D$6:$D$400,"All",'Promo Calendar'!$I$6:$I$400,"&lt;="&amp;$A567,'Promo Calendar'!$J$6:$J$400,"&gt;="&amp;$A567,'Promo Calendar'!$G$6:$G$400,"&gt;0"),IFERROR(IF(INDEX('Chain Program'!$M$6:$M$120,MATCH($C567,'Chain Program'!$A$6:$A$120,0))="","Not set",INDEX('Chain Program'!$M$6:$M$120,MATCH($C567,'Chain Program'!$A$6:$A$120,0))),"Not set"))))</f>
        <v/>
      </c>
      <c r="I567" s="61" t="n"/>
      <c r="J567" s="45">
        <f>IF($I567="","",IF(NOT(ISNUMBER($H567)),"No plan price",IF(ABS($I567-$H567)&lt;0.005,"Match",IF($I567&gt;$H567,"Over plan","Under plan"))))</f>
        <v/>
      </c>
      <c r="K567" s="60" t="n"/>
      <c r="L567" s="60" t="n"/>
      <c r="M567" s="60" t="n"/>
      <c r="N567" s="60" t="n"/>
      <c r="O567" s="60" t="n"/>
      <c r="P567" s="62" t="n"/>
      <c r="Q567" s="62" t="n"/>
      <c r="R567" s="60" t="n"/>
      <c r="S567" s="59" t="n"/>
      <c r="T567" s="60" t="n"/>
      <c r="U567" s="59" t="n"/>
      <c r="V567" s="45">
        <f>IF(OR($A567="",$T567="",$T567="No Issue"),"",IF($T567="Resolved",IF($U567="","",$U567-$A567),TODAY()-$A567))</f>
        <v/>
      </c>
      <c r="W567" s="47">
        <f>IF(AND($C567&lt;&gt;"",$C567='Store History'!$C$4,OR('Store History'!$C$5="",$F567='Store History'!$C$5)),1,0)</f>
        <v/>
      </c>
      <c r="X567" s="47">
        <f>IF($W567=1,SUM($W567:$W$1005),"")</f>
        <v/>
      </c>
    </row>
    <row r="568">
      <c r="A568" s="59" t="n"/>
      <c r="B568" s="60" t="n"/>
      <c r="C568" s="60" t="n"/>
      <c r="D568" s="45">
        <f>IF($C568="","",IFERROR(INDEX('Chain Program'!$B$6:$B$120,MATCH($C568,'Chain Program'!$A$6:$A$120,0)),"Unknown ID"))</f>
        <v/>
      </c>
      <c r="E568" s="45">
        <f>IF($C568="","",IFERROR(INDEX('Chain Program'!$D$6:$D$120,MATCH($C568,'Chain Program'!$A$6:$A$120,0)),"Unknown ID"))</f>
        <v/>
      </c>
      <c r="F568" s="60" t="n"/>
      <c r="G568" s="60" t="n"/>
      <c r="H568" s="56">
        <f>IF(OR($C568="",$A568=""),"",IF(COUNTIFS('Promo Calendar'!$A$6:$A$400,$C568,'Promo Calendar'!$D$6:$D$400,IF($G568="","All",$G568),'Promo Calendar'!$I$6:$I$400,"&lt;="&amp;$A568,'Promo Calendar'!$J$6:$J$400,"&gt;="&amp;$A568,'Promo Calendar'!$G$6:$G$400,"&gt;0")&gt;0,_xlfn.MINIFS('Promo Calendar'!$G$6:$G$400,'Promo Calendar'!$A$6:$A$400,$C568,'Promo Calendar'!$D$6:$D$400,IF($G568="","All",$G568),'Promo Calendar'!$I$6:$I$400,"&lt;="&amp;$A568,'Promo Calendar'!$J$6:$J$400,"&gt;="&amp;$A568,'Promo Calendar'!$G$6:$G$400,"&gt;0"),IF(COUNTIFS('Promo Calendar'!$A$6:$A$400,$C568,'Promo Calendar'!$D$6:$D$400,"All",'Promo Calendar'!$I$6:$I$400,"&lt;="&amp;$A568,'Promo Calendar'!$J$6:$J$400,"&gt;="&amp;$A568,'Promo Calendar'!$G$6:$G$400,"&gt;0")&gt;0,_xlfn.MINIFS('Promo Calendar'!$G$6:$G$400,'Promo Calendar'!$A$6:$A$400,$C568,'Promo Calendar'!$D$6:$D$400,"All",'Promo Calendar'!$I$6:$I$400,"&lt;="&amp;$A568,'Promo Calendar'!$J$6:$J$400,"&gt;="&amp;$A568,'Promo Calendar'!$G$6:$G$400,"&gt;0"),IFERROR(IF(INDEX('Chain Program'!$M$6:$M$120,MATCH($C568,'Chain Program'!$A$6:$A$120,0))="","Not set",INDEX('Chain Program'!$M$6:$M$120,MATCH($C568,'Chain Program'!$A$6:$A$120,0))),"Not set"))))</f>
        <v/>
      </c>
      <c r="I568" s="61" t="n"/>
      <c r="J568" s="45">
        <f>IF($I568="","",IF(NOT(ISNUMBER($H568)),"No plan price",IF(ABS($I568-$H568)&lt;0.005,"Match",IF($I568&gt;$H568,"Over plan","Under plan"))))</f>
        <v/>
      </c>
      <c r="K568" s="60" t="n"/>
      <c r="L568" s="60" t="n"/>
      <c r="M568" s="60" t="n"/>
      <c r="N568" s="60" t="n"/>
      <c r="O568" s="60" t="n"/>
      <c r="P568" s="62" t="n"/>
      <c r="Q568" s="62" t="n"/>
      <c r="R568" s="60" t="n"/>
      <c r="S568" s="59" t="n"/>
      <c r="T568" s="60" t="n"/>
      <c r="U568" s="59" t="n"/>
      <c r="V568" s="45">
        <f>IF(OR($A568="",$T568="",$T568="No Issue"),"",IF($T568="Resolved",IF($U568="","",$U568-$A568),TODAY()-$A568))</f>
        <v/>
      </c>
      <c r="W568" s="47">
        <f>IF(AND($C568&lt;&gt;"",$C568='Store History'!$C$4,OR('Store History'!$C$5="",$F568='Store History'!$C$5)),1,0)</f>
        <v/>
      </c>
      <c r="X568" s="47">
        <f>IF($W568=1,SUM($W568:$W$1005),"")</f>
        <v/>
      </c>
    </row>
    <row r="569">
      <c r="A569" s="59" t="n"/>
      <c r="B569" s="60" t="n"/>
      <c r="C569" s="60" t="n"/>
      <c r="D569" s="45">
        <f>IF($C569="","",IFERROR(INDEX('Chain Program'!$B$6:$B$120,MATCH($C569,'Chain Program'!$A$6:$A$120,0)),"Unknown ID"))</f>
        <v/>
      </c>
      <c r="E569" s="45">
        <f>IF($C569="","",IFERROR(INDEX('Chain Program'!$D$6:$D$120,MATCH($C569,'Chain Program'!$A$6:$A$120,0)),"Unknown ID"))</f>
        <v/>
      </c>
      <c r="F569" s="60" t="n"/>
      <c r="G569" s="60" t="n"/>
      <c r="H569" s="56">
        <f>IF(OR($C569="",$A569=""),"",IF(COUNTIFS('Promo Calendar'!$A$6:$A$400,$C569,'Promo Calendar'!$D$6:$D$400,IF($G569="","All",$G569),'Promo Calendar'!$I$6:$I$400,"&lt;="&amp;$A569,'Promo Calendar'!$J$6:$J$400,"&gt;="&amp;$A569,'Promo Calendar'!$G$6:$G$400,"&gt;0")&gt;0,_xlfn.MINIFS('Promo Calendar'!$G$6:$G$400,'Promo Calendar'!$A$6:$A$400,$C569,'Promo Calendar'!$D$6:$D$400,IF($G569="","All",$G569),'Promo Calendar'!$I$6:$I$400,"&lt;="&amp;$A569,'Promo Calendar'!$J$6:$J$400,"&gt;="&amp;$A569,'Promo Calendar'!$G$6:$G$400,"&gt;0"),IF(COUNTIFS('Promo Calendar'!$A$6:$A$400,$C569,'Promo Calendar'!$D$6:$D$400,"All",'Promo Calendar'!$I$6:$I$400,"&lt;="&amp;$A569,'Promo Calendar'!$J$6:$J$400,"&gt;="&amp;$A569,'Promo Calendar'!$G$6:$G$400,"&gt;0")&gt;0,_xlfn.MINIFS('Promo Calendar'!$G$6:$G$400,'Promo Calendar'!$A$6:$A$400,$C569,'Promo Calendar'!$D$6:$D$400,"All",'Promo Calendar'!$I$6:$I$400,"&lt;="&amp;$A569,'Promo Calendar'!$J$6:$J$400,"&gt;="&amp;$A569,'Promo Calendar'!$G$6:$G$400,"&gt;0"),IFERROR(IF(INDEX('Chain Program'!$M$6:$M$120,MATCH($C569,'Chain Program'!$A$6:$A$120,0))="","Not set",INDEX('Chain Program'!$M$6:$M$120,MATCH($C569,'Chain Program'!$A$6:$A$120,0))),"Not set"))))</f>
        <v/>
      </c>
      <c r="I569" s="61" t="n"/>
      <c r="J569" s="45">
        <f>IF($I569="","",IF(NOT(ISNUMBER($H569)),"No plan price",IF(ABS($I569-$H569)&lt;0.005,"Match",IF($I569&gt;$H569,"Over plan","Under plan"))))</f>
        <v/>
      </c>
      <c r="K569" s="60" t="n"/>
      <c r="L569" s="60" t="n"/>
      <c r="M569" s="60" t="n"/>
      <c r="N569" s="60" t="n"/>
      <c r="O569" s="60" t="n"/>
      <c r="P569" s="62" t="n"/>
      <c r="Q569" s="62" t="n"/>
      <c r="R569" s="60" t="n"/>
      <c r="S569" s="59" t="n"/>
      <c r="T569" s="60" t="n"/>
      <c r="U569" s="59" t="n"/>
      <c r="V569" s="45">
        <f>IF(OR($A569="",$T569="",$T569="No Issue"),"",IF($T569="Resolved",IF($U569="","",$U569-$A569),TODAY()-$A569))</f>
        <v/>
      </c>
      <c r="W569" s="47">
        <f>IF(AND($C569&lt;&gt;"",$C569='Store History'!$C$4,OR('Store History'!$C$5="",$F569='Store History'!$C$5)),1,0)</f>
        <v/>
      </c>
      <c r="X569" s="47">
        <f>IF($W569=1,SUM($W569:$W$1005),"")</f>
        <v/>
      </c>
    </row>
    <row r="570">
      <c r="A570" s="59" t="n"/>
      <c r="B570" s="60" t="n"/>
      <c r="C570" s="60" t="n"/>
      <c r="D570" s="45">
        <f>IF($C570="","",IFERROR(INDEX('Chain Program'!$B$6:$B$120,MATCH($C570,'Chain Program'!$A$6:$A$120,0)),"Unknown ID"))</f>
        <v/>
      </c>
      <c r="E570" s="45">
        <f>IF($C570="","",IFERROR(INDEX('Chain Program'!$D$6:$D$120,MATCH($C570,'Chain Program'!$A$6:$A$120,0)),"Unknown ID"))</f>
        <v/>
      </c>
      <c r="F570" s="60" t="n"/>
      <c r="G570" s="60" t="n"/>
      <c r="H570" s="56">
        <f>IF(OR($C570="",$A570=""),"",IF(COUNTIFS('Promo Calendar'!$A$6:$A$400,$C570,'Promo Calendar'!$D$6:$D$400,IF($G570="","All",$G570),'Promo Calendar'!$I$6:$I$400,"&lt;="&amp;$A570,'Promo Calendar'!$J$6:$J$400,"&gt;="&amp;$A570,'Promo Calendar'!$G$6:$G$400,"&gt;0")&gt;0,_xlfn.MINIFS('Promo Calendar'!$G$6:$G$400,'Promo Calendar'!$A$6:$A$400,$C570,'Promo Calendar'!$D$6:$D$400,IF($G570="","All",$G570),'Promo Calendar'!$I$6:$I$400,"&lt;="&amp;$A570,'Promo Calendar'!$J$6:$J$400,"&gt;="&amp;$A570,'Promo Calendar'!$G$6:$G$400,"&gt;0"),IF(COUNTIFS('Promo Calendar'!$A$6:$A$400,$C570,'Promo Calendar'!$D$6:$D$400,"All",'Promo Calendar'!$I$6:$I$400,"&lt;="&amp;$A570,'Promo Calendar'!$J$6:$J$400,"&gt;="&amp;$A570,'Promo Calendar'!$G$6:$G$400,"&gt;0")&gt;0,_xlfn.MINIFS('Promo Calendar'!$G$6:$G$400,'Promo Calendar'!$A$6:$A$400,$C570,'Promo Calendar'!$D$6:$D$400,"All",'Promo Calendar'!$I$6:$I$400,"&lt;="&amp;$A570,'Promo Calendar'!$J$6:$J$400,"&gt;="&amp;$A570,'Promo Calendar'!$G$6:$G$400,"&gt;0"),IFERROR(IF(INDEX('Chain Program'!$M$6:$M$120,MATCH($C570,'Chain Program'!$A$6:$A$120,0))="","Not set",INDEX('Chain Program'!$M$6:$M$120,MATCH($C570,'Chain Program'!$A$6:$A$120,0))),"Not set"))))</f>
        <v/>
      </c>
      <c r="I570" s="61" t="n"/>
      <c r="J570" s="45">
        <f>IF($I570="","",IF(NOT(ISNUMBER($H570)),"No plan price",IF(ABS($I570-$H570)&lt;0.005,"Match",IF($I570&gt;$H570,"Over plan","Under plan"))))</f>
        <v/>
      </c>
      <c r="K570" s="60" t="n"/>
      <c r="L570" s="60" t="n"/>
      <c r="M570" s="60" t="n"/>
      <c r="N570" s="60" t="n"/>
      <c r="O570" s="60" t="n"/>
      <c r="P570" s="62" t="n"/>
      <c r="Q570" s="62" t="n"/>
      <c r="R570" s="60" t="n"/>
      <c r="S570" s="59" t="n"/>
      <c r="T570" s="60" t="n"/>
      <c r="U570" s="59" t="n"/>
      <c r="V570" s="45">
        <f>IF(OR($A570="",$T570="",$T570="No Issue"),"",IF($T570="Resolved",IF($U570="","",$U570-$A570),TODAY()-$A570))</f>
        <v/>
      </c>
      <c r="W570" s="47">
        <f>IF(AND($C570&lt;&gt;"",$C570='Store History'!$C$4,OR('Store History'!$C$5="",$F570='Store History'!$C$5)),1,0)</f>
        <v/>
      </c>
      <c r="X570" s="47">
        <f>IF($W570=1,SUM($W570:$W$1005),"")</f>
        <v/>
      </c>
    </row>
    <row r="571">
      <c r="A571" s="59" t="n"/>
      <c r="B571" s="60" t="n"/>
      <c r="C571" s="60" t="n"/>
      <c r="D571" s="45">
        <f>IF($C571="","",IFERROR(INDEX('Chain Program'!$B$6:$B$120,MATCH($C571,'Chain Program'!$A$6:$A$120,0)),"Unknown ID"))</f>
        <v/>
      </c>
      <c r="E571" s="45">
        <f>IF($C571="","",IFERROR(INDEX('Chain Program'!$D$6:$D$120,MATCH($C571,'Chain Program'!$A$6:$A$120,0)),"Unknown ID"))</f>
        <v/>
      </c>
      <c r="F571" s="60" t="n"/>
      <c r="G571" s="60" t="n"/>
      <c r="H571" s="56">
        <f>IF(OR($C571="",$A571=""),"",IF(COUNTIFS('Promo Calendar'!$A$6:$A$400,$C571,'Promo Calendar'!$D$6:$D$400,IF($G571="","All",$G571),'Promo Calendar'!$I$6:$I$400,"&lt;="&amp;$A571,'Promo Calendar'!$J$6:$J$400,"&gt;="&amp;$A571,'Promo Calendar'!$G$6:$G$400,"&gt;0")&gt;0,_xlfn.MINIFS('Promo Calendar'!$G$6:$G$400,'Promo Calendar'!$A$6:$A$400,$C571,'Promo Calendar'!$D$6:$D$400,IF($G571="","All",$G571),'Promo Calendar'!$I$6:$I$400,"&lt;="&amp;$A571,'Promo Calendar'!$J$6:$J$400,"&gt;="&amp;$A571,'Promo Calendar'!$G$6:$G$400,"&gt;0"),IF(COUNTIFS('Promo Calendar'!$A$6:$A$400,$C571,'Promo Calendar'!$D$6:$D$400,"All",'Promo Calendar'!$I$6:$I$400,"&lt;="&amp;$A571,'Promo Calendar'!$J$6:$J$400,"&gt;="&amp;$A571,'Promo Calendar'!$G$6:$G$400,"&gt;0")&gt;0,_xlfn.MINIFS('Promo Calendar'!$G$6:$G$400,'Promo Calendar'!$A$6:$A$400,$C571,'Promo Calendar'!$D$6:$D$400,"All",'Promo Calendar'!$I$6:$I$400,"&lt;="&amp;$A571,'Promo Calendar'!$J$6:$J$400,"&gt;="&amp;$A571,'Promo Calendar'!$G$6:$G$400,"&gt;0"),IFERROR(IF(INDEX('Chain Program'!$M$6:$M$120,MATCH($C571,'Chain Program'!$A$6:$A$120,0))="","Not set",INDEX('Chain Program'!$M$6:$M$120,MATCH($C571,'Chain Program'!$A$6:$A$120,0))),"Not set"))))</f>
        <v/>
      </c>
      <c r="I571" s="61" t="n"/>
      <c r="J571" s="45">
        <f>IF($I571="","",IF(NOT(ISNUMBER($H571)),"No plan price",IF(ABS($I571-$H571)&lt;0.005,"Match",IF($I571&gt;$H571,"Over plan","Under plan"))))</f>
        <v/>
      </c>
      <c r="K571" s="60" t="n"/>
      <c r="L571" s="60" t="n"/>
      <c r="M571" s="60" t="n"/>
      <c r="N571" s="60" t="n"/>
      <c r="O571" s="60" t="n"/>
      <c r="P571" s="62" t="n"/>
      <c r="Q571" s="62" t="n"/>
      <c r="R571" s="60" t="n"/>
      <c r="S571" s="59" t="n"/>
      <c r="T571" s="60" t="n"/>
      <c r="U571" s="59" t="n"/>
      <c r="V571" s="45">
        <f>IF(OR($A571="",$T571="",$T571="No Issue"),"",IF($T571="Resolved",IF($U571="","",$U571-$A571),TODAY()-$A571))</f>
        <v/>
      </c>
      <c r="W571" s="47">
        <f>IF(AND($C571&lt;&gt;"",$C571='Store History'!$C$4,OR('Store History'!$C$5="",$F571='Store History'!$C$5)),1,0)</f>
        <v/>
      </c>
      <c r="X571" s="47">
        <f>IF($W571=1,SUM($W571:$W$1005),"")</f>
        <v/>
      </c>
    </row>
    <row r="572">
      <c r="A572" s="59" t="n"/>
      <c r="B572" s="60" t="n"/>
      <c r="C572" s="60" t="n"/>
      <c r="D572" s="45">
        <f>IF($C572="","",IFERROR(INDEX('Chain Program'!$B$6:$B$120,MATCH($C572,'Chain Program'!$A$6:$A$120,0)),"Unknown ID"))</f>
        <v/>
      </c>
      <c r="E572" s="45">
        <f>IF($C572="","",IFERROR(INDEX('Chain Program'!$D$6:$D$120,MATCH($C572,'Chain Program'!$A$6:$A$120,0)),"Unknown ID"))</f>
        <v/>
      </c>
      <c r="F572" s="60" t="n"/>
      <c r="G572" s="60" t="n"/>
      <c r="H572" s="56">
        <f>IF(OR($C572="",$A572=""),"",IF(COUNTIFS('Promo Calendar'!$A$6:$A$400,$C572,'Promo Calendar'!$D$6:$D$400,IF($G572="","All",$G572),'Promo Calendar'!$I$6:$I$400,"&lt;="&amp;$A572,'Promo Calendar'!$J$6:$J$400,"&gt;="&amp;$A572,'Promo Calendar'!$G$6:$G$400,"&gt;0")&gt;0,_xlfn.MINIFS('Promo Calendar'!$G$6:$G$400,'Promo Calendar'!$A$6:$A$400,$C572,'Promo Calendar'!$D$6:$D$400,IF($G572="","All",$G572),'Promo Calendar'!$I$6:$I$400,"&lt;="&amp;$A572,'Promo Calendar'!$J$6:$J$400,"&gt;="&amp;$A572,'Promo Calendar'!$G$6:$G$400,"&gt;0"),IF(COUNTIFS('Promo Calendar'!$A$6:$A$400,$C572,'Promo Calendar'!$D$6:$D$400,"All",'Promo Calendar'!$I$6:$I$400,"&lt;="&amp;$A572,'Promo Calendar'!$J$6:$J$400,"&gt;="&amp;$A572,'Promo Calendar'!$G$6:$G$400,"&gt;0")&gt;0,_xlfn.MINIFS('Promo Calendar'!$G$6:$G$400,'Promo Calendar'!$A$6:$A$400,$C572,'Promo Calendar'!$D$6:$D$400,"All",'Promo Calendar'!$I$6:$I$400,"&lt;="&amp;$A572,'Promo Calendar'!$J$6:$J$400,"&gt;="&amp;$A572,'Promo Calendar'!$G$6:$G$400,"&gt;0"),IFERROR(IF(INDEX('Chain Program'!$M$6:$M$120,MATCH($C572,'Chain Program'!$A$6:$A$120,0))="","Not set",INDEX('Chain Program'!$M$6:$M$120,MATCH($C572,'Chain Program'!$A$6:$A$120,0))),"Not set"))))</f>
        <v/>
      </c>
      <c r="I572" s="61" t="n"/>
      <c r="J572" s="45">
        <f>IF($I572="","",IF(NOT(ISNUMBER($H572)),"No plan price",IF(ABS($I572-$H572)&lt;0.005,"Match",IF($I572&gt;$H572,"Over plan","Under plan"))))</f>
        <v/>
      </c>
      <c r="K572" s="60" t="n"/>
      <c r="L572" s="60" t="n"/>
      <c r="M572" s="60" t="n"/>
      <c r="N572" s="60" t="n"/>
      <c r="O572" s="60" t="n"/>
      <c r="P572" s="62" t="n"/>
      <c r="Q572" s="62" t="n"/>
      <c r="R572" s="60" t="n"/>
      <c r="S572" s="59" t="n"/>
      <c r="T572" s="60" t="n"/>
      <c r="U572" s="59" t="n"/>
      <c r="V572" s="45">
        <f>IF(OR($A572="",$T572="",$T572="No Issue"),"",IF($T572="Resolved",IF($U572="","",$U572-$A572),TODAY()-$A572))</f>
        <v/>
      </c>
      <c r="W572" s="47">
        <f>IF(AND($C572&lt;&gt;"",$C572='Store History'!$C$4,OR('Store History'!$C$5="",$F572='Store History'!$C$5)),1,0)</f>
        <v/>
      </c>
      <c r="X572" s="47">
        <f>IF($W572=1,SUM($W572:$W$1005),"")</f>
        <v/>
      </c>
    </row>
    <row r="573">
      <c r="A573" s="59" t="n"/>
      <c r="B573" s="60" t="n"/>
      <c r="C573" s="60" t="n"/>
      <c r="D573" s="45">
        <f>IF($C573="","",IFERROR(INDEX('Chain Program'!$B$6:$B$120,MATCH($C573,'Chain Program'!$A$6:$A$120,0)),"Unknown ID"))</f>
        <v/>
      </c>
      <c r="E573" s="45">
        <f>IF($C573="","",IFERROR(INDEX('Chain Program'!$D$6:$D$120,MATCH($C573,'Chain Program'!$A$6:$A$120,0)),"Unknown ID"))</f>
        <v/>
      </c>
      <c r="F573" s="60" t="n"/>
      <c r="G573" s="60" t="n"/>
      <c r="H573" s="56">
        <f>IF(OR($C573="",$A573=""),"",IF(COUNTIFS('Promo Calendar'!$A$6:$A$400,$C573,'Promo Calendar'!$D$6:$D$400,IF($G573="","All",$G573),'Promo Calendar'!$I$6:$I$400,"&lt;="&amp;$A573,'Promo Calendar'!$J$6:$J$400,"&gt;="&amp;$A573,'Promo Calendar'!$G$6:$G$400,"&gt;0")&gt;0,_xlfn.MINIFS('Promo Calendar'!$G$6:$G$400,'Promo Calendar'!$A$6:$A$400,$C573,'Promo Calendar'!$D$6:$D$400,IF($G573="","All",$G573),'Promo Calendar'!$I$6:$I$400,"&lt;="&amp;$A573,'Promo Calendar'!$J$6:$J$400,"&gt;="&amp;$A573,'Promo Calendar'!$G$6:$G$400,"&gt;0"),IF(COUNTIFS('Promo Calendar'!$A$6:$A$400,$C573,'Promo Calendar'!$D$6:$D$400,"All",'Promo Calendar'!$I$6:$I$400,"&lt;="&amp;$A573,'Promo Calendar'!$J$6:$J$400,"&gt;="&amp;$A573,'Promo Calendar'!$G$6:$G$400,"&gt;0")&gt;0,_xlfn.MINIFS('Promo Calendar'!$G$6:$G$400,'Promo Calendar'!$A$6:$A$400,$C573,'Promo Calendar'!$D$6:$D$400,"All",'Promo Calendar'!$I$6:$I$400,"&lt;="&amp;$A573,'Promo Calendar'!$J$6:$J$400,"&gt;="&amp;$A573,'Promo Calendar'!$G$6:$G$400,"&gt;0"),IFERROR(IF(INDEX('Chain Program'!$M$6:$M$120,MATCH($C573,'Chain Program'!$A$6:$A$120,0))="","Not set",INDEX('Chain Program'!$M$6:$M$120,MATCH($C573,'Chain Program'!$A$6:$A$120,0))),"Not set"))))</f>
        <v/>
      </c>
      <c r="I573" s="61" t="n"/>
      <c r="J573" s="45">
        <f>IF($I573="","",IF(NOT(ISNUMBER($H573)),"No plan price",IF(ABS($I573-$H573)&lt;0.005,"Match",IF($I573&gt;$H573,"Over plan","Under plan"))))</f>
        <v/>
      </c>
      <c r="K573" s="60" t="n"/>
      <c r="L573" s="60" t="n"/>
      <c r="M573" s="60" t="n"/>
      <c r="N573" s="60" t="n"/>
      <c r="O573" s="60" t="n"/>
      <c r="P573" s="62" t="n"/>
      <c r="Q573" s="62" t="n"/>
      <c r="R573" s="60" t="n"/>
      <c r="S573" s="59" t="n"/>
      <c r="T573" s="60" t="n"/>
      <c r="U573" s="59" t="n"/>
      <c r="V573" s="45">
        <f>IF(OR($A573="",$T573="",$T573="No Issue"),"",IF($T573="Resolved",IF($U573="","",$U573-$A573),TODAY()-$A573))</f>
        <v/>
      </c>
      <c r="W573" s="47">
        <f>IF(AND($C573&lt;&gt;"",$C573='Store History'!$C$4,OR('Store History'!$C$5="",$F573='Store History'!$C$5)),1,0)</f>
        <v/>
      </c>
      <c r="X573" s="47">
        <f>IF($W573=1,SUM($W573:$W$1005),"")</f>
        <v/>
      </c>
    </row>
    <row r="574">
      <c r="A574" s="59" t="n"/>
      <c r="B574" s="60" t="n"/>
      <c r="C574" s="60" t="n"/>
      <c r="D574" s="45">
        <f>IF($C574="","",IFERROR(INDEX('Chain Program'!$B$6:$B$120,MATCH($C574,'Chain Program'!$A$6:$A$120,0)),"Unknown ID"))</f>
        <v/>
      </c>
      <c r="E574" s="45">
        <f>IF($C574="","",IFERROR(INDEX('Chain Program'!$D$6:$D$120,MATCH($C574,'Chain Program'!$A$6:$A$120,0)),"Unknown ID"))</f>
        <v/>
      </c>
      <c r="F574" s="60" t="n"/>
      <c r="G574" s="60" t="n"/>
      <c r="H574" s="56">
        <f>IF(OR($C574="",$A574=""),"",IF(COUNTIFS('Promo Calendar'!$A$6:$A$400,$C574,'Promo Calendar'!$D$6:$D$400,IF($G574="","All",$G574),'Promo Calendar'!$I$6:$I$400,"&lt;="&amp;$A574,'Promo Calendar'!$J$6:$J$400,"&gt;="&amp;$A574,'Promo Calendar'!$G$6:$G$400,"&gt;0")&gt;0,_xlfn.MINIFS('Promo Calendar'!$G$6:$G$400,'Promo Calendar'!$A$6:$A$400,$C574,'Promo Calendar'!$D$6:$D$400,IF($G574="","All",$G574),'Promo Calendar'!$I$6:$I$400,"&lt;="&amp;$A574,'Promo Calendar'!$J$6:$J$400,"&gt;="&amp;$A574,'Promo Calendar'!$G$6:$G$400,"&gt;0"),IF(COUNTIFS('Promo Calendar'!$A$6:$A$400,$C574,'Promo Calendar'!$D$6:$D$400,"All",'Promo Calendar'!$I$6:$I$400,"&lt;="&amp;$A574,'Promo Calendar'!$J$6:$J$400,"&gt;="&amp;$A574,'Promo Calendar'!$G$6:$G$400,"&gt;0")&gt;0,_xlfn.MINIFS('Promo Calendar'!$G$6:$G$400,'Promo Calendar'!$A$6:$A$400,$C574,'Promo Calendar'!$D$6:$D$400,"All",'Promo Calendar'!$I$6:$I$400,"&lt;="&amp;$A574,'Promo Calendar'!$J$6:$J$400,"&gt;="&amp;$A574,'Promo Calendar'!$G$6:$G$400,"&gt;0"),IFERROR(IF(INDEX('Chain Program'!$M$6:$M$120,MATCH($C574,'Chain Program'!$A$6:$A$120,0))="","Not set",INDEX('Chain Program'!$M$6:$M$120,MATCH($C574,'Chain Program'!$A$6:$A$120,0))),"Not set"))))</f>
        <v/>
      </c>
      <c r="I574" s="61" t="n"/>
      <c r="J574" s="45">
        <f>IF($I574="","",IF(NOT(ISNUMBER($H574)),"No plan price",IF(ABS($I574-$H574)&lt;0.005,"Match",IF($I574&gt;$H574,"Over plan","Under plan"))))</f>
        <v/>
      </c>
      <c r="K574" s="60" t="n"/>
      <c r="L574" s="60" t="n"/>
      <c r="M574" s="60" t="n"/>
      <c r="N574" s="60" t="n"/>
      <c r="O574" s="60" t="n"/>
      <c r="P574" s="62" t="n"/>
      <c r="Q574" s="62" t="n"/>
      <c r="R574" s="60" t="n"/>
      <c r="S574" s="59" t="n"/>
      <c r="T574" s="60" t="n"/>
      <c r="U574" s="59" t="n"/>
      <c r="V574" s="45">
        <f>IF(OR($A574="",$T574="",$T574="No Issue"),"",IF($T574="Resolved",IF($U574="","",$U574-$A574),TODAY()-$A574))</f>
        <v/>
      </c>
      <c r="W574" s="47">
        <f>IF(AND($C574&lt;&gt;"",$C574='Store History'!$C$4,OR('Store History'!$C$5="",$F574='Store History'!$C$5)),1,0)</f>
        <v/>
      </c>
      <c r="X574" s="47">
        <f>IF($W574=1,SUM($W574:$W$1005),"")</f>
        <v/>
      </c>
    </row>
    <row r="575">
      <c r="A575" s="59" t="n"/>
      <c r="B575" s="60" t="n"/>
      <c r="C575" s="60" t="n"/>
      <c r="D575" s="45">
        <f>IF($C575="","",IFERROR(INDEX('Chain Program'!$B$6:$B$120,MATCH($C575,'Chain Program'!$A$6:$A$120,0)),"Unknown ID"))</f>
        <v/>
      </c>
      <c r="E575" s="45">
        <f>IF($C575="","",IFERROR(INDEX('Chain Program'!$D$6:$D$120,MATCH($C575,'Chain Program'!$A$6:$A$120,0)),"Unknown ID"))</f>
        <v/>
      </c>
      <c r="F575" s="60" t="n"/>
      <c r="G575" s="60" t="n"/>
      <c r="H575" s="56">
        <f>IF(OR($C575="",$A575=""),"",IF(COUNTIFS('Promo Calendar'!$A$6:$A$400,$C575,'Promo Calendar'!$D$6:$D$400,IF($G575="","All",$G575),'Promo Calendar'!$I$6:$I$400,"&lt;="&amp;$A575,'Promo Calendar'!$J$6:$J$400,"&gt;="&amp;$A575,'Promo Calendar'!$G$6:$G$400,"&gt;0")&gt;0,_xlfn.MINIFS('Promo Calendar'!$G$6:$G$400,'Promo Calendar'!$A$6:$A$400,$C575,'Promo Calendar'!$D$6:$D$400,IF($G575="","All",$G575),'Promo Calendar'!$I$6:$I$400,"&lt;="&amp;$A575,'Promo Calendar'!$J$6:$J$400,"&gt;="&amp;$A575,'Promo Calendar'!$G$6:$G$400,"&gt;0"),IF(COUNTIFS('Promo Calendar'!$A$6:$A$400,$C575,'Promo Calendar'!$D$6:$D$400,"All",'Promo Calendar'!$I$6:$I$400,"&lt;="&amp;$A575,'Promo Calendar'!$J$6:$J$400,"&gt;="&amp;$A575,'Promo Calendar'!$G$6:$G$400,"&gt;0")&gt;0,_xlfn.MINIFS('Promo Calendar'!$G$6:$G$400,'Promo Calendar'!$A$6:$A$400,$C575,'Promo Calendar'!$D$6:$D$400,"All",'Promo Calendar'!$I$6:$I$400,"&lt;="&amp;$A575,'Promo Calendar'!$J$6:$J$400,"&gt;="&amp;$A575,'Promo Calendar'!$G$6:$G$400,"&gt;0"),IFERROR(IF(INDEX('Chain Program'!$M$6:$M$120,MATCH($C575,'Chain Program'!$A$6:$A$120,0))="","Not set",INDEX('Chain Program'!$M$6:$M$120,MATCH($C575,'Chain Program'!$A$6:$A$120,0))),"Not set"))))</f>
        <v/>
      </c>
      <c r="I575" s="61" t="n"/>
      <c r="J575" s="45">
        <f>IF($I575="","",IF(NOT(ISNUMBER($H575)),"No plan price",IF(ABS($I575-$H575)&lt;0.005,"Match",IF($I575&gt;$H575,"Over plan","Under plan"))))</f>
        <v/>
      </c>
      <c r="K575" s="60" t="n"/>
      <c r="L575" s="60" t="n"/>
      <c r="M575" s="60" t="n"/>
      <c r="N575" s="60" t="n"/>
      <c r="O575" s="60" t="n"/>
      <c r="P575" s="62" t="n"/>
      <c r="Q575" s="62" t="n"/>
      <c r="R575" s="60" t="n"/>
      <c r="S575" s="59" t="n"/>
      <c r="T575" s="60" t="n"/>
      <c r="U575" s="59" t="n"/>
      <c r="V575" s="45">
        <f>IF(OR($A575="",$T575="",$T575="No Issue"),"",IF($T575="Resolved",IF($U575="","",$U575-$A575),TODAY()-$A575))</f>
        <v/>
      </c>
      <c r="W575" s="47">
        <f>IF(AND($C575&lt;&gt;"",$C575='Store History'!$C$4,OR('Store History'!$C$5="",$F575='Store History'!$C$5)),1,0)</f>
        <v/>
      </c>
      <c r="X575" s="47">
        <f>IF($W575=1,SUM($W575:$W$1005),"")</f>
        <v/>
      </c>
    </row>
    <row r="576">
      <c r="A576" s="59" t="n"/>
      <c r="B576" s="60" t="n"/>
      <c r="C576" s="60" t="n"/>
      <c r="D576" s="45">
        <f>IF($C576="","",IFERROR(INDEX('Chain Program'!$B$6:$B$120,MATCH($C576,'Chain Program'!$A$6:$A$120,0)),"Unknown ID"))</f>
        <v/>
      </c>
      <c r="E576" s="45">
        <f>IF($C576="","",IFERROR(INDEX('Chain Program'!$D$6:$D$120,MATCH($C576,'Chain Program'!$A$6:$A$120,0)),"Unknown ID"))</f>
        <v/>
      </c>
      <c r="F576" s="60" t="n"/>
      <c r="G576" s="60" t="n"/>
      <c r="H576" s="56">
        <f>IF(OR($C576="",$A576=""),"",IF(COUNTIFS('Promo Calendar'!$A$6:$A$400,$C576,'Promo Calendar'!$D$6:$D$400,IF($G576="","All",$G576),'Promo Calendar'!$I$6:$I$400,"&lt;="&amp;$A576,'Promo Calendar'!$J$6:$J$400,"&gt;="&amp;$A576,'Promo Calendar'!$G$6:$G$400,"&gt;0")&gt;0,_xlfn.MINIFS('Promo Calendar'!$G$6:$G$400,'Promo Calendar'!$A$6:$A$400,$C576,'Promo Calendar'!$D$6:$D$400,IF($G576="","All",$G576),'Promo Calendar'!$I$6:$I$400,"&lt;="&amp;$A576,'Promo Calendar'!$J$6:$J$400,"&gt;="&amp;$A576,'Promo Calendar'!$G$6:$G$400,"&gt;0"),IF(COUNTIFS('Promo Calendar'!$A$6:$A$400,$C576,'Promo Calendar'!$D$6:$D$400,"All",'Promo Calendar'!$I$6:$I$400,"&lt;="&amp;$A576,'Promo Calendar'!$J$6:$J$400,"&gt;="&amp;$A576,'Promo Calendar'!$G$6:$G$400,"&gt;0")&gt;0,_xlfn.MINIFS('Promo Calendar'!$G$6:$G$400,'Promo Calendar'!$A$6:$A$400,$C576,'Promo Calendar'!$D$6:$D$400,"All",'Promo Calendar'!$I$6:$I$400,"&lt;="&amp;$A576,'Promo Calendar'!$J$6:$J$400,"&gt;="&amp;$A576,'Promo Calendar'!$G$6:$G$400,"&gt;0"),IFERROR(IF(INDEX('Chain Program'!$M$6:$M$120,MATCH($C576,'Chain Program'!$A$6:$A$120,0))="","Not set",INDEX('Chain Program'!$M$6:$M$120,MATCH($C576,'Chain Program'!$A$6:$A$120,0))),"Not set"))))</f>
        <v/>
      </c>
      <c r="I576" s="61" t="n"/>
      <c r="J576" s="45">
        <f>IF($I576="","",IF(NOT(ISNUMBER($H576)),"No plan price",IF(ABS($I576-$H576)&lt;0.005,"Match",IF($I576&gt;$H576,"Over plan","Under plan"))))</f>
        <v/>
      </c>
      <c r="K576" s="60" t="n"/>
      <c r="L576" s="60" t="n"/>
      <c r="M576" s="60" t="n"/>
      <c r="N576" s="60" t="n"/>
      <c r="O576" s="60" t="n"/>
      <c r="P576" s="62" t="n"/>
      <c r="Q576" s="62" t="n"/>
      <c r="R576" s="60" t="n"/>
      <c r="S576" s="59" t="n"/>
      <c r="T576" s="60" t="n"/>
      <c r="U576" s="59" t="n"/>
      <c r="V576" s="45">
        <f>IF(OR($A576="",$T576="",$T576="No Issue"),"",IF($T576="Resolved",IF($U576="","",$U576-$A576),TODAY()-$A576))</f>
        <v/>
      </c>
      <c r="W576" s="47">
        <f>IF(AND($C576&lt;&gt;"",$C576='Store History'!$C$4,OR('Store History'!$C$5="",$F576='Store History'!$C$5)),1,0)</f>
        <v/>
      </c>
      <c r="X576" s="47">
        <f>IF($W576=1,SUM($W576:$W$1005),"")</f>
        <v/>
      </c>
    </row>
    <row r="577">
      <c r="A577" s="59" t="n"/>
      <c r="B577" s="60" t="n"/>
      <c r="C577" s="60" t="n"/>
      <c r="D577" s="45">
        <f>IF($C577="","",IFERROR(INDEX('Chain Program'!$B$6:$B$120,MATCH($C577,'Chain Program'!$A$6:$A$120,0)),"Unknown ID"))</f>
        <v/>
      </c>
      <c r="E577" s="45">
        <f>IF($C577="","",IFERROR(INDEX('Chain Program'!$D$6:$D$120,MATCH($C577,'Chain Program'!$A$6:$A$120,0)),"Unknown ID"))</f>
        <v/>
      </c>
      <c r="F577" s="60" t="n"/>
      <c r="G577" s="60" t="n"/>
      <c r="H577" s="56">
        <f>IF(OR($C577="",$A577=""),"",IF(COUNTIFS('Promo Calendar'!$A$6:$A$400,$C577,'Promo Calendar'!$D$6:$D$400,IF($G577="","All",$G577),'Promo Calendar'!$I$6:$I$400,"&lt;="&amp;$A577,'Promo Calendar'!$J$6:$J$400,"&gt;="&amp;$A577,'Promo Calendar'!$G$6:$G$400,"&gt;0")&gt;0,_xlfn.MINIFS('Promo Calendar'!$G$6:$G$400,'Promo Calendar'!$A$6:$A$400,$C577,'Promo Calendar'!$D$6:$D$400,IF($G577="","All",$G577),'Promo Calendar'!$I$6:$I$400,"&lt;="&amp;$A577,'Promo Calendar'!$J$6:$J$400,"&gt;="&amp;$A577,'Promo Calendar'!$G$6:$G$400,"&gt;0"),IF(COUNTIFS('Promo Calendar'!$A$6:$A$400,$C577,'Promo Calendar'!$D$6:$D$400,"All",'Promo Calendar'!$I$6:$I$400,"&lt;="&amp;$A577,'Promo Calendar'!$J$6:$J$400,"&gt;="&amp;$A577,'Promo Calendar'!$G$6:$G$400,"&gt;0")&gt;0,_xlfn.MINIFS('Promo Calendar'!$G$6:$G$400,'Promo Calendar'!$A$6:$A$400,$C577,'Promo Calendar'!$D$6:$D$400,"All",'Promo Calendar'!$I$6:$I$400,"&lt;="&amp;$A577,'Promo Calendar'!$J$6:$J$400,"&gt;="&amp;$A577,'Promo Calendar'!$G$6:$G$400,"&gt;0"),IFERROR(IF(INDEX('Chain Program'!$M$6:$M$120,MATCH($C577,'Chain Program'!$A$6:$A$120,0))="","Not set",INDEX('Chain Program'!$M$6:$M$120,MATCH($C577,'Chain Program'!$A$6:$A$120,0))),"Not set"))))</f>
        <v/>
      </c>
      <c r="I577" s="61" t="n"/>
      <c r="J577" s="45">
        <f>IF($I577="","",IF(NOT(ISNUMBER($H577)),"No plan price",IF(ABS($I577-$H577)&lt;0.005,"Match",IF($I577&gt;$H577,"Over plan","Under plan"))))</f>
        <v/>
      </c>
      <c r="K577" s="60" t="n"/>
      <c r="L577" s="60" t="n"/>
      <c r="M577" s="60" t="n"/>
      <c r="N577" s="60" t="n"/>
      <c r="O577" s="60" t="n"/>
      <c r="P577" s="62" t="n"/>
      <c r="Q577" s="62" t="n"/>
      <c r="R577" s="60" t="n"/>
      <c r="S577" s="59" t="n"/>
      <c r="T577" s="60" t="n"/>
      <c r="U577" s="59" t="n"/>
      <c r="V577" s="45">
        <f>IF(OR($A577="",$T577="",$T577="No Issue"),"",IF($T577="Resolved",IF($U577="","",$U577-$A577),TODAY()-$A577))</f>
        <v/>
      </c>
      <c r="W577" s="47">
        <f>IF(AND($C577&lt;&gt;"",$C577='Store History'!$C$4,OR('Store History'!$C$5="",$F577='Store History'!$C$5)),1,0)</f>
        <v/>
      </c>
      <c r="X577" s="47">
        <f>IF($W577=1,SUM($W577:$W$1005),"")</f>
        <v/>
      </c>
    </row>
    <row r="578">
      <c r="A578" s="59" t="n"/>
      <c r="B578" s="60" t="n"/>
      <c r="C578" s="60" t="n"/>
      <c r="D578" s="45">
        <f>IF($C578="","",IFERROR(INDEX('Chain Program'!$B$6:$B$120,MATCH($C578,'Chain Program'!$A$6:$A$120,0)),"Unknown ID"))</f>
        <v/>
      </c>
      <c r="E578" s="45">
        <f>IF($C578="","",IFERROR(INDEX('Chain Program'!$D$6:$D$120,MATCH($C578,'Chain Program'!$A$6:$A$120,0)),"Unknown ID"))</f>
        <v/>
      </c>
      <c r="F578" s="60" t="n"/>
      <c r="G578" s="60" t="n"/>
      <c r="H578" s="56">
        <f>IF(OR($C578="",$A578=""),"",IF(COUNTIFS('Promo Calendar'!$A$6:$A$400,$C578,'Promo Calendar'!$D$6:$D$400,IF($G578="","All",$G578),'Promo Calendar'!$I$6:$I$400,"&lt;="&amp;$A578,'Promo Calendar'!$J$6:$J$400,"&gt;="&amp;$A578,'Promo Calendar'!$G$6:$G$400,"&gt;0")&gt;0,_xlfn.MINIFS('Promo Calendar'!$G$6:$G$400,'Promo Calendar'!$A$6:$A$400,$C578,'Promo Calendar'!$D$6:$D$400,IF($G578="","All",$G578),'Promo Calendar'!$I$6:$I$400,"&lt;="&amp;$A578,'Promo Calendar'!$J$6:$J$400,"&gt;="&amp;$A578,'Promo Calendar'!$G$6:$G$400,"&gt;0"),IF(COUNTIFS('Promo Calendar'!$A$6:$A$400,$C578,'Promo Calendar'!$D$6:$D$400,"All",'Promo Calendar'!$I$6:$I$400,"&lt;="&amp;$A578,'Promo Calendar'!$J$6:$J$400,"&gt;="&amp;$A578,'Promo Calendar'!$G$6:$G$400,"&gt;0")&gt;0,_xlfn.MINIFS('Promo Calendar'!$G$6:$G$400,'Promo Calendar'!$A$6:$A$400,$C578,'Promo Calendar'!$D$6:$D$400,"All",'Promo Calendar'!$I$6:$I$400,"&lt;="&amp;$A578,'Promo Calendar'!$J$6:$J$400,"&gt;="&amp;$A578,'Promo Calendar'!$G$6:$G$400,"&gt;0"),IFERROR(IF(INDEX('Chain Program'!$M$6:$M$120,MATCH($C578,'Chain Program'!$A$6:$A$120,0))="","Not set",INDEX('Chain Program'!$M$6:$M$120,MATCH($C578,'Chain Program'!$A$6:$A$120,0))),"Not set"))))</f>
        <v/>
      </c>
      <c r="I578" s="61" t="n"/>
      <c r="J578" s="45">
        <f>IF($I578="","",IF(NOT(ISNUMBER($H578)),"No plan price",IF(ABS($I578-$H578)&lt;0.005,"Match",IF($I578&gt;$H578,"Over plan","Under plan"))))</f>
        <v/>
      </c>
      <c r="K578" s="60" t="n"/>
      <c r="L578" s="60" t="n"/>
      <c r="M578" s="60" t="n"/>
      <c r="N578" s="60" t="n"/>
      <c r="O578" s="60" t="n"/>
      <c r="P578" s="62" t="n"/>
      <c r="Q578" s="62" t="n"/>
      <c r="R578" s="60" t="n"/>
      <c r="S578" s="59" t="n"/>
      <c r="T578" s="60" t="n"/>
      <c r="U578" s="59" t="n"/>
      <c r="V578" s="45">
        <f>IF(OR($A578="",$T578="",$T578="No Issue"),"",IF($T578="Resolved",IF($U578="","",$U578-$A578),TODAY()-$A578))</f>
        <v/>
      </c>
      <c r="W578" s="47">
        <f>IF(AND($C578&lt;&gt;"",$C578='Store History'!$C$4,OR('Store History'!$C$5="",$F578='Store History'!$C$5)),1,0)</f>
        <v/>
      </c>
      <c r="X578" s="47">
        <f>IF($W578=1,SUM($W578:$W$1005),"")</f>
        <v/>
      </c>
    </row>
    <row r="579">
      <c r="A579" s="59" t="n"/>
      <c r="B579" s="60" t="n"/>
      <c r="C579" s="60" t="n"/>
      <c r="D579" s="45">
        <f>IF($C579="","",IFERROR(INDEX('Chain Program'!$B$6:$B$120,MATCH($C579,'Chain Program'!$A$6:$A$120,0)),"Unknown ID"))</f>
        <v/>
      </c>
      <c r="E579" s="45">
        <f>IF($C579="","",IFERROR(INDEX('Chain Program'!$D$6:$D$120,MATCH($C579,'Chain Program'!$A$6:$A$120,0)),"Unknown ID"))</f>
        <v/>
      </c>
      <c r="F579" s="60" t="n"/>
      <c r="G579" s="60" t="n"/>
      <c r="H579" s="56">
        <f>IF(OR($C579="",$A579=""),"",IF(COUNTIFS('Promo Calendar'!$A$6:$A$400,$C579,'Promo Calendar'!$D$6:$D$400,IF($G579="","All",$G579),'Promo Calendar'!$I$6:$I$400,"&lt;="&amp;$A579,'Promo Calendar'!$J$6:$J$400,"&gt;="&amp;$A579,'Promo Calendar'!$G$6:$G$400,"&gt;0")&gt;0,_xlfn.MINIFS('Promo Calendar'!$G$6:$G$400,'Promo Calendar'!$A$6:$A$400,$C579,'Promo Calendar'!$D$6:$D$400,IF($G579="","All",$G579),'Promo Calendar'!$I$6:$I$400,"&lt;="&amp;$A579,'Promo Calendar'!$J$6:$J$400,"&gt;="&amp;$A579,'Promo Calendar'!$G$6:$G$400,"&gt;0"),IF(COUNTIFS('Promo Calendar'!$A$6:$A$400,$C579,'Promo Calendar'!$D$6:$D$400,"All",'Promo Calendar'!$I$6:$I$400,"&lt;="&amp;$A579,'Promo Calendar'!$J$6:$J$400,"&gt;="&amp;$A579,'Promo Calendar'!$G$6:$G$400,"&gt;0")&gt;0,_xlfn.MINIFS('Promo Calendar'!$G$6:$G$400,'Promo Calendar'!$A$6:$A$400,$C579,'Promo Calendar'!$D$6:$D$400,"All",'Promo Calendar'!$I$6:$I$400,"&lt;="&amp;$A579,'Promo Calendar'!$J$6:$J$400,"&gt;="&amp;$A579,'Promo Calendar'!$G$6:$G$400,"&gt;0"),IFERROR(IF(INDEX('Chain Program'!$M$6:$M$120,MATCH($C579,'Chain Program'!$A$6:$A$120,0))="","Not set",INDEX('Chain Program'!$M$6:$M$120,MATCH($C579,'Chain Program'!$A$6:$A$120,0))),"Not set"))))</f>
        <v/>
      </c>
      <c r="I579" s="61" t="n"/>
      <c r="J579" s="45">
        <f>IF($I579="","",IF(NOT(ISNUMBER($H579)),"No plan price",IF(ABS($I579-$H579)&lt;0.005,"Match",IF($I579&gt;$H579,"Over plan","Under plan"))))</f>
        <v/>
      </c>
      <c r="K579" s="60" t="n"/>
      <c r="L579" s="60" t="n"/>
      <c r="M579" s="60" t="n"/>
      <c r="N579" s="60" t="n"/>
      <c r="O579" s="60" t="n"/>
      <c r="P579" s="62" t="n"/>
      <c r="Q579" s="62" t="n"/>
      <c r="R579" s="60" t="n"/>
      <c r="S579" s="59" t="n"/>
      <c r="T579" s="60" t="n"/>
      <c r="U579" s="59" t="n"/>
      <c r="V579" s="45">
        <f>IF(OR($A579="",$T579="",$T579="No Issue"),"",IF($T579="Resolved",IF($U579="","",$U579-$A579),TODAY()-$A579))</f>
        <v/>
      </c>
      <c r="W579" s="47">
        <f>IF(AND($C579&lt;&gt;"",$C579='Store History'!$C$4,OR('Store History'!$C$5="",$F579='Store History'!$C$5)),1,0)</f>
        <v/>
      </c>
      <c r="X579" s="47">
        <f>IF($W579=1,SUM($W579:$W$1005),"")</f>
        <v/>
      </c>
    </row>
    <row r="580">
      <c r="A580" s="59" t="n"/>
      <c r="B580" s="60" t="n"/>
      <c r="C580" s="60" t="n"/>
      <c r="D580" s="45">
        <f>IF($C580="","",IFERROR(INDEX('Chain Program'!$B$6:$B$120,MATCH($C580,'Chain Program'!$A$6:$A$120,0)),"Unknown ID"))</f>
        <v/>
      </c>
      <c r="E580" s="45">
        <f>IF($C580="","",IFERROR(INDEX('Chain Program'!$D$6:$D$120,MATCH($C580,'Chain Program'!$A$6:$A$120,0)),"Unknown ID"))</f>
        <v/>
      </c>
      <c r="F580" s="60" t="n"/>
      <c r="G580" s="60" t="n"/>
      <c r="H580" s="56">
        <f>IF(OR($C580="",$A580=""),"",IF(COUNTIFS('Promo Calendar'!$A$6:$A$400,$C580,'Promo Calendar'!$D$6:$D$400,IF($G580="","All",$G580),'Promo Calendar'!$I$6:$I$400,"&lt;="&amp;$A580,'Promo Calendar'!$J$6:$J$400,"&gt;="&amp;$A580,'Promo Calendar'!$G$6:$G$400,"&gt;0")&gt;0,_xlfn.MINIFS('Promo Calendar'!$G$6:$G$400,'Promo Calendar'!$A$6:$A$400,$C580,'Promo Calendar'!$D$6:$D$400,IF($G580="","All",$G580),'Promo Calendar'!$I$6:$I$400,"&lt;="&amp;$A580,'Promo Calendar'!$J$6:$J$400,"&gt;="&amp;$A580,'Promo Calendar'!$G$6:$G$400,"&gt;0"),IF(COUNTIFS('Promo Calendar'!$A$6:$A$400,$C580,'Promo Calendar'!$D$6:$D$400,"All",'Promo Calendar'!$I$6:$I$400,"&lt;="&amp;$A580,'Promo Calendar'!$J$6:$J$400,"&gt;="&amp;$A580,'Promo Calendar'!$G$6:$G$400,"&gt;0")&gt;0,_xlfn.MINIFS('Promo Calendar'!$G$6:$G$400,'Promo Calendar'!$A$6:$A$400,$C580,'Promo Calendar'!$D$6:$D$400,"All",'Promo Calendar'!$I$6:$I$400,"&lt;="&amp;$A580,'Promo Calendar'!$J$6:$J$400,"&gt;="&amp;$A580,'Promo Calendar'!$G$6:$G$400,"&gt;0"),IFERROR(IF(INDEX('Chain Program'!$M$6:$M$120,MATCH($C580,'Chain Program'!$A$6:$A$120,0))="","Not set",INDEX('Chain Program'!$M$6:$M$120,MATCH($C580,'Chain Program'!$A$6:$A$120,0))),"Not set"))))</f>
        <v/>
      </c>
      <c r="I580" s="61" t="n"/>
      <c r="J580" s="45">
        <f>IF($I580="","",IF(NOT(ISNUMBER($H580)),"No plan price",IF(ABS($I580-$H580)&lt;0.005,"Match",IF($I580&gt;$H580,"Over plan","Under plan"))))</f>
        <v/>
      </c>
      <c r="K580" s="60" t="n"/>
      <c r="L580" s="60" t="n"/>
      <c r="M580" s="60" t="n"/>
      <c r="N580" s="60" t="n"/>
      <c r="O580" s="60" t="n"/>
      <c r="P580" s="62" t="n"/>
      <c r="Q580" s="62" t="n"/>
      <c r="R580" s="60" t="n"/>
      <c r="S580" s="59" t="n"/>
      <c r="T580" s="60" t="n"/>
      <c r="U580" s="59" t="n"/>
      <c r="V580" s="45">
        <f>IF(OR($A580="",$T580="",$T580="No Issue"),"",IF($T580="Resolved",IF($U580="","",$U580-$A580),TODAY()-$A580))</f>
        <v/>
      </c>
      <c r="W580" s="47">
        <f>IF(AND($C580&lt;&gt;"",$C580='Store History'!$C$4,OR('Store History'!$C$5="",$F580='Store History'!$C$5)),1,0)</f>
        <v/>
      </c>
      <c r="X580" s="47">
        <f>IF($W580=1,SUM($W580:$W$1005),"")</f>
        <v/>
      </c>
    </row>
    <row r="581">
      <c r="A581" s="59" t="n"/>
      <c r="B581" s="60" t="n"/>
      <c r="C581" s="60" t="n"/>
      <c r="D581" s="45">
        <f>IF($C581="","",IFERROR(INDEX('Chain Program'!$B$6:$B$120,MATCH($C581,'Chain Program'!$A$6:$A$120,0)),"Unknown ID"))</f>
        <v/>
      </c>
      <c r="E581" s="45">
        <f>IF($C581="","",IFERROR(INDEX('Chain Program'!$D$6:$D$120,MATCH($C581,'Chain Program'!$A$6:$A$120,0)),"Unknown ID"))</f>
        <v/>
      </c>
      <c r="F581" s="60" t="n"/>
      <c r="G581" s="60" t="n"/>
      <c r="H581" s="56">
        <f>IF(OR($C581="",$A581=""),"",IF(COUNTIFS('Promo Calendar'!$A$6:$A$400,$C581,'Promo Calendar'!$D$6:$D$400,IF($G581="","All",$G581),'Promo Calendar'!$I$6:$I$400,"&lt;="&amp;$A581,'Promo Calendar'!$J$6:$J$400,"&gt;="&amp;$A581,'Promo Calendar'!$G$6:$G$400,"&gt;0")&gt;0,_xlfn.MINIFS('Promo Calendar'!$G$6:$G$400,'Promo Calendar'!$A$6:$A$400,$C581,'Promo Calendar'!$D$6:$D$400,IF($G581="","All",$G581),'Promo Calendar'!$I$6:$I$400,"&lt;="&amp;$A581,'Promo Calendar'!$J$6:$J$400,"&gt;="&amp;$A581,'Promo Calendar'!$G$6:$G$400,"&gt;0"),IF(COUNTIFS('Promo Calendar'!$A$6:$A$400,$C581,'Promo Calendar'!$D$6:$D$400,"All",'Promo Calendar'!$I$6:$I$400,"&lt;="&amp;$A581,'Promo Calendar'!$J$6:$J$400,"&gt;="&amp;$A581,'Promo Calendar'!$G$6:$G$400,"&gt;0")&gt;0,_xlfn.MINIFS('Promo Calendar'!$G$6:$G$400,'Promo Calendar'!$A$6:$A$400,$C581,'Promo Calendar'!$D$6:$D$400,"All",'Promo Calendar'!$I$6:$I$400,"&lt;="&amp;$A581,'Promo Calendar'!$J$6:$J$400,"&gt;="&amp;$A581,'Promo Calendar'!$G$6:$G$400,"&gt;0"),IFERROR(IF(INDEX('Chain Program'!$M$6:$M$120,MATCH($C581,'Chain Program'!$A$6:$A$120,0))="","Not set",INDEX('Chain Program'!$M$6:$M$120,MATCH($C581,'Chain Program'!$A$6:$A$120,0))),"Not set"))))</f>
        <v/>
      </c>
      <c r="I581" s="61" t="n"/>
      <c r="J581" s="45">
        <f>IF($I581="","",IF(NOT(ISNUMBER($H581)),"No plan price",IF(ABS($I581-$H581)&lt;0.005,"Match",IF($I581&gt;$H581,"Over plan","Under plan"))))</f>
        <v/>
      </c>
      <c r="K581" s="60" t="n"/>
      <c r="L581" s="60" t="n"/>
      <c r="M581" s="60" t="n"/>
      <c r="N581" s="60" t="n"/>
      <c r="O581" s="60" t="n"/>
      <c r="P581" s="62" t="n"/>
      <c r="Q581" s="62" t="n"/>
      <c r="R581" s="60" t="n"/>
      <c r="S581" s="59" t="n"/>
      <c r="T581" s="60" t="n"/>
      <c r="U581" s="59" t="n"/>
      <c r="V581" s="45">
        <f>IF(OR($A581="",$T581="",$T581="No Issue"),"",IF($T581="Resolved",IF($U581="","",$U581-$A581),TODAY()-$A581))</f>
        <v/>
      </c>
      <c r="W581" s="47">
        <f>IF(AND($C581&lt;&gt;"",$C581='Store History'!$C$4,OR('Store History'!$C$5="",$F581='Store History'!$C$5)),1,0)</f>
        <v/>
      </c>
      <c r="X581" s="47">
        <f>IF($W581=1,SUM($W581:$W$1005),"")</f>
        <v/>
      </c>
    </row>
    <row r="582">
      <c r="A582" s="59" t="n"/>
      <c r="B582" s="60" t="n"/>
      <c r="C582" s="60" t="n"/>
      <c r="D582" s="45">
        <f>IF($C582="","",IFERROR(INDEX('Chain Program'!$B$6:$B$120,MATCH($C582,'Chain Program'!$A$6:$A$120,0)),"Unknown ID"))</f>
        <v/>
      </c>
      <c r="E582" s="45">
        <f>IF($C582="","",IFERROR(INDEX('Chain Program'!$D$6:$D$120,MATCH($C582,'Chain Program'!$A$6:$A$120,0)),"Unknown ID"))</f>
        <v/>
      </c>
      <c r="F582" s="60" t="n"/>
      <c r="G582" s="60" t="n"/>
      <c r="H582" s="56">
        <f>IF(OR($C582="",$A582=""),"",IF(COUNTIFS('Promo Calendar'!$A$6:$A$400,$C582,'Promo Calendar'!$D$6:$D$400,IF($G582="","All",$G582),'Promo Calendar'!$I$6:$I$400,"&lt;="&amp;$A582,'Promo Calendar'!$J$6:$J$400,"&gt;="&amp;$A582,'Promo Calendar'!$G$6:$G$400,"&gt;0")&gt;0,_xlfn.MINIFS('Promo Calendar'!$G$6:$G$400,'Promo Calendar'!$A$6:$A$400,$C582,'Promo Calendar'!$D$6:$D$400,IF($G582="","All",$G582),'Promo Calendar'!$I$6:$I$400,"&lt;="&amp;$A582,'Promo Calendar'!$J$6:$J$400,"&gt;="&amp;$A582,'Promo Calendar'!$G$6:$G$400,"&gt;0"),IF(COUNTIFS('Promo Calendar'!$A$6:$A$400,$C582,'Promo Calendar'!$D$6:$D$400,"All",'Promo Calendar'!$I$6:$I$400,"&lt;="&amp;$A582,'Promo Calendar'!$J$6:$J$400,"&gt;="&amp;$A582,'Promo Calendar'!$G$6:$G$400,"&gt;0")&gt;0,_xlfn.MINIFS('Promo Calendar'!$G$6:$G$400,'Promo Calendar'!$A$6:$A$400,$C582,'Promo Calendar'!$D$6:$D$400,"All",'Promo Calendar'!$I$6:$I$400,"&lt;="&amp;$A582,'Promo Calendar'!$J$6:$J$400,"&gt;="&amp;$A582,'Promo Calendar'!$G$6:$G$400,"&gt;0"),IFERROR(IF(INDEX('Chain Program'!$M$6:$M$120,MATCH($C582,'Chain Program'!$A$6:$A$120,0))="","Not set",INDEX('Chain Program'!$M$6:$M$120,MATCH($C582,'Chain Program'!$A$6:$A$120,0))),"Not set"))))</f>
        <v/>
      </c>
      <c r="I582" s="61" t="n"/>
      <c r="J582" s="45">
        <f>IF($I582="","",IF(NOT(ISNUMBER($H582)),"No plan price",IF(ABS($I582-$H582)&lt;0.005,"Match",IF($I582&gt;$H582,"Over plan","Under plan"))))</f>
        <v/>
      </c>
      <c r="K582" s="60" t="n"/>
      <c r="L582" s="60" t="n"/>
      <c r="M582" s="60" t="n"/>
      <c r="N582" s="60" t="n"/>
      <c r="O582" s="60" t="n"/>
      <c r="P582" s="62" t="n"/>
      <c r="Q582" s="62" t="n"/>
      <c r="R582" s="60" t="n"/>
      <c r="S582" s="59" t="n"/>
      <c r="T582" s="60" t="n"/>
      <c r="U582" s="59" t="n"/>
      <c r="V582" s="45">
        <f>IF(OR($A582="",$T582="",$T582="No Issue"),"",IF($T582="Resolved",IF($U582="","",$U582-$A582),TODAY()-$A582))</f>
        <v/>
      </c>
      <c r="W582" s="47">
        <f>IF(AND($C582&lt;&gt;"",$C582='Store History'!$C$4,OR('Store History'!$C$5="",$F582='Store History'!$C$5)),1,0)</f>
        <v/>
      </c>
      <c r="X582" s="47">
        <f>IF($W582=1,SUM($W582:$W$1005),"")</f>
        <v/>
      </c>
    </row>
    <row r="583">
      <c r="A583" s="59" t="n"/>
      <c r="B583" s="60" t="n"/>
      <c r="C583" s="60" t="n"/>
      <c r="D583" s="45">
        <f>IF($C583="","",IFERROR(INDEX('Chain Program'!$B$6:$B$120,MATCH($C583,'Chain Program'!$A$6:$A$120,0)),"Unknown ID"))</f>
        <v/>
      </c>
      <c r="E583" s="45">
        <f>IF($C583="","",IFERROR(INDEX('Chain Program'!$D$6:$D$120,MATCH($C583,'Chain Program'!$A$6:$A$120,0)),"Unknown ID"))</f>
        <v/>
      </c>
      <c r="F583" s="60" t="n"/>
      <c r="G583" s="60" t="n"/>
      <c r="H583" s="56">
        <f>IF(OR($C583="",$A583=""),"",IF(COUNTIFS('Promo Calendar'!$A$6:$A$400,$C583,'Promo Calendar'!$D$6:$D$400,IF($G583="","All",$G583),'Promo Calendar'!$I$6:$I$400,"&lt;="&amp;$A583,'Promo Calendar'!$J$6:$J$400,"&gt;="&amp;$A583,'Promo Calendar'!$G$6:$G$400,"&gt;0")&gt;0,_xlfn.MINIFS('Promo Calendar'!$G$6:$G$400,'Promo Calendar'!$A$6:$A$400,$C583,'Promo Calendar'!$D$6:$D$400,IF($G583="","All",$G583),'Promo Calendar'!$I$6:$I$400,"&lt;="&amp;$A583,'Promo Calendar'!$J$6:$J$400,"&gt;="&amp;$A583,'Promo Calendar'!$G$6:$G$400,"&gt;0"),IF(COUNTIFS('Promo Calendar'!$A$6:$A$400,$C583,'Promo Calendar'!$D$6:$D$400,"All",'Promo Calendar'!$I$6:$I$400,"&lt;="&amp;$A583,'Promo Calendar'!$J$6:$J$400,"&gt;="&amp;$A583,'Promo Calendar'!$G$6:$G$400,"&gt;0")&gt;0,_xlfn.MINIFS('Promo Calendar'!$G$6:$G$400,'Promo Calendar'!$A$6:$A$400,$C583,'Promo Calendar'!$D$6:$D$400,"All",'Promo Calendar'!$I$6:$I$400,"&lt;="&amp;$A583,'Promo Calendar'!$J$6:$J$400,"&gt;="&amp;$A583,'Promo Calendar'!$G$6:$G$400,"&gt;0"),IFERROR(IF(INDEX('Chain Program'!$M$6:$M$120,MATCH($C583,'Chain Program'!$A$6:$A$120,0))="","Not set",INDEX('Chain Program'!$M$6:$M$120,MATCH($C583,'Chain Program'!$A$6:$A$120,0))),"Not set"))))</f>
        <v/>
      </c>
      <c r="I583" s="61" t="n"/>
      <c r="J583" s="45">
        <f>IF($I583="","",IF(NOT(ISNUMBER($H583)),"No plan price",IF(ABS($I583-$H583)&lt;0.005,"Match",IF($I583&gt;$H583,"Over plan","Under plan"))))</f>
        <v/>
      </c>
      <c r="K583" s="60" t="n"/>
      <c r="L583" s="60" t="n"/>
      <c r="M583" s="60" t="n"/>
      <c r="N583" s="60" t="n"/>
      <c r="O583" s="60" t="n"/>
      <c r="P583" s="62" t="n"/>
      <c r="Q583" s="62" t="n"/>
      <c r="R583" s="60" t="n"/>
      <c r="S583" s="59" t="n"/>
      <c r="T583" s="60" t="n"/>
      <c r="U583" s="59" t="n"/>
      <c r="V583" s="45">
        <f>IF(OR($A583="",$T583="",$T583="No Issue"),"",IF($T583="Resolved",IF($U583="","",$U583-$A583),TODAY()-$A583))</f>
        <v/>
      </c>
      <c r="W583" s="47">
        <f>IF(AND($C583&lt;&gt;"",$C583='Store History'!$C$4,OR('Store History'!$C$5="",$F583='Store History'!$C$5)),1,0)</f>
        <v/>
      </c>
      <c r="X583" s="47">
        <f>IF($W583=1,SUM($W583:$W$1005),"")</f>
        <v/>
      </c>
    </row>
    <row r="584">
      <c r="A584" s="59" t="n"/>
      <c r="B584" s="60" t="n"/>
      <c r="C584" s="60" t="n"/>
      <c r="D584" s="45">
        <f>IF($C584="","",IFERROR(INDEX('Chain Program'!$B$6:$B$120,MATCH($C584,'Chain Program'!$A$6:$A$120,0)),"Unknown ID"))</f>
        <v/>
      </c>
      <c r="E584" s="45">
        <f>IF($C584="","",IFERROR(INDEX('Chain Program'!$D$6:$D$120,MATCH($C584,'Chain Program'!$A$6:$A$120,0)),"Unknown ID"))</f>
        <v/>
      </c>
      <c r="F584" s="60" t="n"/>
      <c r="G584" s="60" t="n"/>
      <c r="H584" s="56">
        <f>IF(OR($C584="",$A584=""),"",IF(COUNTIFS('Promo Calendar'!$A$6:$A$400,$C584,'Promo Calendar'!$D$6:$D$400,IF($G584="","All",$G584),'Promo Calendar'!$I$6:$I$400,"&lt;="&amp;$A584,'Promo Calendar'!$J$6:$J$400,"&gt;="&amp;$A584,'Promo Calendar'!$G$6:$G$400,"&gt;0")&gt;0,_xlfn.MINIFS('Promo Calendar'!$G$6:$G$400,'Promo Calendar'!$A$6:$A$400,$C584,'Promo Calendar'!$D$6:$D$400,IF($G584="","All",$G584),'Promo Calendar'!$I$6:$I$400,"&lt;="&amp;$A584,'Promo Calendar'!$J$6:$J$400,"&gt;="&amp;$A584,'Promo Calendar'!$G$6:$G$400,"&gt;0"),IF(COUNTIFS('Promo Calendar'!$A$6:$A$400,$C584,'Promo Calendar'!$D$6:$D$400,"All",'Promo Calendar'!$I$6:$I$400,"&lt;="&amp;$A584,'Promo Calendar'!$J$6:$J$400,"&gt;="&amp;$A584,'Promo Calendar'!$G$6:$G$400,"&gt;0")&gt;0,_xlfn.MINIFS('Promo Calendar'!$G$6:$G$400,'Promo Calendar'!$A$6:$A$400,$C584,'Promo Calendar'!$D$6:$D$400,"All",'Promo Calendar'!$I$6:$I$400,"&lt;="&amp;$A584,'Promo Calendar'!$J$6:$J$400,"&gt;="&amp;$A584,'Promo Calendar'!$G$6:$G$400,"&gt;0"),IFERROR(IF(INDEX('Chain Program'!$M$6:$M$120,MATCH($C584,'Chain Program'!$A$6:$A$120,0))="","Not set",INDEX('Chain Program'!$M$6:$M$120,MATCH($C584,'Chain Program'!$A$6:$A$120,0))),"Not set"))))</f>
        <v/>
      </c>
      <c r="I584" s="61" t="n"/>
      <c r="J584" s="45">
        <f>IF($I584="","",IF(NOT(ISNUMBER($H584)),"No plan price",IF(ABS($I584-$H584)&lt;0.005,"Match",IF($I584&gt;$H584,"Over plan","Under plan"))))</f>
        <v/>
      </c>
      <c r="K584" s="60" t="n"/>
      <c r="L584" s="60" t="n"/>
      <c r="M584" s="60" t="n"/>
      <c r="N584" s="60" t="n"/>
      <c r="O584" s="60" t="n"/>
      <c r="P584" s="62" t="n"/>
      <c r="Q584" s="62" t="n"/>
      <c r="R584" s="60" t="n"/>
      <c r="S584" s="59" t="n"/>
      <c r="T584" s="60" t="n"/>
      <c r="U584" s="59" t="n"/>
      <c r="V584" s="45">
        <f>IF(OR($A584="",$T584="",$T584="No Issue"),"",IF($T584="Resolved",IF($U584="","",$U584-$A584),TODAY()-$A584))</f>
        <v/>
      </c>
      <c r="W584" s="47">
        <f>IF(AND($C584&lt;&gt;"",$C584='Store History'!$C$4,OR('Store History'!$C$5="",$F584='Store History'!$C$5)),1,0)</f>
        <v/>
      </c>
      <c r="X584" s="47">
        <f>IF($W584=1,SUM($W584:$W$1005),"")</f>
        <v/>
      </c>
    </row>
    <row r="585">
      <c r="A585" s="59" t="n"/>
      <c r="B585" s="60" t="n"/>
      <c r="C585" s="60" t="n"/>
      <c r="D585" s="45">
        <f>IF($C585="","",IFERROR(INDEX('Chain Program'!$B$6:$B$120,MATCH($C585,'Chain Program'!$A$6:$A$120,0)),"Unknown ID"))</f>
        <v/>
      </c>
      <c r="E585" s="45">
        <f>IF($C585="","",IFERROR(INDEX('Chain Program'!$D$6:$D$120,MATCH($C585,'Chain Program'!$A$6:$A$120,0)),"Unknown ID"))</f>
        <v/>
      </c>
      <c r="F585" s="60" t="n"/>
      <c r="G585" s="60" t="n"/>
      <c r="H585" s="56">
        <f>IF(OR($C585="",$A585=""),"",IF(COUNTIFS('Promo Calendar'!$A$6:$A$400,$C585,'Promo Calendar'!$D$6:$D$400,IF($G585="","All",$G585),'Promo Calendar'!$I$6:$I$400,"&lt;="&amp;$A585,'Promo Calendar'!$J$6:$J$400,"&gt;="&amp;$A585,'Promo Calendar'!$G$6:$G$400,"&gt;0")&gt;0,_xlfn.MINIFS('Promo Calendar'!$G$6:$G$400,'Promo Calendar'!$A$6:$A$400,$C585,'Promo Calendar'!$D$6:$D$400,IF($G585="","All",$G585),'Promo Calendar'!$I$6:$I$400,"&lt;="&amp;$A585,'Promo Calendar'!$J$6:$J$400,"&gt;="&amp;$A585,'Promo Calendar'!$G$6:$G$400,"&gt;0"),IF(COUNTIFS('Promo Calendar'!$A$6:$A$400,$C585,'Promo Calendar'!$D$6:$D$400,"All",'Promo Calendar'!$I$6:$I$400,"&lt;="&amp;$A585,'Promo Calendar'!$J$6:$J$400,"&gt;="&amp;$A585,'Promo Calendar'!$G$6:$G$400,"&gt;0")&gt;0,_xlfn.MINIFS('Promo Calendar'!$G$6:$G$400,'Promo Calendar'!$A$6:$A$400,$C585,'Promo Calendar'!$D$6:$D$400,"All",'Promo Calendar'!$I$6:$I$400,"&lt;="&amp;$A585,'Promo Calendar'!$J$6:$J$400,"&gt;="&amp;$A585,'Promo Calendar'!$G$6:$G$400,"&gt;0"),IFERROR(IF(INDEX('Chain Program'!$M$6:$M$120,MATCH($C585,'Chain Program'!$A$6:$A$120,0))="","Not set",INDEX('Chain Program'!$M$6:$M$120,MATCH($C585,'Chain Program'!$A$6:$A$120,0))),"Not set"))))</f>
        <v/>
      </c>
      <c r="I585" s="61" t="n"/>
      <c r="J585" s="45">
        <f>IF($I585="","",IF(NOT(ISNUMBER($H585)),"No plan price",IF(ABS($I585-$H585)&lt;0.005,"Match",IF($I585&gt;$H585,"Over plan","Under plan"))))</f>
        <v/>
      </c>
      <c r="K585" s="60" t="n"/>
      <c r="L585" s="60" t="n"/>
      <c r="M585" s="60" t="n"/>
      <c r="N585" s="60" t="n"/>
      <c r="O585" s="60" t="n"/>
      <c r="P585" s="62" t="n"/>
      <c r="Q585" s="62" t="n"/>
      <c r="R585" s="60" t="n"/>
      <c r="S585" s="59" t="n"/>
      <c r="T585" s="60" t="n"/>
      <c r="U585" s="59" t="n"/>
      <c r="V585" s="45">
        <f>IF(OR($A585="",$T585="",$T585="No Issue"),"",IF($T585="Resolved",IF($U585="","",$U585-$A585),TODAY()-$A585))</f>
        <v/>
      </c>
      <c r="W585" s="47">
        <f>IF(AND($C585&lt;&gt;"",$C585='Store History'!$C$4,OR('Store History'!$C$5="",$F585='Store History'!$C$5)),1,0)</f>
        <v/>
      </c>
      <c r="X585" s="47">
        <f>IF($W585=1,SUM($W585:$W$1005),"")</f>
        <v/>
      </c>
    </row>
    <row r="586">
      <c r="A586" s="59" t="n"/>
      <c r="B586" s="60" t="n"/>
      <c r="C586" s="60" t="n"/>
      <c r="D586" s="45">
        <f>IF($C586="","",IFERROR(INDEX('Chain Program'!$B$6:$B$120,MATCH($C586,'Chain Program'!$A$6:$A$120,0)),"Unknown ID"))</f>
        <v/>
      </c>
      <c r="E586" s="45">
        <f>IF($C586="","",IFERROR(INDEX('Chain Program'!$D$6:$D$120,MATCH($C586,'Chain Program'!$A$6:$A$120,0)),"Unknown ID"))</f>
        <v/>
      </c>
      <c r="F586" s="60" t="n"/>
      <c r="G586" s="60" t="n"/>
      <c r="H586" s="56">
        <f>IF(OR($C586="",$A586=""),"",IF(COUNTIFS('Promo Calendar'!$A$6:$A$400,$C586,'Promo Calendar'!$D$6:$D$400,IF($G586="","All",$G586),'Promo Calendar'!$I$6:$I$400,"&lt;="&amp;$A586,'Promo Calendar'!$J$6:$J$400,"&gt;="&amp;$A586,'Promo Calendar'!$G$6:$G$400,"&gt;0")&gt;0,_xlfn.MINIFS('Promo Calendar'!$G$6:$G$400,'Promo Calendar'!$A$6:$A$400,$C586,'Promo Calendar'!$D$6:$D$400,IF($G586="","All",$G586),'Promo Calendar'!$I$6:$I$400,"&lt;="&amp;$A586,'Promo Calendar'!$J$6:$J$400,"&gt;="&amp;$A586,'Promo Calendar'!$G$6:$G$400,"&gt;0"),IF(COUNTIFS('Promo Calendar'!$A$6:$A$400,$C586,'Promo Calendar'!$D$6:$D$400,"All",'Promo Calendar'!$I$6:$I$400,"&lt;="&amp;$A586,'Promo Calendar'!$J$6:$J$400,"&gt;="&amp;$A586,'Promo Calendar'!$G$6:$G$400,"&gt;0")&gt;0,_xlfn.MINIFS('Promo Calendar'!$G$6:$G$400,'Promo Calendar'!$A$6:$A$400,$C586,'Promo Calendar'!$D$6:$D$400,"All",'Promo Calendar'!$I$6:$I$400,"&lt;="&amp;$A586,'Promo Calendar'!$J$6:$J$400,"&gt;="&amp;$A586,'Promo Calendar'!$G$6:$G$400,"&gt;0"),IFERROR(IF(INDEX('Chain Program'!$M$6:$M$120,MATCH($C586,'Chain Program'!$A$6:$A$120,0))="","Not set",INDEX('Chain Program'!$M$6:$M$120,MATCH($C586,'Chain Program'!$A$6:$A$120,0))),"Not set"))))</f>
        <v/>
      </c>
      <c r="I586" s="61" t="n"/>
      <c r="J586" s="45">
        <f>IF($I586="","",IF(NOT(ISNUMBER($H586)),"No plan price",IF(ABS($I586-$H586)&lt;0.005,"Match",IF($I586&gt;$H586,"Over plan","Under plan"))))</f>
        <v/>
      </c>
      <c r="K586" s="60" t="n"/>
      <c r="L586" s="60" t="n"/>
      <c r="M586" s="60" t="n"/>
      <c r="N586" s="60" t="n"/>
      <c r="O586" s="60" t="n"/>
      <c r="P586" s="62" t="n"/>
      <c r="Q586" s="62" t="n"/>
      <c r="R586" s="60" t="n"/>
      <c r="S586" s="59" t="n"/>
      <c r="T586" s="60" t="n"/>
      <c r="U586" s="59" t="n"/>
      <c r="V586" s="45">
        <f>IF(OR($A586="",$T586="",$T586="No Issue"),"",IF($T586="Resolved",IF($U586="","",$U586-$A586),TODAY()-$A586))</f>
        <v/>
      </c>
      <c r="W586" s="47">
        <f>IF(AND($C586&lt;&gt;"",$C586='Store History'!$C$4,OR('Store History'!$C$5="",$F586='Store History'!$C$5)),1,0)</f>
        <v/>
      </c>
      <c r="X586" s="47">
        <f>IF($W586=1,SUM($W586:$W$1005),"")</f>
        <v/>
      </c>
    </row>
    <row r="587">
      <c r="A587" s="59" t="n"/>
      <c r="B587" s="60" t="n"/>
      <c r="C587" s="60" t="n"/>
      <c r="D587" s="45">
        <f>IF($C587="","",IFERROR(INDEX('Chain Program'!$B$6:$B$120,MATCH($C587,'Chain Program'!$A$6:$A$120,0)),"Unknown ID"))</f>
        <v/>
      </c>
      <c r="E587" s="45">
        <f>IF($C587="","",IFERROR(INDEX('Chain Program'!$D$6:$D$120,MATCH($C587,'Chain Program'!$A$6:$A$120,0)),"Unknown ID"))</f>
        <v/>
      </c>
      <c r="F587" s="60" t="n"/>
      <c r="G587" s="60" t="n"/>
      <c r="H587" s="56">
        <f>IF(OR($C587="",$A587=""),"",IF(COUNTIFS('Promo Calendar'!$A$6:$A$400,$C587,'Promo Calendar'!$D$6:$D$400,IF($G587="","All",$G587),'Promo Calendar'!$I$6:$I$400,"&lt;="&amp;$A587,'Promo Calendar'!$J$6:$J$400,"&gt;="&amp;$A587,'Promo Calendar'!$G$6:$G$400,"&gt;0")&gt;0,_xlfn.MINIFS('Promo Calendar'!$G$6:$G$400,'Promo Calendar'!$A$6:$A$400,$C587,'Promo Calendar'!$D$6:$D$400,IF($G587="","All",$G587),'Promo Calendar'!$I$6:$I$400,"&lt;="&amp;$A587,'Promo Calendar'!$J$6:$J$400,"&gt;="&amp;$A587,'Promo Calendar'!$G$6:$G$400,"&gt;0"),IF(COUNTIFS('Promo Calendar'!$A$6:$A$400,$C587,'Promo Calendar'!$D$6:$D$400,"All",'Promo Calendar'!$I$6:$I$400,"&lt;="&amp;$A587,'Promo Calendar'!$J$6:$J$400,"&gt;="&amp;$A587,'Promo Calendar'!$G$6:$G$400,"&gt;0")&gt;0,_xlfn.MINIFS('Promo Calendar'!$G$6:$G$400,'Promo Calendar'!$A$6:$A$400,$C587,'Promo Calendar'!$D$6:$D$400,"All",'Promo Calendar'!$I$6:$I$400,"&lt;="&amp;$A587,'Promo Calendar'!$J$6:$J$400,"&gt;="&amp;$A587,'Promo Calendar'!$G$6:$G$400,"&gt;0"),IFERROR(IF(INDEX('Chain Program'!$M$6:$M$120,MATCH($C587,'Chain Program'!$A$6:$A$120,0))="","Not set",INDEX('Chain Program'!$M$6:$M$120,MATCH($C587,'Chain Program'!$A$6:$A$120,0))),"Not set"))))</f>
        <v/>
      </c>
      <c r="I587" s="61" t="n"/>
      <c r="J587" s="45">
        <f>IF($I587="","",IF(NOT(ISNUMBER($H587)),"No plan price",IF(ABS($I587-$H587)&lt;0.005,"Match",IF($I587&gt;$H587,"Over plan","Under plan"))))</f>
        <v/>
      </c>
      <c r="K587" s="60" t="n"/>
      <c r="L587" s="60" t="n"/>
      <c r="M587" s="60" t="n"/>
      <c r="N587" s="60" t="n"/>
      <c r="O587" s="60" t="n"/>
      <c r="P587" s="62" t="n"/>
      <c r="Q587" s="62" t="n"/>
      <c r="R587" s="60" t="n"/>
      <c r="S587" s="59" t="n"/>
      <c r="T587" s="60" t="n"/>
      <c r="U587" s="59" t="n"/>
      <c r="V587" s="45">
        <f>IF(OR($A587="",$T587="",$T587="No Issue"),"",IF($T587="Resolved",IF($U587="","",$U587-$A587),TODAY()-$A587))</f>
        <v/>
      </c>
      <c r="W587" s="47">
        <f>IF(AND($C587&lt;&gt;"",$C587='Store History'!$C$4,OR('Store History'!$C$5="",$F587='Store History'!$C$5)),1,0)</f>
        <v/>
      </c>
      <c r="X587" s="47">
        <f>IF($W587=1,SUM($W587:$W$1005),"")</f>
        <v/>
      </c>
    </row>
    <row r="588">
      <c r="A588" s="59" t="n"/>
      <c r="B588" s="60" t="n"/>
      <c r="C588" s="60" t="n"/>
      <c r="D588" s="45">
        <f>IF($C588="","",IFERROR(INDEX('Chain Program'!$B$6:$B$120,MATCH($C588,'Chain Program'!$A$6:$A$120,0)),"Unknown ID"))</f>
        <v/>
      </c>
      <c r="E588" s="45">
        <f>IF($C588="","",IFERROR(INDEX('Chain Program'!$D$6:$D$120,MATCH($C588,'Chain Program'!$A$6:$A$120,0)),"Unknown ID"))</f>
        <v/>
      </c>
      <c r="F588" s="60" t="n"/>
      <c r="G588" s="60" t="n"/>
      <c r="H588" s="56">
        <f>IF(OR($C588="",$A588=""),"",IF(COUNTIFS('Promo Calendar'!$A$6:$A$400,$C588,'Promo Calendar'!$D$6:$D$400,IF($G588="","All",$G588),'Promo Calendar'!$I$6:$I$400,"&lt;="&amp;$A588,'Promo Calendar'!$J$6:$J$400,"&gt;="&amp;$A588,'Promo Calendar'!$G$6:$G$400,"&gt;0")&gt;0,_xlfn.MINIFS('Promo Calendar'!$G$6:$G$400,'Promo Calendar'!$A$6:$A$400,$C588,'Promo Calendar'!$D$6:$D$400,IF($G588="","All",$G588),'Promo Calendar'!$I$6:$I$400,"&lt;="&amp;$A588,'Promo Calendar'!$J$6:$J$400,"&gt;="&amp;$A588,'Promo Calendar'!$G$6:$G$400,"&gt;0"),IF(COUNTIFS('Promo Calendar'!$A$6:$A$400,$C588,'Promo Calendar'!$D$6:$D$400,"All",'Promo Calendar'!$I$6:$I$400,"&lt;="&amp;$A588,'Promo Calendar'!$J$6:$J$400,"&gt;="&amp;$A588,'Promo Calendar'!$G$6:$G$400,"&gt;0")&gt;0,_xlfn.MINIFS('Promo Calendar'!$G$6:$G$400,'Promo Calendar'!$A$6:$A$400,$C588,'Promo Calendar'!$D$6:$D$400,"All",'Promo Calendar'!$I$6:$I$400,"&lt;="&amp;$A588,'Promo Calendar'!$J$6:$J$400,"&gt;="&amp;$A588,'Promo Calendar'!$G$6:$G$400,"&gt;0"),IFERROR(IF(INDEX('Chain Program'!$M$6:$M$120,MATCH($C588,'Chain Program'!$A$6:$A$120,0))="","Not set",INDEX('Chain Program'!$M$6:$M$120,MATCH($C588,'Chain Program'!$A$6:$A$120,0))),"Not set"))))</f>
        <v/>
      </c>
      <c r="I588" s="61" t="n"/>
      <c r="J588" s="45">
        <f>IF($I588="","",IF(NOT(ISNUMBER($H588)),"No plan price",IF(ABS($I588-$H588)&lt;0.005,"Match",IF($I588&gt;$H588,"Over plan","Under plan"))))</f>
        <v/>
      </c>
      <c r="K588" s="60" t="n"/>
      <c r="L588" s="60" t="n"/>
      <c r="M588" s="60" t="n"/>
      <c r="N588" s="60" t="n"/>
      <c r="O588" s="60" t="n"/>
      <c r="P588" s="62" t="n"/>
      <c r="Q588" s="62" t="n"/>
      <c r="R588" s="60" t="n"/>
      <c r="S588" s="59" t="n"/>
      <c r="T588" s="60" t="n"/>
      <c r="U588" s="59" t="n"/>
      <c r="V588" s="45">
        <f>IF(OR($A588="",$T588="",$T588="No Issue"),"",IF($T588="Resolved",IF($U588="","",$U588-$A588),TODAY()-$A588))</f>
        <v/>
      </c>
      <c r="W588" s="47">
        <f>IF(AND($C588&lt;&gt;"",$C588='Store History'!$C$4,OR('Store History'!$C$5="",$F588='Store History'!$C$5)),1,0)</f>
        <v/>
      </c>
      <c r="X588" s="47">
        <f>IF($W588=1,SUM($W588:$W$1005),"")</f>
        <v/>
      </c>
    </row>
    <row r="589">
      <c r="A589" s="59" t="n"/>
      <c r="B589" s="60" t="n"/>
      <c r="C589" s="60" t="n"/>
      <c r="D589" s="45">
        <f>IF($C589="","",IFERROR(INDEX('Chain Program'!$B$6:$B$120,MATCH($C589,'Chain Program'!$A$6:$A$120,0)),"Unknown ID"))</f>
        <v/>
      </c>
      <c r="E589" s="45">
        <f>IF($C589="","",IFERROR(INDEX('Chain Program'!$D$6:$D$120,MATCH($C589,'Chain Program'!$A$6:$A$120,0)),"Unknown ID"))</f>
        <v/>
      </c>
      <c r="F589" s="60" t="n"/>
      <c r="G589" s="60" t="n"/>
      <c r="H589" s="56">
        <f>IF(OR($C589="",$A589=""),"",IF(COUNTIFS('Promo Calendar'!$A$6:$A$400,$C589,'Promo Calendar'!$D$6:$D$400,IF($G589="","All",$G589),'Promo Calendar'!$I$6:$I$400,"&lt;="&amp;$A589,'Promo Calendar'!$J$6:$J$400,"&gt;="&amp;$A589,'Promo Calendar'!$G$6:$G$400,"&gt;0")&gt;0,_xlfn.MINIFS('Promo Calendar'!$G$6:$G$400,'Promo Calendar'!$A$6:$A$400,$C589,'Promo Calendar'!$D$6:$D$400,IF($G589="","All",$G589),'Promo Calendar'!$I$6:$I$400,"&lt;="&amp;$A589,'Promo Calendar'!$J$6:$J$400,"&gt;="&amp;$A589,'Promo Calendar'!$G$6:$G$400,"&gt;0"),IF(COUNTIFS('Promo Calendar'!$A$6:$A$400,$C589,'Promo Calendar'!$D$6:$D$400,"All",'Promo Calendar'!$I$6:$I$400,"&lt;="&amp;$A589,'Promo Calendar'!$J$6:$J$400,"&gt;="&amp;$A589,'Promo Calendar'!$G$6:$G$400,"&gt;0")&gt;0,_xlfn.MINIFS('Promo Calendar'!$G$6:$G$400,'Promo Calendar'!$A$6:$A$400,$C589,'Promo Calendar'!$D$6:$D$400,"All",'Promo Calendar'!$I$6:$I$400,"&lt;="&amp;$A589,'Promo Calendar'!$J$6:$J$400,"&gt;="&amp;$A589,'Promo Calendar'!$G$6:$G$400,"&gt;0"),IFERROR(IF(INDEX('Chain Program'!$M$6:$M$120,MATCH($C589,'Chain Program'!$A$6:$A$120,0))="","Not set",INDEX('Chain Program'!$M$6:$M$120,MATCH($C589,'Chain Program'!$A$6:$A$120,0))),"Not set"))))</f>
        <v/>
      </c>
      <c r="I589" s="61" t="n"/>
      <c r="J589" s="45">
        <f>IF($I589="","",IF(NOT(ISNUMBER($H589)),"No plan price",IF(ABS($I589-$H589)&lt;0.005,"Match",IF($I589&gt;$H589,"Over plan","Under plan"))))</f>
        <v/>
      </c>
      <c r="K589" s="60" t="n"/>
      <c r="L589" s="60" t="n"/>
      <c r="M589" s="60" t="n"/>
      <c r="N589" s="60" t="n"/>
      <c r="O589" s="60" t="n"/>
      <c r="P589" s="62" t="n"/>
      <c r="Q589" s="62" t="n"/>
      <c r="R589" s="60" t="n"/>
      <c r="S589" s="59" t="n"/>
      <c r="T589" s="60" t="n"/>
      <c r="U589" s="59" t="n"/>
      <c r="V589" s="45">
        <f>IF(OR($A589="",$T589="",$T589="No Issue"),"",IF($T589="Resolved",IF($U589="","",$U589-$A589),TODAY()-$A589))</f>
        <v/>
      </c>
      <c r="W589" s="47">
        <f>IF(AND($C589&lt;&gt;"",$C589='Store History'!$C$4,OR('Store History'!$C$5="",$F589='Store History'!$C$5)),1,0)</f>
        <v/>
      </c>
      <c r="X589" s="47">
        <f>IF($W589=1,SUM($W589:$W$1005),"")</f>
        <v/>
      </c>
    </row>
    <row r="590">
      <c r="A590" s="59" t="n"/>
      <c r="B590" s="60" t="n"/>
      <c r="C590" s="60" t="n"/>
      <c r="D590" s="45">
        <f>IF($C590="","",IFERROR(INDEX('Chain Program'!$B$6:$B$120,MATCH($C590,'Chain Program'!$A$6:$A$120,0)),"Unknown ID"))</f>
        <v/>
      </c>
      <c r="E590" s="45">
        <f>IF($C590="","",IFERROR(INDEX('Chain Program'!$D$6:$D$120,MATCH($C590,'Chain Program'!$A$6:$A$120,0)),"Unknown ID"))</f>
        <v/>
      </c>
      <c r="F590" s="60" t="n"/>
      <c r="G590" s="60" t="n"/>
      <c r="H590" s="56">
        <f>IF(OR($C590="",$A590=""),"",IF(COUNTIFS('Promo Calendar'!$A$6:$A$400,$C590,'Promo Calendar'!$D$6:$D$400,IF($G590="","All",$G590),'Promo Calendar'!$I$6:$I$400,"&lt;="&amp;$A590,'Promo Calendar'!$J$6:$J$400,"&gt;="&amp;$A590,'Promo Calendar'!$G$6:$G$400,"&gt;0")&gt;0,_xlfn.MINIFS('Promo Calendar'!$G$6:$G$400,'Promo Calendar'!$A$6:$A$400,$C590,'Promo Calendar'!$D$6:$D$400,IF($G590="","All",$G590),'Promo Calendar'!$I$6:$I$400,"&lt;="&amp;$A590,'Promo Calendar'!$J$6:$J$400,"&gt;="&amp;$A590,'Promo Calendar'!$G$6:$G$400,"&gt;0"),IF(COUNTIFS('Promo Calendar'!$A$6:$A$400,$C590,'Promo Calendar'!$D$6:$D$400,"All",'Promo Calendar'!$I$6:$I$400,"&lt;="&amp;$A590,'Promo Calendar'!$J$6:$J$400,"&gt;="&amp;$A590,'Promo Calendar'!$G$6:$G$400,"&gt;0")&gt;0,_xlfn.MINIFS('Promo Calendar'!$G$6:$G$400,'Promo Calendar'!$A$6:$A$400,$C590,'Promo Calendar'!$D$6:$D$400,"All",'Promo Calendar'!$I$6:$I$400,"&lt;="&amp;$A590,'Promo Calendar'!$J$6:$J$400,"&gt;="&amp;$A590,'Promo Calendar'!$G$6:$G$400,"&gt;0"),IFERROR(IF(INDEX('Chain Program'!$M$6:$M$120,MATCH($C590,'Chain Program'!$A$6:$A$120,0))="","Not set",INDEX('Chain Program'!$M$6:$M$120,MATCH($C590,'Chain Program'!$A$6:$A$120,0))),"Not set"))))</f>
        <v/>
      </c>
      <c r="I590" s="61" t="n"/>
      <c r="J590" s="45">
        <f>IF($I590="","",IF(NOT(ISNUMBER($H590)),"No plan price",IF(ABS($I590-$H590)&lt;0.005,"Match",IF($I590&gt;$H590,"Over plan","Under plan"))))</f>
        <v/>
      </c>
      <c r="K590" s="60" t="n"/>
      <c r="L590" s="60" t="n"/>
      <c r="M590" s="60" t="n"/>
      <c r="N590" s="60" t="n"/>
      <c r="O590" s="60" t="n"/>
      <c r="P590" s="62" t="n"/>
      <c r="Q590" s="62" t="n"/>
      <c r="R590" s="60" t="n"/>
      <c r="S590" s="59" t="n"/>
      <c r="T590" s="60" t="n"/>
      <c r="U590" s="59" t="n"/>
      <c r="V590" s="45">
        <f>IF(OR($A590="",$T590="",$T590="No Issue"),"",IF($T590="Resolved",IF($U590="","",$U590-$A590),TODAY()-$A590))</f>
        <v/>
      </c>
      <c r="W590" s="47">
        <f>IF(AND($C590&lt;&gt;"",$C590='Store History'!$C$4,OR('Store History'!$C$5="",$F590='Store History'!$C$5)),1,0)</f>
        <v/>
      </c>
      <c r="X590" s="47">
        <f>IF($W590=1,SUM($W590:$W$1005),"")</f>
        <v/>
      </c>
    </row>
    <row r="591">
      <c r="A591" s="59" t="n"/>
      <c r="B591" s="60" t="n"/>
      <c r="C591" s="60" t="n"/>
      <c r="D591" s="45">
        <f>IF($C591="","",IFERROR(INDEX('Chain Program'!$B$6:$B$120,MATCH($C591,'Chain Program'!$A$6:$A$120,0)),"Unknown ID"))</f>
        <v/>
      </c>
      <c r="E591" s="45">
        <f>IF($C591="","",IFERROR(INDEX('Chain Program'!$D$6:$D$120,MATCH($C591,'Chain Program'!$A$6:$A$120,0)),"Unknown ID"))</f>
        <v/>
      </c>
      <c r="F591" s="60" t="n"/>
      <c r="G591" s="60" t="n"/>
      <c r="H591" s="56">
        <f>IF(OR($C591="",$A591=""),"",IF(COUNTIFS('Promo Calendar'!$A$6:$A$400,$C591,'Promo Calendar'!$D$6:$D$400,IF($G591="","All",$G591),'Promo Calendar'!$I$6:$I$400,"&lt;="&amp;$A591,'Promo Calendar'!$J$6:$J$400,"&gt;="&amp;$A591,'Promo Calendar'!$G$6:$G$400,"&gt;0")&gt;0,_xlfn.MINIFS('Promo Calendar'!$G$6:$G$400,'Promo Calendar'!$A$6:$A$400,$C591,'Promo Calendar'!$D$6:$D$400,IF($G591="","All",$G591),'Promo Calendar'!$I$6:$I$400,"&lt;="&amp;$A591,'Promo Calendar'!$J$6:$J$400,"&gt;="&amp;$A591,'Promo Calendar'!$G$6:$G$400,"&gt;0"),IF(COUNTIFS('Promo Calendar'!$A$6:$A$400,$C591,'Promo Calendar'!$D$6:$D$400,"All",'Promo Calendar'!$I$6:$I$400,"&lt;="&amp;$A591,'Promo Calendar'!$J$6:$J$400,"&gt;="&amp;$A591,'Promo Calendar'!$G$6:$G$400,"&gt;0")&gt;0,_xlfn.MINIFS('Promo Calendar'!$G$6:$G$400,'Promo Calendar'!$A$6:$A$400,$C591,'Promo Calendar'!$D$6:$D$400,"All",'Promo Calendar'!$I$6:$I$400,"&lt;="&amp;$A591,'Promo Calendar'!$J$6:$J$400,"&gt;="&amp;$A591,'Promo Calendar'!$G$6:$G$400,"&gt;0"),IFERROR(IF(INDEX('Chain Program'!$M$6:$M$120,MATCH($C591,'Chain Program'!$A$6:$A$120,0))="","Not set",INDEX('Chain Program'!$M$6:$M$120,MATCH($C591,'Chain Program'!$A$6:$A$120,0))),"Not set"))))</f>
        <v/>
      </c>
      <c r="I591" s="61" t="n"/>
      <c r="J591" s="45">
        <f>IF($I591="","",IF(NOT(ISNUMBER($H591)),"No plan price",IF(ABS($I591-$H591)&lt;0.005,"Match",IF($I591&gt;$H591,"Over plan","Under plan"))))</f>
        <v/>
      </c>
      <c r="K591" s="60" t="n"/>
      <c r="L591" s="60" t="n"/>
      <c r="M591" s="60" t="n"/>
      <c r="N591" s="60" t="n"/>
      <c r="O591" s="60" t="n"/>
      <c r="P591" s="62" t="n"/>
      <c r="Q591" s="62" t="n"/>
      <c r="R591" s="60" t="n"/>
      <c r="S591" s="59" t="n"/>
      <c r="T591" s="60" t="n"/>
      <c r="U591" s="59" t="n"/>
      <c r="V591" s="45">
        <f>IF(OR($A591="",$T591="",$T591="No Issue"),"",IF($T591="Resolved",IF($U591="","",$U591-$A591),TODAY()-$A591))</f>
        <v/>
      </c>
      <c r="W591" s="47">
        <f>IF(AND($C591&lt;&gt;"",$C591='Store History'!$C$4,OR('Store History'!$C$5="",$F591='Store History'!$C$5)),1,0)</f>
        <v/>
      </c>
      <c r="X591" s="47">
        <f>IF($W591=1,SUM($W591:$W$1005),"")</f>
        <v/>
      </c>
    </row>
    <row r="592">
      <c r="A592" s="59" t="n"/>
      <c r="B592" s="60" t="n"/>
      <c r="C592" s="60" t="n"/>
      <c r="D592" s="45">
        <f>IF($C592="","",IFERROR(INDEX('Chain Program'!$B$6:$B$120,MATCH($C592,'Chain Program'!$A$6:$A$120,0)),"Unknown ID"))</f>
        <v/>
      </c>
      <c r="E592" s="45">
        <f>IF($C592="","",IFERROR(INDEX('Chain Program'!$D$6:$D$120,MATCH($C592,'Chain Program'!$A$6:$A$120,0)),"Unknown ID"))</f>
        <v/>
      </c>
      <c r="F592" s="60" t="n"/>
      <c r="G592" s="60" t="n"/>
      <c r="H592" s="56">
        <f>IF(OR($C592="",$A592=""),"",IF(COUNTIFS('Promo Calendar'!$A$6:$A$400,$C592,'Promo Calendar'!$D$6:$D$400,IF($G592="","All",$G592),'Promo Calendar'!$I$6:$I$400,"&lt;="&amp;$A592,'Promo Calendar'!$J$6:$J$400,"&gt;="&amp;$A592,'Promo Calendar'!$G$6:$G$400,"&gt;0")&gt;0,_xlfn.MINIFS('Promo Calendar'!$G$6:$G$400,'Promo Calendar'!$A$6:$A$400,$C592,'Promo Calendar'!$D$6:$D$400,IF($G592="","All",$G592),'Promo Calendar'!$I$6:$I$400,"&lt;="&amp;$A592,'Promo Calendar'!$J$6:$J$400,"&gt;="&amp;$A592,'Promo Calendar'!$G$6:$G$400,"&gt;0"),IF(COUNTIFS('Promo Calendar'!$A$6:$A$400,$C592,'Promo Calendar'!$D$6:$D$400,"All",'Promo Calendar'!$I$6:$I$400,"&lt;="&amp;$A592,'Promo Calendar'!$J$6:$J$400,"&gt;="&amp;$A592,'Promo Calendar'!$G$6:$G$400,"&gt;0")&gt;0,_xlfn.MINIFS('Promo Calendar'!$G$6:$G$400,'Promo Calendar'!$A$6:$A$400,$C592,'Promo Calendar'!$D$6:$D$400,"All",'Promo Calendar'!$I$6:$I$400,"&lt;="&amp;$A592,'Promo Calendar'!$J$6:$J$400,"&gt;="&amp;$A592,'Promo Calendar'!$G$6:$G$400,"&gt;0"),IFERROR(IF(INDEX('Chain Program'!$M$6:$M$120,MATCH($C592,'Chain Program'!$A$6:$A$120,0))="","Not set",INDEX('Chain Program'!$M$6:$M$120,MATCH($C592,'Chain Program'!$A$6:$A$120,0))),"Not set"))))</f>
        <v/>
      </c>
      <c r="I592" s="61" t="n"/>
      <c r="J592" s="45">
        <f>IF($I592="","",IF(NOT(ISNUMBER($H592)),"No plan price",IF(ABS($I592-$H592)&lt;0.005,"Match",IF($I592&gt;$H592,"Over plan","Under plan"))))</f>
        <v/>
      </c>
      <c r="K592" s="60" t="n"/>
      <c r="L592" s="60" t="n"/>
      <c r="M592" s="60" t="n"/>
      <c r="N592" s="60" t="n"/>
      <c r="O592" s="60" t="n"/>
      <c r="P592" s="62" t="n"/>
      <c r="Q592" s="62" t="n"/>
      <c r="R592" s="60" t="n"/>
      <c r="S592" s="59" t="n"/>
      <c r="T592" s="60" t="n"/>
      <c r="U592" s="59" t="n"/>
      <c r="V592" s="45">
        <f>IF(OR($A592="",$T592="",$T592="No Issue"),"",IF($T592="Resolved",IF($U592="","",$U592-$A592),TODAY()-$A592))</f>
        <v/>
      </c>
      <c r="W592" s="47">
        <f>IF(AND($C592&lt;&gt;"",$C592='Store History'!$C$4,OR('Store History'!$C$5="",$F592='Store History'!$C$5)),1,0)</f>
        <v/>
      </c>
      <c r="X592" s="47">
        <f>IF($W592=1,SUM($W592:$W$1005),"")</f>
        <v/>
      </c>
    </row>
    <row r="593">
      <c r="A593" s="59" t="n"/>
      <c r="B593" s="60" t="n"/>
      <c r="C593" s="60" t="n"/>
      <c r="D593" s="45">
        <f>IF($C593="","",IFERROR(INDEX('Chain Program'!$B$6:$B$120,MATCH($C593,'Chain Program'!$A$6:$A$120,0)),"Unknown ID"))</f>
        <v/>
      </c>
      <c r="E593" s="45">
        <f>IF($C593="","",IFERROR(INDEX('Chain Program'!$D$6:$D$120,MATCH($C593,'Chain Program'!$A$6:$A$120,0)),"Unknown ID"))</f>
        <v/>
      </c>
      <c r="F593" s="60" t="n"/>
      <c r="G593" s="60" t="n"/>
      <c r="H593" s="56">
        <f>IF(OR($C593="",$A593=""),"",IF(COUNTIFS('Promo Calendar'!$A$6:$A$400,$C593,'Promo Calendar'!$D$6:$D$400,IF($G593="","All",$G593),'Promo Calendar'!$I$6:$I$400,"&lt;="&amp;$A593,'Promo Calendar'!$J$6:$J$400,"&gt;="&amp;$A593,'Promo Calendar'!$G$6:$G$400,"&gt;0")&gt;0,_xlfn.MINIFS('Promo Calendar'!$G$6:$G$400,'Promo Calendar'!$A$6:$A$400,$C593,'Promo Calendar'!$D$6:$D$400,IF($G593="","All",$G593),'Promo Calendar'!$I$6:$I$400,"&lt;="&amp;$A593,'Promo Calendar'!$J$6:$J$400,"&gt;="&amp;$A593,'Promo Calendar'!$G$6:$G$400,"&gt;0"),IF(COUNTIFS('Promo Calendar'!$A$6:$A$400,$C593,'Promo Calendar'!$D$6:$D$400,"All",'Promo Calendar'!$I$6:$I$400,"&lt;="&amp;$A593,'Promo Calendar'!$J$6:$J$400,"&gt;="&amp;$A593,'Promo Calendar'!$G$6:$G$400,"&gt;0")&gt;0,_xlfn.MINIFS('Promo Calendar'!$G$6:$G$400,'Promo Calendar'!$A$6:$A$400,$C593,'Promo Calendar'!$D$6:$D$400,"All",'Promo Calendar'!$I$6:$I$400,"&lt;="&amp;$A593,'Promo Calendar'!$J$6:$J$400,"&gt;="&amp;$A593,'Promo Calendar'!$G$6:$G$400,"&gt;0"),IFERROR(IF(INDEX('Chain Program'!$M$6:$M$120,MATCH($C593,'Chain Program'!$A$6:$A$120,0))="","Not set",INDEX('Chain Program'!$M$6:$M$120,MATCH($C593,'Chain Program'!$A$6:$A$120,0))),"Not set"))))</f>
        <v/>
      </c>
      <c r="I593" s="61" t="n"/>
      <c r="J593" s="45">
        <f>IF($I593="","",IF(NOT(ISNUMBER($H593)),"No plan price",IF(ABS($I593-$H593)&lt;0.005,"Match",IF($I593&gt;$H593,"Over plan","Under plan"))))</f>
        <v/>
      </c>
      <c r="K593" s="60" t="n"/>
      <c r="L593" s="60" t="n"/>
      <c r="M593" s="60" t="n"/>
      <c r="N593" s="60" t="n"/>
      <c r="O593" s="60" t="n"/>
      <c r="P593" s="62" t="n"/>
      <c r="Q593" s="62" t="n"/>
      <c r="R593" s="60" t="n"/>
      <c r="S593" s="59" t="n"/>
      <c r="T593" s="60" t="n"/>
      <c r="U593" s="59" t="n"/>
      <c r="V593" s="45">
        <f>IF(OR($A593="",$T593="",$T593="No Issue"),"",IF($T593="Resolved",IF($U593="","",$U593-$A593),TODAY()-$A593))</f>
        <v/>
      </c>
      <c r="W593" s="47">
        <f>IF(AND($C593&lt;&gt;"",$C593='Store History'!$C$4,OR('Store History'!$C$5="",$F593='Store History'!$C$5)),1,0)</f>
        <v/>
      </c>
      <c r="X593" s="47">
        <f>IF($W593=1,SUM($W593:$W$1005),"")</f>
        <v/>
      </c>
    </row>
    <row r="594">
      <c r="A594" s="59" t="n"/>
      <c r="B594" s="60" t="n"/>
      <c r="C594" s="60" t="n"/>
      <c r="D594" s="45">
        <f>IF($C594="","",IFERROR(INDEX('Chain Program'!$B$6:$B$120,MATCH($C594,'Chain Program'!$A$6:$A$120,0)),"Unknown ID"))</f>
        <v/>
      </c>
      <c r="E594" s="45">
        <f>IF($C594="","",IFERROR(INDEX('Chain Program'!$D$6:$D$120,MATCH($C594,'Chain Program'!$A$6:$A$120,0)),"Unknown ID"))</f>
        <v/>
      </c>
      <c r="F594" s="60" t="n"/>
      <c r="G594" s="60" t="n"/>
      <c r="H594" s="56">
        <f>IF(OR($C594="",$A594=""),"",IF(COUNTIFS('Promo Calendar'!$A$6:$A$400,$C594,'Promo Calendar'!$D$6:$D$400,IF($G594="","All",$G594),'Promo Calendar'!$I$6:$I$400,"&lt;="&amp;$A594,'Promo Calendar'!$J$6:$J$400,"&gt;="&amp;$A594,'Promo Calendar'!$G$6:$G$400,"&gt;0")&gt;0,_xlfn.MINIFS('Promo Calendar'!$G$6:$G$400,'Promo Calendar'!$A$6:$A$400,$C594,'Promo Calendar'!$D$6:$D$400,IF($G594="","All",$G594),'Promo Calendar'!$I$6:$I$400,"&lt;="&amp;$A594,'Promo Calendar'!$J$6:$J$400,"&gt;="&amp;$A594,'Promo Calendar'!$G$6:$G$400,"&gt;0"),IF(COUNTIFS('Promo Calendar'!$A$6:$A$400,$C594,'Promo Calendar'!$D$6:$D$400,"All",'Promo Calendar'!$I$6:$I$400,"&lt;="&amp;$A594,'Promo Calendar'!$J$6:$J$400,"&gt;="&amp;$A594,'Promo Calendar'!$G$6:$G$400,"&gt;0")&gt;0,_xlfn.MINIFS('Promo Calendar'!$G$6:$G$400,'Promo Calendar'!$A$6:$A$400,$C594,'Promo Calendar'!$D$6:$D$400,"All",'Promo Calendar'!$I$6:$I$400,"&lt;="&amp;$A594,'Promo Calendar'!$J$6:$J$400,"&gt;="&amp;$A594,'Promo Calendar'!$G$6:$G$400,"&gt;0"),IFERROR(IF(INDEX('Chain Program'!$M$6:$M$120,MATCH($C594,'Chain Program'!$A$6:$A$120,0))="","Not set",INDEX('Chain Program'!$M$6:$M$120,MATCH($C594,'Chain Program'!$A$6:$A$120,0))),"Not set"))))</f>
        <v/>
      </c>
      <c r="I594" s="61" t="n"/>
      <c r="J594" s="45">
        <f>IF($I594="","",IF(NOT(ISNUMBER($H594)),"No plan price",IF(ABS($I594-$H594)&lt;0.005,"Match",IF($I594&gt;$H594,"Over plan","Under plan"))))</f>
        <v/>
      </c>
      <c r="K594" s="60" t="n"/>
      <c r="L594" s="60" t="n"/>
      <c r="M594" s="60" t="n"/>
      <c r="N594" s="60" t="n"/>
      <c r="O594" s="60" t="n"/>
      <c r="P594" s="62" t="n"/>
      <c r="Q594" s="62" t="n"/>
      <c r="R594" s="60" t="n"/>
      <c r="S594" s="59" t="n"/>
      <c r="T594" s="60" t="n"/>
      <c r="U594" s="59" t="n"/>
      <c r="V594" s="45">
        <f>IF(OR($A594="",$T594="",$T594="No Issue"),"",IF($T594="Resolved",IF($U594="","",$U594-$A594),TODAY()-$A594))</f>
        <v/>
      </c>
      <c r="W594" s="47">
        <f>IF(AND($C594&lt;&gt;"",$C594='Store History'!$C$4,OR('Store History'!$C$5="",$F594='Store History'!$C$5)),1,0)</f>
        <v/>
      </c>
      <c r="X594" s="47">
        <f>IF($W594=1,SUM($W594:$W$1005),"")</f>
        <v/>
      </c>
    </row>
    <row r="595">
      <c r="A595" s="59" t="n"/>
      <c r="B595" s="60" t="n"/>
      <c r="C595" s="60" t="n"/>
      <c r="D595" s="45">
        <f>IF($C595="","",IFERROR(INDEX('Chain Program'!$B$6:$B$120,MATCH($C595,'Chain Program'!$A$6:$A$120,0)),"Unknown ID"))</f>
        <v/>
      </c>
      <c r="E595" s="45">
        <f>IF($C595="","",IFERROR(INDEX('Chain Program'!$D$6:$D$120,MATCH($C595,'Chain Program'!$A$6:$A$120,0)),"Unknown ID"))</f>
        <v/>
      </c>
      <c r="F595" s="60" t="n"/>
      <c r="G595" s="60" t="n"/>
      <c r="H595" s="56">
        <f>IF(OR($C595="",$A595=""),"",IF(COUNTIFS('Promo Calendar'!$A$6:$A$400,$C595,'Promo Calendar'!$D$6:$D$400,IF($G595="","All",$G595),'Promo Calendar'!$I$6:$I$400,"&lt;="&amp;$A595,'Promo Calendar'!$J$6:$J$400,"&gt;="&amp;$A595,'Promo Calendar'!$G$6:$G$400,"&gt;0")&gt;0,_xlfn.MINIFS('Promo Calendar'!$G$6:$G$400,'Promo Calendar'!$A$6:$A$400,$C595,'Promo Calendar'!$D$6:$D$400,IF($G595="","All",$G595),'Promo Calendar'!$I$6:$I$400,"&lt;="&amp;$A595,'Promo Calendar'!$J$6:$J$400,"&gt;="&amp;$A595,'Promo Calendar'!$G$6:$G$400,"&gt;0"),IF(COUNTIFS('Promo Calendar'!$A$6:$A$400,$C595,'Promo Calendar'!$D$6:$D$400,"All",'Promo Calendar'!$I$6:$I$400,"&lt;="&amp;$A595,'Promo Calendar'!$J$6:$J$400,"&gt;="&amp;$A595,'Promo Calendar'!$G$6:$G$400,"&gt;0")&gt;0,_xlfn.MINIFS('Promo Calendar'!$G$6:$G$400,'Promo Calendar'!$A$6:$A$400,$C595,'Promo Calendar'!$D$6:$D$400,"All",'Promo Calendar'!$I$6:$I$400,"&lt;="&amp;$A595,'Promo Calendar'!$J$6:$J$400,"&gt;="&amp;$A595,'Promo Calendar'!$G$6:$G$400,"&gt;0"),IFERROR(IF(INDEX('Chain Program'!$M$6:$M$120,MATCH($C595,'Chain Program'!$A$6:$A$120,0))="","Not set",INDEX('Chain Program'!$M$6:$M$120,MATCH($C595,'Chain Program'!$A$6:$A$120,0))),"Not set"))))</f>
        <v/>
      </c>
      <c r="I595" s="61" t="n"/>
      <c r="J595" s="45">
        <f>IF($I595="","",IF(NOT(ISNUMBER($H595)),"No plan price",IF(ABS($I595-$H595)&lt;0.005,"Match",IF($I595&gt;$H595,"Over plan","Under plan"))))</f>
        <v/>
      </c>
      <c r="K595" s="60" t="n"/>
      <c r="L595" s="60" t="n"/>
      <c r="M595" s="60" t="n"/>
      <c r="N595" s="60" t="n"/>
      <c r="O595" s="60" t="n"/>
      <c r="P595" s="62" t="n"/>
      <c r="Q595" s="62" t="n"/>
      <c r="R595" s="60" t="n"/>
      <c r="S595" s="59" t="n"/>
      <c r="T595" s="60" t="n"/>
      <c r="U595" s="59" t="n"/>
      <c r="V595" s="45">
        <f>IF(OR($A595="",$T595="",$T595="No Issue"),"",IF($T595="Resolved",IF($U595="","",$U595-$A595),TODAY()-$A595))</f>
        <v/>
      </c>
      <c r="W595" s="47">
        <f>IF(AND($C595&lt;&gt;"",$C595='Store History'!$C$4,OR('Store History'!$C$5="",$F595='Store History'!$C$5)),1,0)</f>
        <v/>
      </c>
      <c r="X595" s="47">
        <f>IF($W595=1,SUM($W595:$W$1005),"")</f>
        <v/>
      </c>
    </row>
    <row r="596">
      <c r="A596" s="59" t="n"/>
      <c r="B596" s="60" t="n"/>
      <c r="C596" s="60" t="n"/>
      <c r="D596" s="45">
        <f>IF($C596="","",IFERROR(INDEX('Chain Program'!$B$6:$B$120,MATCH($C596,'Chain Program'!$A$6:$A$120,0)),"Unknown ID"))</f>
        <v/>
      </c>
      <c r="E596" s="45">
        <f>IF($C596="","",IFERROR(INDEX('Chain Program'!$D$6:$D$120,MATCH($C596,'Chain Program'!$A$6:$A$120,0)),"Unknown ID"))</f>
        <v/>
      </c>
      <c r="F596" s="60" t="n"/>
      <c r="G596" s="60" t="n"/>
      <c r="H596" s="56">
        <f>IF(OR($C596="",$A596=""),"",IF(COUNTIFS('Promo Calendar'!$A$6:$A$400,$C596,'Promo Calendar'!$D$6:$D$400,IF($G596="","All",$G596),'Promo Calendar'!$I$6:$I$400,"&lt;="&amp;$A596,'Promo Calendar'!$J$6:$J$400,"&gt;="&amp;$A596,'Promo Calendar'!$G$6:$G$400,"&gt;0")&gt;0,_xlfn.MINIFS('Promo Calendar'!$G$6:$G$400,'Promo Calendar'!$A$6:$A$400,$C596,'Promo Calendar'!$D$6:$D$400,IF($G596="","All",$G596),'Promo Calendar'!$I$6:$I$400,"&lt;="&amp;$A596,'Promo Calendar'!$J$6:$J$400,"&gt;="&amp;$A596,'Promo Calendar'!$G$6:$G$400,"&gt;0"),IF(COUNTIFS('Promo Calendar'!$A$6:$A$400,$C596,'Promo Calendar'!$D$6:$D$400,"All",'Promo Calendar'!$I$6:$I$400,"&lt;="&amp;$A596,'Promo Calendar'!$J$6:$J$400,"&gt;="&amp;$A596,'Promo Calendar'!$G$6:$G$400,"&gt;0")&gt;0,_xlfn.MINIFS('Promo Calendar'!$G$6:$G$400,'Promo Calendar'!$A$6:$A$400,$C596,'Promo Calendar'!$D$6:$D$400,"All",'Promo Calendar'!$I$6:$I$400,"&lt;="&amp;$A596,'Promo Calendar'!$J$6:$J$400,"&gt;="&amp;$A596,'Promo Calendar'!$G$6:$G$400,"&gt;0"),IFERROR(IF(INDEX('Chain Program'!$M$6:$M$120,MATCH($C596,'Chain Program'!$A$6:$A$120,0))="","Not set",INDEX('Chain Program'!$M$6:$M$120,MATCH($C596,'Chain Program'!$A$6:$A$120,0))),"Not set"))))</f>
        <v/>
      </c>
      <c r="I596" s="61" t="n"/>
      <c r="J596" s="45">
        <f>IF($I596="","",IF(NOT(ISNUMBER($H596)),"No plan price",IF(ABS($I596-$H596)&lt;0.005,"Match",IF($I596&gt;$H596,"Over plan","Under plan"))))</f>
        <v/>
      </c>
      <c r="K596" s="60" t="n"/>
      <c r="L596" s="60" t="n"/>
      <c r="M596" s="60" t="n"/>
      <c r="N596" s="60" t="n"/>
      <c r="O596" s="60" t="n"/>
      <c r="P596" s="62" t="n"/>
      <c r="Q596" s="62" t="n"/>
      <c r="R596" s="60" t="n"/>
      <c r="S596" s="59" t="n"/>
      <c r="T596" s="60" t="n"/>
      <c r="U596" s="59" t="n"/>
      <c r="V596" s="45">
        <f>IF(OR($A596="",$T596="",$T596="No Issue"),"",IF($T596="Resolved",IF($U596="","",$U596-$A596),TODAY()-$A596))</f>
        <v/>
      </c>
      <c r="W596" s="47">
        <f>IF(AND($C596&lt;&gt;"",$C596='Store History'!$C$4,OR('Store History'!$C$5="",$F596='Store History'!$C$5)),1,0)</f>
        <v/>
      </c>
      <c r="X596" s="47">
        <f>IF($W596=1,SUM($W596:$W$1005),"")</f>
        <v/>
      </c>
    </row>
    <row r="597">
      <c r="A597" s="59" t="n"/>
      <c r="B597" s="60" t="n"/>
      <c r="C597" s="60" t="n"/>
      <c r="D597" s="45">
        <f>IF($C597="","",IFERROR(INDEX('Chain Program'!$B$6:$B$120,MATCH($C597,'Chain Program'!$A$6:$A$120,0)),"Unknown ID"))</f>
        <v/>
      </c>
      <c r="E597" s="45">
        <f>IF($C597="","",IFERROR(INDEX('Chain Program'!$D$6:$D$120,MATCH($C597,'Chain Program'!$A$6:$A$120,0)),"Unknown ID"))</f>
        <v/>
      </c>
      <c r="F597" s="60" t="n"/>
      <c r="G597" s="60" t="n"/>
      <c r="H597" s="56">
        <f>IF(OR($C597="",$A597=""),"",IF(COUNTIFS('Promo Calendar'!$A$6:$A$400,$C597,'Promo Calendar'!$D$6:$D$400,IF($G597="","All",$G597),'Promo Calendar'!$I$6:$I$400,"&lt;="&amp;$A597,'Promo Calendar'!$J$6:$J$400,"&gt;="&amp;$A597,'Promo Calendar'!$G$6:$G$400,"&gt;0")&gt;0,_xlfn.MINIFS('Promo Calendar'!$G$6:$G$400,'Promo Calendar'!$A$6:$A$400,$C597,'Promo Calendar'!$D$6:$D$400,IF($G597="","All",$G597),'Promo Calendar'!$I$6:$I$400,"&lt;="&amp;$A597,'Promo Calendar'!$J$6:$J$400,"&gt;="&amp;$A597,'Promo Calendar'!$G$6:$G$400,"&gt;0"),IF(COUNTIFS('Promo Calendar'!$A$6:$A$400,$C597,'Promo Calendar'!$D$6:$D$400,"All",'Promo Calendar'!$I$6:$I$400,"&lt;="&amp;$A597,'Promo Calendar'!$J$6:$J$400,"&gt;="&amp;$A597,'Promo Calendar'!$G$6:$G$400,"&gt;0")&gt;0,_xlfn.MINIFS('Promo Calendar'!$G$6:$G$400,'Promo Calendar'!$A$6:$A$400,$C597,'Promo Calendar'!$D$6:$D$400,"All",'Promo Calendar'!$I$6:$I$400,"&lt;="&amp;$A597,'Promo Calendar'!$J$6:$J$400,"&gt;="&amp;$A597,'Promo Calendar'!$G$6:$G$400,"&gt;0"),IFERROR(IF(INDEX('Chain Program'!$M$6:$M$120,MATCH($C597,'Chain Program'!$A$6:$A$120,0))="","Not set",INDEX('Chain Program'!$M$6:$M$120,MATCH($C597,'Chain Program'!$A$6:$A$120,0))),"Not set"))))</f>
        <v/>
      </c>
      <c r="I597" s="61" t="n"/>
      <c r="J597" s="45">
        <f>IF($I597="","",IF(NOT(ISNUMBER($H597)),"No plan price",IF(ABS($I597-$H597)&lt;0.005,"Match",IF($I597&gt;$H597,"Over plan","Under plan"))))</f>
        <v/>
      </c>
      <c r="K597" s="60" t="n"/>
      <c r="L597" s="60" t="n"/>
      <c r="M597" s="60" t="n"/>
      <c r="N597" s="60" t="n"/>
      <c r="O597" s="60" t="n"/>
      <c r="P597" s="62" t="n"/>
      <c r="Q597" s="62" t="n"/>
      <c r="R597" s="60" t="n"/>
      <c r="S597" s="59" t="n"/>
      <c r="T597" s="60" t="n"/>
      <c r="U597" s="59" t="n"/>
      <c r="V597" s="45">
        <f>IF(OR($A597="",$T597="",$T597="No Issue"),"",IF($T597="Resolved",IF($U597="","",$U597-$A597),TODAY()-$A597))</f>
        <v/>
      </c>
      <c r="W597" s="47">
        <f>IF(AND($C597&lt;&gt;"",$C597='Store History'!$C$4,OR('Store History'!$C$5="",$F597='Store History'!$C$5)),1,0)</f>
        <v/>
      </c>
      <c r="X597" s="47">
        <f>IF($W597=1,SUM($W597:$W$1005),"")</f>
        <v/>
      </c>
    </row>
    <row r="598">
      <c r="A598" s="59" t="n"/>
      <c r="B598" s="60" t="n"/>
      <c r="C598" s="60" t="n"/>
      <c r="D598" s="45">
        <f>IF($C598="","",IFERROR(INDEX('Chain Program'!$B$6:$B$120,MATCH($C598,'Chain Program'!$A$6:$A$120,0)),"Unknown ID"))</f>
        <v/>
      </c>
      <c r="E598" s="45">
        <f>IF($C598="","",IFERROR(INDEX('Chain Program'!$D$6:$D$120,MATCH($C598,'Chain Program'!$A$6:$A$120,0)),"Unknown ID"))</f>
        <v/>
      </c>
      <c r="F598" s="60" t="n"/>
      <c r="G598" s="60" t="n"/>
      <c r="H598" s="56">
        <f>IF(OR($C598="",$A598=""),"",IF(COUNTIFS('Promo Calendar'!$A$6:$A$400,$C598,'Promo Calendar'!$D$6:$D$400,IF($G598="","All",$G598),'Promo Calendar'!$I$6:$I$400,"&lt;="&amp;$A598,'Promo Calendar'!$J$6:$J$400,"&gt;="&amp;$A598,'Promo Calendar'!$G$6:$G$400,"&gt;0")&gt;0,_xlfn.MINIFS('Promo Calendar'!$G$6:$G$400,'Promo Calendar'!$A$6:$A$400,$C598,'Promo Calendar'!$D$6:$D$400,IF($G598="","All",$G598),'Promo Calendar'!$I$6:$I$400,"&lt;="&amp;$A598,'Promo Calendar'!$J$6:$J$400,"&gt;="&amp;$A598,'Promo Calendar'!$G$6:$G$400,"&gt;0"),IF(COUNTIFS('Promo Calendar'!$A$6:$A$400,$C598,'Promo Calendar'!$D$6:$D$400,"All",'Promo Calendar'!$I$6:$I$400,"&lt;="&amp;$A598,'Promo Calendar'!$J$6:$J$400,"&gt;="&amp;$A598,'Promo Calendar'!$G$6:$G$400,"&gt;0")&gt;0,_xlfn.MINIFS('Promo Calendar'!$G$6:$G$400,'Promo Calendar'!$A$6:$A$400,$C598,'Promo Calendar'!$D$6:$D$400,"All",'Promo Calendar'!$I$6:$I$400,"&lt;="&amp;$A598,'Promo Calendar'!$J$6:$J$400,"&gt;="&amp;$A598,'Promo Calendar'!$G$6:$G$400,"&gt;0"),IFERROR(IF(INDEX('Chain Program'!$M$6:$M$120,MATCH($C598,'Chain Program'!$A$6:$A$120,0))="","Not set",INDEX('Chain Program'!$M$6:$M$120,MATCH($C598,'Chain Program'!$A$6:$A$120,0))),"Not set"))))</f>
        <v/>
      </c>
      <c r="I598" s="61" t="n"/>
      <c r="J598" s="45">
        <f>IF($I598="","",IF(NOT(ISNUMBER($H598)),"No plan price",IF(ABS($I598-$H598)&lt;0.005,"Match",IF($I598&gt;$H598,"Over plan","Under plan"))))</f>
        <v/>
      </c>
      <c r="K598" s="60" t="n"/>
      <c r="L598" s="60" t="n"/>
      <c r="M598" s="60" t="n"/>
      <c r="N598" s="60" t="n"/>
      <c r="O598" s="60" t="n"/>
      <c r="P598" s="62" t="n"/>
      <c r="Q598" s="62" t="n"/>
      <c r="R598" s="60" t="n"/>
      <c r="S598" s="59" t="n"/>
      <c r="T598" s="60" t="n"/>
      <c r="U598" s="59" t="n"/>
      <c r="V598" s="45">
        <f>IF(OR($A598="",$T598="",$T598="No Issue"),"",IF($T598="Resolved",IF($U598="","",$U598-$A598),TODAY()-$A598))</f>
        <v/>
      </c>
      <c r="W598" s="47">
        <f>IF(AND($C598&lt;&gt;"",$C598='Store History'!$C$4,OR('Store History'!$C$5="",$F598='Store History'!$C$5)),1,0)</f>
        <v/>
      </c>
      <c r="X598" s="47">
        <f>IF($W598=1,SUM($W598:$W$1005),"")</f>
        <v/>
      </c>
    </row>
    <row r="599">
      <c r="A599" s="59" t="n"/>
      <c r="B599" s="60" t="n"/>
      <c r="C599" s="60" t="n"/>
      <c r="D599" s="45">
        <f>IF($C599="","",IFERROR(INDEX('Chain Program'!$B$6:$B$120,MATCH($C599,'Chain Program'!$A$6:$A$120,0)),"Unknown ID"))</f>
        <v/>
      </c>
      <c r="E599" s="45">
        <f>IF($C599="","",IFERROR(INDEX('Chain Program'!$D$6:$D$120,MATCH($C599,'Chain Program'!$A$6:$A$120,0)),"Unknown ID"))</f>
        <v/>
      </c>
      <c r="F599" s="60" t="n"/>
      <c r="G599" s="60" t="n"/>
      <c r="H599" s="56">
        <f>IF(OR($C599="",$A599=""),"",IF(COUNTIFS('Promo Calendar'!$A$6:$A$400,$C599,'Promo Calendar'!$D$6:$D$400,IF($G599="","All",$G599),'Promo Calendar'!$I$6:$I$400,"&lt;="&amp;$A599,'Promo Calendar'!$J$6:$J$400,"&gt;="&amp;$A599,'Promo Calendar'!$G$6:$G$400,"&gt;0")&gt;0,_xlfn.MINIFS('Promo Calendar'!$G$6:$G$400,'Promo Calendar'!$A$6:$A$400,$C599,'Promo Calendar'!$D$6:$D$400,IF($G599="","All",$G599),'Promo Calendar'!$I$6:$I$400,"&lt;="&amp;$A599,'Promo Calendar'!$J$6:$J$400,"&gt;="&amp;$A599,'Promo Calendar'!$G$6:$G$400,"&gt;0"),IF(COUNTIFS('Promo Calendar'!$A$6:$A$400,$C599,'Promo Calendar'!$D$6:$D$400,"All",'Promo Calendar'!$I$6:$I$400,"&lt;="&amp;$A599,'Promo Calendar'!$J$6:$J$400,"&gt;="&amp;$A599,'Promo Calendar'!$G$6:$G$400,"&gt;0")&gt;0,_xlfn.MINIFS('Promo Calendar'!$G$6:$G$400,'Promo Calendar'!$A$6:$A$400,$C599,'Promo Calendar'!$D$6:$D$400,"All",'Promo Calendar'!$I$6:$I$400,"&lt;="&amp;$A599,'Promo Calendar'!$J$6:$J$400,"&gt;="&amp;$A599,'Promo Calendar'!$G$6:$G$400,"&gt;0"),IFERROR(IF(INDEX('Chain Program'!$M$6:$M$120,MATCH($C599,'Chain Program'!$A$6:$A$120,0))="","Not set",INDEX('Chain Program'!$M$6:$M$120,MATCH($C599,'Chain Program'!$A$6:$A$120,0))),"Not set"))))</f>
        <v/>
      </c>
      <c r="I599" s="61" t="n"/>
      <c r="J599" s="45">
        <f>IF($I599="","",IF(NOT(ISNUMBER($H599)),"No plan price",IF(ABS($I599-$H599)&lt;0.005,"Match",IF($I599&gt;$H599,"Over plan","Under plan"))))</f>
        <v/>
      </c>
      <c r="K599" s="60" t="n"/>
      <c r="L599" s="60" t="n"/>
      <c r="M599" s="60" t="n"/>
      <c r="N599" s="60" t="n"/>
      <c r="O599" s="60" t="n"/>
      <c r="P599" s="62" t="n"/>
      <c r="Q599" s="62" t="n"/>
      <c r="R599" s="60" t="n"/>
      <c r="S599" s="59" t="n"/>
      <c r="T599" s="60" t="n"/>
      <c r="U599" s="59" t="n"/>
      <c r="V599" s="45">
        <f>IF(OR($A599="",$T599="",$T599="No Issue"),"",IF($T599="Resolved",IF($U599="","",$U599-$A599),TODAY()-$A599))</f>
        <v/>
      </c>
      <c r="W599" s="47">
        <f>IF(AND($C599&lt;&gt;"",$C599='Store History'!$C$4,OR('Store History'!$C$5="",$F599='Store History'!$C$5)),1,0)</f>
        <v/>
      </c>
      <c r="X599" s="47">
        <f>IF($W599=1,SUM($W599:$W$1005),"")</f>
        <v/>
      </c>
    </row>
    <row r="600">
      <c r="A600" s="59" t="n"/>
      <c r="B600" s="60" t="n"/>
      <c r="C600" s="60" t="n"/>
      <c r="D600" s="45">
        <f>IF($C600="","",IFERROR(INDEX('Chain Program'!$B$6:$B$120,MATCH($C600,'Chain Program'!$A$6:$A$120,0)),"Unknown ID"))</f>
        <v/>
      </c>
      <c r="E600" s="45">
        <f>IF($C600="","",IFERROR(INDEX('Chain Program'!$D$6:$D$120,MATCH($C600,'Chain Program'!$A$6:$A$120,0)),"Unknown ID"))</f>
        <v/>
      </c>
      <c r="F600" s="60" t="n"/>
      <c r="G600" s="60" t="n"/>
      <c r="H600" s="56">
        <f>IF(OR($C600="",$A600=""),"",IF(COUNTIFS('Promo Calendar'!$A$6:$A$400,$C600,'Promo Calendar'!$D$6:$D$400,IF($G600="","All",$G600),'Promo Calendar'!$I$6:$I$400,"&lt;="&amp;$A600,'Promo Calendar'!$J$6:$J$400,"&gt;="&amp;$A600,'Promo Calendar'!$G$6:$G$400,"&gt;0")&gt;0,_xlfn.MINIFS('Promo Calendar'!$G$6:$G$400,'Promo Calendar'!$A$6:$A$400,$C600,'Promo Calendar'!$D$6:$D$400,IF($G600="","All",$G600),'Promo Calendar'!$I$6:$I$400,"&lt;="&amp;$A600,'Promo Calendar'!$J$6:$J$400,"&gt;="&amp;$A600,'Promo Calendar'!$G$6:$G$400,"&gt;0"),IF(COUNTIFS('Promo Calendar'!$A$6:$A$400,$C600,'Promo Calendar'!$D$6:$D$400,"All",'Promo Calendar'!$I$6:$I$400,"&lt;="&amp;$A600,'Promo Calendar'!$J$6:$J$400,"&gt;="&amp;$A600,'Promo Calendar'!$G$6:$G$400,"&gt;0")&gt;0,_xlfn.MINIFS('Promo Calendar'!$G$6:$G$400,'Promo Calendar'!$A$6:$A$400,$C600,'Promo Calendar'!$D$6:$D$400,"All",'Promo Calendar'!$I$6:$I$400,"&lt;="&amp;$A600,'Promo Calendar'!$J$6:$J$400,"&gt;="&amp;$A600,'Promo Calendar'!$G$6:$G$400,"&gt;0"),IFERROR(IF(INDEX('Chain Program'!$M$6:$M$120,MATCH($C600,'Chain Program'!$A$6:$A$120,0))="","Not set",INDEX('Chain Program'!$M$6:$M$120,MATCH($C600,'Chain Program'!$A$6:$A$120,0))),"Not set"))))</f>
        <v/>
      </c>
      <c r="I600" s="61" t="n"/>
      <c r="J600" s="45">
        <f>IF($I600="","",IF(NOT(ISNUMBER($H600)),"No plan price",IF(ABS($I600-$H600)&lt;0.005,"Match",IF($I600&gt;$H600,"Over plan","Under plan"))))</f>
        <v/>
      </c>
      <c r="K600" s="60" t="n"/>
      <c r="L600" s="60" t="n"/>
      <c r="M600" s="60" t="n"/>
      <c r="N600" s="60" t="n"/>
      <c r="O600" s="60" t="n"/>
      <c r="P600" s="62" t="n"/>
      <c r="Q600" s="62" t="n"/>
      <c r="R600" s="60" t="n"/>
      <c r="S600" s="59" t="n"/>
      <c r="T600" s="60" t="n"/>
      <c r="U600" s="59" t="n"/>
      <c r="V600" s="45">
        <f>IF(OR($A600="",$T600="",$T600="No Issue"),"",IF($T600="Resolved",IF($U600="","",$U600-$A600),TODAY()-$A600))</f>
        <v/>
      </c>
      <c r="W600" s="47">
        <f>IF(AND($C600&lt;&gt;"",$C600='Store History'!$C$4,OR('Store History'!$C$5="",$F600='Store History'!$C$5)),1,0)</f>
        <v/>
      </c>
      <c r="X600" s="47">
        <f>IF($W600=1,SUM($W600:$W$1005),"")</f>
        <v/>
      </c>
    </row>
    <row r="601">
      <c r="A601" s="59" t="n"/>
      <c r="B601" s="60" t="n"/>
      <c r="C601" s="60" t="n"/>
      <c r="D601" s="45">
        <f>IF($C601="","",IFERROR(INDEX('Chain Program'!$B$6:$B$120,MATCH($C601,'Chain Program'!$A$6:$A$120,0)),"Unknown ID"))</f>
        <v/>
      </c>
      <c r="E601" s="45">
        <f>IF($C601="","",IFERROR(INDEX('Chain Program'!$D$6:$D$120,MATCH($C601,'Chain Program'!$A$6:$A$120,0)),"Unknown ID"))</f>
        <v/>
      </c>
      <c r="F601" s="60" t="n"/>
      <c r="G601" s="60" t="n"/>
      <c r="H601" s="56">
        <f>IF(OR($C601="",$A601=""),"",IF(COUNTIFS('Promo Calendar'!$A$6:$A$400,$C601,'Promo Calendar'!$D$6:$D$400,IF($G601="","All",$G601),'Promo Calendar'!$I$6:$I$400,"&lt;="&amp;$A601,'Promo Calendar'!$J$6:$J$400,"&gt;="&amp;$A601,'Promo Calendar'!$G$6:$G$400,"&gt;0")&gt;0,_xlfn.MINIFS('Promo Calendar'!$G$6:$G$400,'Promo Calendar'!$A$6:$A$400,$C601,'Promo Calendar'!$D$6:$D$400,IF($G601="","All",$G601),'Promo Calendar'!$I$6:$I$400,"&lt;="&amp;$A601,'Promo Calendar'!$J$6:$J$400,"&gt;="&amp;$A601,'Promo Calendar'!$G$6:$G$400,"&gt;0"),IF(COUNTIFS('Promo Calendar'!$A$6:$A$400,$C601,'Promo Calendar'!$D$6:$D$400,"All",'Promo Calendar'!$I$6:$I$400,"&lt;="&amp;$A601,'Promo Calendar'!$J$6:$J$400,"&gt;="&amp;$A601,'Promo Calendar'!$G$6:$G$400,"&gt;0")&gt;0,_xlfn.MINIFS('Promo Calendar'!$G$6:$G$400,'Promo Calendar'!$A$6:$A$400,$C601,'Promo Calendar'!$D$6:$D$400,"All",'Promo Calendar'!$I$6:$I$400,"&lt;="&amp;$A601,'Promo Calendar'!$J$6:$J$400,"&gt;="&amp;$A601,'Promo Calendar'!$G$6:$G$400,"&gt;0"),IFERROR(IF(INDEX('Chain Program'!$M$6:$M$120,MATCH($C601,'Chain Program'!$A$6:$A$120,0))="","Not set",INDEX('Chain Program'!$M$6:$M$120,MATCH($C601,'Chain Program'!$A$6:$A$120,0))),"Not set"))))</f>
        <v/>
      </c>
      <c r="I601" s="61" t="n"/>
      <c r="J601" s="45">
        <f>IF($I601="","",IF(NOT(ISNUMBER($H601)),"No plan price",IF(ABS($I601-$H601)&lt;0.005,"Match",IF($I601&gt;$H601,"Over plan","Under plan"))))</f>
        <v/>
      </c>
      <c r="K601" s="60" t="n"/>
      <c r="L601" s="60" t="n"/>
      <c r="M601" s="60" t="n"/>
      <c r="N601" s="60" t="n"/>
      <c r="O601" s="60" t="n"/>
      <c r="P601" s="62" t="n"/>
      <c r="Q601" s="62" t="n"/>
      <c r="R601" s="60" t="n"/>
      <c r="S601" s="59" t="n"/>
      <c r="T601" s="60" t="n"/>
      <c r="U601" s="59" t="n"/>
      <c r="V601" s="45">
        <f>IF(OR($A601="",$T601="",$T601="No Issue"),"",IF($T601="Resolved",IF($U601="","",$U601-$A601),TODAY()-$A601))</f>
        <v/>
      </c>
      <c r="W601" s="47">
        <f>IF(AND($C601&lt;&gt;"",$C601='Store History'!$C$4,OR('Store History'!$C$5="",$F601='Store History'!$C$5)),1,0)</f>
        <v/>
      </c>
      <c r="X601" s="47">
        <f>IF($W601=1,SUM($W601:$W$1005),"")</f>
        <v/>
      </c>
    </row>
    <row r="602">
      <c r="A602" s="59" t="n"/>
      <c r="B602" s="60" t="n"/>
      <c r="C602" s="60" t="n"/>
      <c r="D602" s="45">
        <f>IF($C602="","",IFERROR(INDEX('Chain Program'!$B$6:$B$120,MATCH($C602,'Chain Program'!$A$6:$A$120,0)),"Unknown ID"))</f>
        <v/>
      </c>
      <c r="E602" s="45">
        <f>IF($C602="","",IFERROR(INDEX('Chain Program'!$D$6:$D$120,MATCH($C602,'Chain Program'!$A$6:$A$120,0)),"Unknown ID"))</f>
        <v/>
      </c>
      <c r="F602" s="60" t="n"/>
      <c r="G602" s="60" t="n"/>
      <c r="H602" s="56">
        <f>IF(OR($C602="",$A602=""),"",IF(COUNTIFS('Promo Calendar'!$A$6:$A$400,$C602,'Promo Calendar'!$D$6:$D$400,IF($G602="","All",$G602),'Promo Calendar'!$I$6:$I$400,"&lt;="&amp;$A602,'Promo Calendar'!$J$6:$J$400,"&gt;="&amp;$A602,'Promo Calendar'!$G$6:$G$400,"&gt;0")&gt;0,_xlfn.MINIFS('Promo Calendar'!$G$6:$G$400,'Promo Calendar'!$A$6:$A$400,$C602,'Promo Calendar'!$D$6:$D$400,IF($G602="","All",$G602),'Promo Calendar'!$I$6:$I$400,"&lt;="&amp;$A602,'Promo Calendar'!$J$6:$J$400,"&gt;="&amp;$A602,'Promo Calendar'!$G$6:$G$400,"&gt;0"),IF(COUNTIFS('Promo Calendar'!$A$6:$A$400,$C602,'Promo Calendar'!$D$6:$D$400,"All",'Promo Calendar'!$I$6:$I$400,"&lt;="&amp;$A602,'Promo Calendar'!$J$6:$J$400,"&gt;="&amp;$A602,'Promo Calendar'!$G$6:$G$400,"&gt;0")&gt;0,_xlfn.MINIFS('Promo Calendar'!$G$6:$G$400,'Promo Calendar'!$A$6:$A$400,$C602,'Promo Calendar'!$D$6:$D$400,"All",'Promo Calendar'!$I$6:$I$400,"&lt;="&amp;$A602,'Promo Calendar'!$J$6:$J$400,"&gt;="&amp;$A602,'Promo Calendar'!$G$6:$G$400,"&gt;0"),IFERROR(IF(INDEX('Chain Program'!$M$6:$M$120,MATCH($C602,'Chain Program'!$A$6:$A$120,0))="","Not set",INDEX('Chain Program'!$M$6:$M$120,MATCH($C602,'Chain Program'!$A$6:$A$120,0))),"Not set"))))</f>
        <v/>
      </c>
      <c r="I602" s="61" t="n"/>
      <c r="J602" s="45">
        <f>IF($I602="","",IF(NOT(ISNUMBER($H602)),"No plan price",IF(ABS($I602-$H602)&lt;0.005,"Match",IF($I602&gt;$H602,"Over plan","Under plan"))))</f>
        <v/>
      </c>
      <c r="K602" s="60" t="n"/>
      <c r="L602" s="60" t="n"/>
      <c r="M602" s="60" t="n"/>
      <c r="N602" s="60" t="n"/>
      <c r="O602" s="60" t="n"/>
      <c r="P602" s="62" t="n"/>
      <c r="Q602" s="62" t="n"/>
      <c r="R602" s="60" t="n"/>
      <c r="S602" s="59" t="n"/>
      <c r="T602" s="60" t="n"/>
      <c r="U602" s="59" t="n"/>
      <c r="V602" s="45">
        <f>IF(OR($A602="",$T602="",$T602="No Issue"),"",IF($T602="Resolved",IF($U602="","",$U602-$A602),TODAY()-$A602))</f>
        <v/>
      </c>
      <c r="W602" s="47">
        <f>IF(AND($C602&lt;&gt;"",$C602='Store History'!$C$4,OR('Store History'!$C$5="",$F602='Store History'!$C$5)),1,0)</f>
        <v/>
      </c>
      <c r="X602" s="47">
        <f>IF($W602=1,SUM($W602:$W$1005),"")</f>
        <v/>
      </c>
    </row>
    <row r="603">
      <c r="A603" s="59" t="n"/>
      <c r="B603" s="60" t="n"/>
      <c r="C603" s="60" t="n"/>
      <c r="D603" s="45">
        <f>IF($C603="","",IFERROR(INDEX('Chain Program'!$B$6:$B$120,MATCH($C603,'Chain Program'!$A$6:$A$120,0)),"Unknown ID"))</f>
        <v/>
      </c>
      <c r="E603" s="45">
        <f>IF($C603="","",IFERROR(INDEX('Chain Program'!$D$6:$D$120,MATCH($C603,'Chain Program'!$A$6:$A$120,0)),"Unknown ID"))</f>
        <v/>
      </c>
      <c r="F603" s="60" t="n"/>
      <c r="G603" s="60" t="n"/>
      <c r="H603" s="56">
        <f>IF(OR($C603="",$A603=""),"",IF(COUNTIFS('Promo Calendar'!$A$6:$A$400,$C603,'Promo Calendar'!$D$6:$D$400,IF($G603="","All",$G603),'Promo Calendar'!$I$6:$I$400,"&lt;="&amp;$A603,'Promo Calendar'!$J$6:$J$400,"&gt;="&amp;$A603,'Promo Calendar'!$G$6:$G$400,"&gt;0")&gt;0,_xlfn.MINIFS('Promo Calendar'!$G$6:$G$400,'Promo Calendar'!$A$6:$A$400,$C603,'Promo Calendar'!$D$6:$D$400,IF($G603="","All",$G603),'Promo Calendar'!$I$6:$I$400,"&lt;="&amp;$A603,'Promo Calendar'!$J$6:$J$400,"&gt;="&amp;$A603,'Promo Calendar'!$G$6:$G$400,"&gt;0"),IF(COUNTIFS('Promo Calendar'!$A$6:$A$400,$C603,'Promo Calendar'!$D$6:$D$400,"All",'Promo Calendar'!$I$6:$I$400,"&lt;="&amp;$A603,'Promo Calendar'!$J$6:$J$400,"&gt;="&amp;$A603,'Promo Calendar'!$G$6:$G$400,"&gt;0")&gt;0,_xlfn.MINIFS('Promo Calendar'!$G$6:$G$400,'Promo Calendar'!$A$6:$A$400,$C603,'Promo Calendar'!$D$6:$D$400,"All",'Promo Calendar'!$I$6:$I$400,"&lt;="&amp;$A603,'Promo Calendar'!$J$6:$J$400,"&gt;="&amp;$A603,'Promo Calendar'!$G$6:$G$400,"&gt;0"),IFERROR(IF(INDEX('Chain Program'!$M$6:$M$120,MATCH($C603,'Chain Program'!$A$6:$A$120,0))="","Not set",INDEX('Chain Program'!$M$6:$M$120,MATCH($C603,'Chain Program'!$A$6:$A$120,0))),"Not set"))))</f>
        <v/>
      </c>
      <c r="I603" s="61" t="n"/>
      <c r="J603" s="45">
        <f>IF($I603="","",IF(NOT(ISNUMBER($H603)),"No plan price",IF(ABS($I603-$H603)&lt;0.005,"Match",IF($I603&gt;$H603,"Over plan","Under plan"))))</f>
        <v/>
      </c>
      <c r="K603" s="60" t="n"/>
      <c r="L603" s="60" t="n"/>
      <c r="M603" s="60" t="n"/>
      <c r="N603" s="60" t="n"/>
      <c r="O603" s="60" t="n"/>
      <c r="P603" s="62" t="n"/>
      <c r="Q603" s="62" t="n"/>
      <c r="R603" s="60" t="n"/>
      <c r="S603" s="59" t="n"/>
      <c r="T603" s="60" t="n"/>
      <c r="U603" s="59" t="n"/>
      <c r="V603" s="45">
        <f>IF(OR($A603="",$T603="",$T603="No Issue"),"",IF($T603="Resolved",IF($U603="","",$U603-$A603),TODAY()-$A603))</f>
        <v/>
      </c>
      <c r="W603" s="47">
        <f>IF(AND($C603&lt;&gt;"",$C603='Store History'!$C$4,OR('Store History'!$C$5="",$F603='Store History'!$C$5)),1,0)</f>
        <v/>
      </c>
      <c r="X603" s="47">
        <f>IF($W603=1,SUM($W603:$W$1005),"")</f>
        <v/>
      </c>
    </row>
    <row r="604">
      <c r="A604" s="59" t="n"/>
      <c r="B604" s="60" t="n"/>
      <c r="C604" s="60" t="n"/>
      <c r="D604" s="45">
        <f>IF($C604="","",IFERROR(INDEX('Chain Program'!$B$6:$B$120,MATCH($C604,'Chain Program'!$A$6:$A$120,0)),"Unknown ID"))</f>
        <v/>
      </c>
      <c r="E604" s="45">
        <f>IF($C604="","",IFERROR(INDEX('Chain Program'!$D$6:$D$120,MATCH($C604,'Chain Program'!$A$6:$A$120,0)),"Unknown ID"))</f>
        <v/>
      </c>
      <c r="F604" s="60" t="n"/>
      <c r="G604" s="60" t="n"/>
      <c r="H604" s="56">
        <f>IF(OR($C604="",$A604=""),"",IF(COUNTIFS('Promo Calendar'!$A$6:$A$400,$C604,'Promo Calendar'!$D$6:$D$400,IF($G604="","All",$G604),'Promo Calendar'!$I$6:$I$400,"&lt;="&amp;$A604,'Promo Calendar'!$J$6:$J$400,"&gt;="&amp;$A604,'Promo Calendar'!$G$6:$G$400,"&gt;0")&gt;0,_xlfn.MINIFS('Promo Calendar'!$G$6:$G$400,'Promo Calendar'!$A$6:$A$400,$C604,'Promo Calendar'!$D$6:$D$400,IF($G604="","All",$G604),'Promo Calendar'!$I$6:$I$400,"&lt;="&amp;$A604,'Promo Calendar'!$J$6:$J$400,"&gt;="&amp;$A604,'Promo Calendar'!$G$6:$G$400,"&gt;0"),IF(COUNTIFS('Promo Calendar'!$A$6:$A$400,$C604,'Promo Calendar'!$D$6:$D$400,"All",'Promo Calendar'!$I$6:$I$400,"&lt;="&amp;$A604,'Promo Calendar'!$J$6:$J$400,"&gt;="&amp;$A604,'Promo Calendar'!$G$6:$G$400,"&gt;0")&gt;0,_xlfn.MINIFS('Promo Calendar'!$G$6:$G$400,'Promo Calendar'!$A$6:$A$400,$C604,'Promo Calendar'!$D$6:$D$400,"All",'Promo Calendar'!$I$6:$I$400,"&lt;="&amp;$A604,'Promo Calendar'!$J$6:$J$400,"&gt;="&amp;$A604,'Promo Calendar'!$G$6:$G$400,"&gt;0"),IFERROR(IF(INDEX('Chain Program'!$M$6:$M$120,MATCH($C604,'Chain Program'!$A$6:$A$120,0))="","Not set",INDEX('Chain Program'!$M$6:$M$120,MATCH($C604,'Chain Program'!$A$6:$A$120,0))),"Not set"))))</f>
        <v/>
      </c>
      <c r="I604" s="61" t="n"/>
      <c r="J604" s="45">
        <f>IF($I604="","",IF(NOT(ISNUMBER($H604)),"No plan price",IF(ABS($I604-$H604)&lt;0.005,"Match",IF($I604&gt;$H604,"Over plan","Under plan"))))</f>
        <v/>
      </c>
      <c r="K604" s="60" t="n"/>
      <c r="L604" s="60" t="n"/>
      <c r="M604" s="60" t="n"/>
      <c r="N604" s="60" t="n"/>
      <c r="O604" s="60" t="n"/>
      <c r="P604" s="62" t="n"/>
      <c r="Q604" s="62" t="n"/>
      <c r="R604" s="60" t="n"/>
      <c r="S604" s="59" t="n"/>
      <c r="T604" s="60" t="n"/>
      <c r="U604" s="59" t="n"/>
      <c r="V604" s="45">
        <f>IF(OR($A604="",$T604="",$T604="No Issue"),"",IF($T604="Resolved",IF($U604="","",$U604-$A604),TODAY()-$A604))</f>
        <v/>
      </c>
      <c r="W604" s="47">
        <f>IF(AND($C604&lt;&gt;"",$C604='Store History'!$C$4,OR('Store History'!$C$5="",$F604='Store History'!$C$5)),1,0)</f>
        <v/>
      </c>
      <c r="X604" s="47">
        <f>IF($W604=1,SUM($W604:$W$1005),"")</f>
        <v/>
      </c>
    </row>
    <row r="605">
      <c r="A605" s="59" t="n"/>
      <c r="B605" s="60" t="n"/>
      <c r="C605" s="60" t="n"/>
      <c r="D605" s="45">
        <f>IF($C605="","",IFERROR(INDEX('Chain Program'!$B$6:$B$120,MATCH($C605,'Chain Program'!$A$6:$A$120,0)),"Unknown ID"))</f>
        <v/>
      </c>
      <c r="E605" s="45">
        <f>IF($C605="","",IFERROR(INDEX('Chain Program'!$D$6:$D$120,MATCH($C605,'Chain Program'!$A$6:$A$120,0)),"Unknown ID"))</f>
        <v/>
      </c>
      <c r="F605" s="60" t="n"/>
      <c r="G605" s="60" t="n"/>
      <c r="H605" s="56">
        <f>IF(OR($C605="",$A605=""),"",IF(COUNTIFS('Promo Calendar'!$A$6:$A$400,$C605,'Promo Calendar'!$D$6:$D$400,IF($G605="","All",$G605),'Promo Calendar'!$I$6:$I$400,"&lt;="&amp;$A605,'Promo Calendar'!$J$6:$J$400,"&gt;="&amp;$A605,'Promo Calendar'!$G$6:$G$400,"&gt;0")&gt;0,_xlfn.MINIFS('Promo Calendar'!$G$6:$G$400,'Promo Calendar'!$A$6:$A$400,$C605,'Promo Calendar'!$D$6:$D$400,IF($G605="","All",$G605),'Promo Calendar'!$I$6:$I$400,"&lt;="&amp;$A605,'Promo Calendar'!$J$6:$J$400,"&gt;="&amp;$A605,'Promo Calendar'!$G$6:$G$400,"&gt;0"),IF(COUNTIFS('Promo Calendar'!$A$6:$A$400,$C605,'Promo Calendar'!$D$6:$D$400,"All",'Promo Calendar'!$I$6:$I$400,"&lt;="&amp;$A605,'Promo Calendar'!$J$6:$J$400,"&gt;="&amp;$A605,'Promo Calendar'!$G$6:$G$400,"&gt;0")&gt;0,_xlfn.MINIFS('Promo Calendar'!$G$6:$G$400,'Promo Calendar'!$A$6:$A$400,$C605,'Promo Calendar'!$D$6:$D$400,"All",'Promo Calendar'!$I$6:$I$400,"&lt;="&amp;$A605,'Promo Calendar'!$J$6:$J$400,"&gt;="&amp;$A605,'Promo Calendar'!$G$6:$G$400,"&gt;0"),IFERROR(IF(INDEX('Chain Program'!$M$6:$M$120,MATCH($C605,'Chain Program'!$A$6:$A$120,0))="","Not set",INDEX('Chain Program'!$M$6:$M$120,MATCH($C605,'Chain Program'!$A$6:$A$120,0))),"Not set"))))</f>
        <v/>
      </c>
      <c r="I605" s="61" t="n"/>
      <c r="J605" s="45">
        <f>IF($I605="","",IF(NOT(ISNUMBER($H605)),"No plan price",IF(ABS($I605-$H605)&lt;0.005,"Match",IF($I605&gt;$H605,"Over plan","Under plan"))))</f>
        <v/>
      </c>
      <c r="K605" s="60" t="n"/>
      <c r="L605" s="60" t="n"/>
      <c r="M605" s="60" t="n"/>
      <c r="N605" s="60" t="n"/>
      <c r="O605" s="60" t="n"/>
      <c r="P605" s="62" t="n"/>
      <c r="Q605" s="62" t="n"/>
      <c r="R605" s="60" t="n"/>
      <c r="S605" s="59" t="n"/>
      <c r="T605" s="60" t="n"/>
      <c r="U605" s="59" t="n"/>
      <c r="V605" s="45">
        <f>IF(OR($A605="",$T605="",$T605="No Issue"),"",IF($T605="Resolved",IF($U605="","",$U605-$A605),TODAY()-$A605))</f>
        <v/>
      </c>
      <c r="W605" s="47">
        <f>IF(AND($C605&lt;&gt;"",$C605='Store History'!$C$4,OR('Store History'!$C$5="",$F605='Store History'!$C$5)),1,0)</f>
        <v/>
      </c>
      <c r="X605" s="47">
        <f>IF($W605=1,SUM($W605:$W$1005),"")</f>
        <v/>
      </c>
    </row>
    <row r="606">
      <c r="A606" s="59" t="n"/>
      <c r="B606" s="60" t="n"/>
      <c r="C606" s="60" t="n"/>
      <c r="D606" s="45">
        <f>IF($C606="","",IFERROR(INDEX('Chain Program'!$B$6:$B$120,MATCH($C606,'Chain Program'!$A$6:$A$120,0)),"Unknown ID"))</f>
        <v/>
      </c>
      <c r="E606" s="45">
        <f>IF($C606="","",IFERROR(INDEX('Chain Program'!$D$6:$D$120,MATCH($C606,'Chain Program'!$A$6:$A$120,0)),"Unknown ID"))</f>
        <v/>
      </c>
      <c r="F606" s="60" t="n"/>
      <c r="G606" s="60" t="n"/>
      <c r="H606" s="56">
        <f>IF(OR($C606="",$A606=""),"",IF(COUNTIFS('Promo Calendar'!$A$6:$A$400,$C606,'Promo Calendar'!$D$6:$D$400,IF($G606="","All",$G606),'Promo Calendar'!$I$6:$I$400,"&lt;="&amp;$A606,'Promo Calendar'!$J$6:$J$400,"&gt;="&amp;$A606,'Promo Calendar'!$G$6:$G$400,"&gt;0")&gt;0,_xlfn.MINIFS('Promo Calendar'!$G$6:$G$400,'Promo Calendar'!$A$6:$A$400,$C606,'Promo Calendar'!$D$6:$D$400,IF($G606="","All",$G606),'Promo Calendar'!$I$6:$I$400,"&lt;="&amp;$A606,'Promo Calendar'!$J$6:$J$400,"&gt;="&amp;$A606,'Promo Calendar'!$G$6:$G$400,"&gt;0"),IF(COUNTIFS('Promo Calendar'!$A$6:$A$400,$C606,'Promo Calendar'!$D$6:$D$400,"All",'Promo Calendar'!$I$6:$I$400,"&lt;="&amp;$A606,'Promo Calendar'!$J$6:$J$400,"&gt;="&amp;$A606,'Promo Calendar'!$G$6:$G$400,"&gt;0")&gt;0,_xlfn.MINIFS('Promo Calendar'!$G$6:$G$400,'Promo Calendar'!$A$6:$A$400,$C606,'Promo Calendar'!$D$6:$D$400,"All",'Promo Calendar'!$I$6:$I$400,"&lt;="&amp;$A606,'Promo Calendar'!$J$6:$J$400,"&gt;="&amp;$A606,'Promo Calendar'!$G$6:$G$400,"&gt;0"),IFERROR(IF(INDEX('Chain Program'!$M$6:$M$120,MATCH($C606,'Chain Program'!$A$6:$A$120,0))="","Not set",INDEX('Chain Program'!$M$6:$M$120,MATCH($C606,'Chain Program'!$A$6:$A$120,0))),"Not set"))))</f>
        <v/>
      </c>
      <c r="I606" s="61" t="n"/>
      <c r="J606" s="45">
        <f>IF($I606="","",IF(NOT(ISNUMBER($H606)),"No plan price",IF(ABS($I606-$H606)&lt;0.005,"Match",IF($I606&gt;$H606,"Over plan","Under plan"))))</f>
        <v/>
      </c>
      <c r="K606" s="60" t="n"/>
      <c r="L606" s="60" t="n"/>
      <c r="M606" s="60" t="n"/>
      <c r="N606" s="60" t="n"/>
      <c r="O606" s="60" t="n"/>
      <c r="P606" s="62" t="n"/>
      <c r="Q606" s="62" t="n"/>
      <c r="R606" s="60" t="n"/>
      <c r="S606" s="59" t="n"/>
      <c r="T606" s="60" t="n"/>
      <c r="U606" s="59" t="n"/>
      <c r="V606" s="45">
        <f>IF(OR($A606="",$T606="",$T606="No Issue"),"",IF($T606="Resolved",IF($U606="","",$U606-$A606),TODAY()-$A606))</f>
        <v/>
      </c>
      <c r="W606" s="47">
        <f>IF(AND($C606&lt;&gt;"",$C606='Store History'!$C$4,OR('Store History'!$C$5="",$F606='Store History'!$C$5)),1,0)</f>
        <v/>
      </c>
      <c r="X606" s="47">
        <f>IF($W606=1,SUM($W606:$W$1005),"")</f>
        <v/>
      </c>
    </row>
    <row r="607">
      <c r="A607" s="59" t="n"/>
      <c r="B607" s="60" t="n"/>
      <c r="C607" s="60" t="n"/>
      <c r="D607" s="45">
        <f>IF($C607="","",IFERROR(INDEX('Chain Program'!$B$6:$B$120,MATCH($C607,'Chain Program'!$A$6:$A$120,0)),"Unknown ID"))</f>
        <v/>
      </c>
      <c r="E607" s="45">
        <f>IF($C607="","",IFERROR(INDEX('Chain Program'!$D$6:$D$120,MATCH($C607,'Chain Program'!$A$6:$A$120,0)),"Unknown ID"))</f>
        <v/>
      </c>
      <c r="F607" s="60" t="n"/>
      <c r="G607" s="60" t="n"/>
      <c r="H607" s="56">
        <f>IF(OR($C607="",$A607=""),"",IF(COUNTIFS('Promo Calendar'!$A$6:$A$400,$C607,'Promo Calendar'!$D$6:$D$400,IF($G607="","All",$G607),'Promo Calendar'!$I$6:$I$400,"&lt;="&amp;$A607,'Promo Calendar'!$J$6:$J$400,"&gt;="&amp;$A607,'Promo Calendar'!$G$6:$G$400,"&gt;0")&gt;0,_xlfn.MINIFS('Promo Calendar'!$G$6:$G$400,'Promo Calendar'!$A$6:$A$400,$C607,'Promo Calendar'!$D$6:$D$400,IF($G607="","All",$G607),'Promo Calendar'!$I$6:$I$400,"&lt;="&amp;$A607,'Promo Calendar'!$J$6:$J$400,"&gt;="&amp;$A607,'Promo Calendar'!$G$6:$G$400,"&gt;0"),IF(COUNTIFS('Promo Calendar'!$A$6:$A$400,$C607,'Promo Calendar'!$D$6:$D$400,"All",'Promo Calendar'!$I$6:$I$400,"&lt;="&amp;$A607,'Promo Calendar'!$J$6:$J$400,"&gt;="&amp;$A607,'Promo Calendar'!$G$6:$G$400,"&gt;0")&gt;0,_xlfn.MINIFS('Promo Calendar'!$G$6:$G$400,'Promo Calendar'!$A$6:$A$400,$C607,'Promo Calendar'!$D$6:$D$400,"All",'Promo Calendar'!$I$6:$I$400,"&lt;="&amp;$A607,'Promo Calendar'!$J$6:$J$400,"&gt;="&amp;$A607,'Promo Calendar'!$G$6:$G$400,"&gt;0"),IFERROR(IF(INDEX('Chain Program'!$M$6:$M$120,MATCH($C607,'Chain Program'!$A$6:$A$120,0))="","Not set",INDEX('Chain Program'!$M$6:$M$120,MATCH($C607,'Chain Program'!$A$6:$A$120,0))),"Not set"))))</f>
        <v/>
      </c>
      <c r="I607" s="61" t="n"/>
      <c r="J607" s="45">
        <f>IF($I607="","",IF(NOT(ISNUMBER($H607)),"No plan price",IF(ABS($I607-$H607)&lt;0.005,"Match",IF($I607&gt;$H607,"Over plan","Under plan"))))</f>
        <v/>
      </c>
      <c r="K607" s="60" t="n"/>
      <c r="L607" s="60" t="n"/>
      <c r="M607" s="60" t="n"/>
      <c r="N607" s="60" t="n"/>
      <c r="O607" s="60" t="n"/>
      <c r="P607" s="62" t="n"/>
      <c r="Q607" s="62" t="n"/>
      <c r="R607" s="60" t="n"/>
      <c r="S607" s="59" t="n"/>
      <c r="T607" s="60" t="n"/>
      <c r="U607" s="59" t="n"/>
      <c r="V607" s="45">
        <f>IF(OR($A607="",$T607="",$T607="No Issue"),"",IF($T607="Resolved",IF($U607="","",$U607-$A607),TODAY()-$A607))</f>
        <v/>
      </c>
      <c r="W607" s="47">
        <f>IF(AND($C607&lt;&gt;"",$C607='Store History'!$C$4,OR('Store History'!$C$5="",$F607='Store History'!$C$5)),1,0)</f>
        <v/>
      </c>
      <c r="X607" s="47">
        <f>IF($W607=1,SUM($W607:$W$1005),"")</f>
        <v/>
      </c>
    </row>
    <row r="608">
      <c r="A608" s="59" t="n"/>
      <c r="B608" s="60" t="n"/>
      <c r="C608" s="60" t="n"/>
      <c r="D608" s="45">
        <f>IF($C608="","",IFERROR(INDEX('Chain Program'!$B$6:$B$120,MATCH($C608,'Chain Program'!$A$6:$A$120,0)),"Unknown ID"))</f>
        <v/>
      </c>
      <c r="E608" s="45">
        <f>IF($C608="","",IFERROR(INDEX('Chain Program'!$D$6:$D$120,MATCH($C608,'Chain Program'!$A$6:$A$120,0)),"Unknown ID"))</f>
        <v/>
      </c>
      <c r="F608" s="60" t="n"/>
      <c r="G608" s="60" t="n"/>
      <c r="H608" s="56">
        <f>IF(OR($C608="",$A608=""),"",IF(COUNTIFS('Promo Calendar'!$A$6:$A$400,$C608,'Promo Calendar'!$D$6:$D$400,IF($G608="","All",$G608),'Promo Calendar'!$I$6:$I$400,"&lt;="&amp;$A608,'Promo Calendar'!$J$6:$J$400,"&gt;="&amp;$A608,'Promo Calendar'!$G$6:$G$400,"&gt;0")&gt;0,_xlfn.MINIFS('Promo Calendar'!$G$6:$G$400,'Promo Calendar'!$A$6:$A$400,$C608,'Promo Calendar'!$D$6:$D$400,IF($G608="","All",$G608),'Promo Calendar'!$I$6:$I$400,"&lt;="&amp;$A608,'Promo Calendar'!$J$6:$J$400,"&gt;="&amp;$A608,'Promo Calendar'!$G$6:$G$400,"&gt;0"),IF(COUNTIFS('Promo Calendar'!$A$6:$A$400,$C608,'Promo Calendar'!$D$6:$D$400,"All",'Promo Calendar'!$I$6:$I$400,"&lt;="&amp;$A608,'Promo Calendar'!$J$6:$J$400,"&gt;="&amp;$A608,'Promo Calendar'!$G$6:$G$400,"&gt;0")&gt;0,_xlfn.MINIFS('Promo Calendar'!$G$6:$G$400,'Promo Calendar'!$A$6:$A$400,$C608,'Promo Calendar'!$D$6:$D$400,"All",'Promo Calendar'!$I$6:$I$400,"&lt;="&amp;$A608,'Promo Calendar'!$J$6:$J$400,"&gt;="&amp;$A608,'Promo Calendar'!$G$6:$G$400,"&gt;0"),IFERROR(IF(INDEX('Chain Program'!$M$6:$M$120,MATCH($C608,'Chain Program'!$A$6:$A$120,0))="","Not set",INDEX('Chain Program'!$M$6:$M$120,MATCH($C608,'Chain Program'!$A$6:$A$120,0))),"Not set"))))</f>
        <v/>
      </c>
      <c r="I608" s="61" t="n"/>
      <c r="J608" s="45">
        <f>IF($I608="","",IF(NOT(ISNUMBER($H608)),"No plan price",IF(ABS($I608-$H608)&lt;0.005,"Match",IF($I608&gt;$H608,"Over plan","Under plan"))))</f>
        <v/>
      </c>
      <c r="K608" s="60" t="n"/>
      <c r="L608" s="60" t="n"/>
      <c r="M608" s="60" t="n"/>
      <c r="N608" s="60" t="n"/>
      <c r="O608" s="60" t="n"/>
      <c r="P608" s="62" t="n"/>
      <c r="Q608" s="62" t="n"/>
      <c r="R608" s="60" t="n"/>
      <c r="S608" s="59" t="n"/>
      <c r="T608" s="60" t="n"/>
      <c r="U608" s="59" t="n"/>
      <c r="V608" s="45">
        <f>IF(OR($A608="",$T608="",$T608="No Issue"),"",IF($T608="Resolved",IF($U608="","",$U608-$A608),TODAY()-$A608))</f>
        <v/>
      </c>
      <c r="W608" s="47">
        <f>IF(AND($C608&lt;&gt;"",$C608='Store History'!$C$4,OR('Store History'!$C$5="",$F608='Store History'!$C$5)),1,0)</f>
        <v/>
      </c>
      <c r="X608" s="47">
        <f>IF($W608=1,SUM($W608:$W$1005),"")</f>
        <v/>
      </c>
    </row>
    <row r="609">
      <c r="A609" s="59" t="n"/>
      <c r="B609" s="60" t="n"/>
      <c r="C609" s="60" t="n"/>
      <c r="D609" s="45">
        <f>IF($C609="","",IFERROR(INDEX('Chain Program'!$B$6:$B$120,MATCH($C609,'Chain Program'!$A$6:$A$120,0)),"Unknown ID"))</f>
        <v/>
      </c>
      <c r="E609" s="45">
        <f>IF($C609="","",IFERROR(INDEX('Chain Program'!$D$6:$D$120,MATCH($C609,'Chain Program'!$A$6:$A$120,0)),"Unknown ID"))</f>
        <v/>
      </c>
      <c r="F609" s="60" t="n"/>
      <c r="G609" s="60" t="n"/>
      <c r="H609" s="56">
        <f>IF(OR($C609="",$A609=""),"",IF(COUNTIFS('Promo Calendar'!$A$6:$A$400,$C609,'Promo Calendar'!$D$6:$D$400,IF($G609="","All",$G609),'Promo Calendar'!$I$6:$I$400,"&lt;="&amp;$A609,'Promo Calendar'!$J$6:$J$400,"&gt;="&amp;$A609,'Promo Calendar'!$G$6:$G$400,"&gt;0")&gt;0,_xlfn.MINIFS('Promo Calendar'!$G$6:$G$400,'Promo Calendar'!$A$6:$A$400,$C609,'Promo Calendar'!$D$6:$D$400,IF($G609="","All",$G609),'Promo Calendar'!$I$6:$I$400,"&lt;="&amp;$A609,'Promo Calendar'!$J$6:$J$400,"&gt;="&amp;$A609,'Promo Calendar'!$G$6:$G$400,"&gt;0"),IF(COUNTIFS('Promo Calendar'!$A$6:$A$400,$C609,'Promo Calendar'!$D$6:$D$400,"All",'Promo Calendar'!$I$6:$I$400,"&lt;="&amp;$A609,'Promo Calendar'!$J$6:$J$400,"&gt;="&amp;$A609,'Promo Calendar'!$G$6:$G$400,"&gt;0")&gt;0,_xlfn.MINIFS('Promo Calendar'!$G$6:$G$400,'Promo Calendar'!$A$6:$A$400,$C609,'Promo Calendar'!$D$6:$D$400,"All",'Promo Calendar'!$I$6:$I$400,"&lt;="&amp;$A609,'Promo Calendar'!$J$6:$J$400,"&gt;="&amp;$A609,'Promo Calendar'!$G$6:$G$400,"&gt;0"),IFERROR(IF(INDEX('Chain Program'!$M$6:$M$120,MATCH($C609,'Chain Program'!$A$6:$A$120,0))="","Not set",INDEX('Chain Program'!$M$6:$M$120,MATCH($C609,'Chain Program'!$A$6:$A$120,0))),"Not set"))))</f>
        <v/>
      </c>
      <c r="I609" s="61" t="n"/>
      <c r="J609" s="45">
        <f>IF($I609="","",IF(NOT(ISNUMBER($H609)),"No plan price",IF(ABS($I609-$H609)&lt;0.005,"Match",IF($I609&gt;$H609,"Over plan","Under plan"))))</f>
        <v/>
      </c>
      <c r="K609" s="60" t="n"/>
      <c r="L609" s="60" t="n"/>
      <c r="M609" s="60" t="n"/>
      <c r="N609" s="60" t="n"/>
      <c r="O609" s="60" t="n"/>
      <c r="P609" s="62" t="n"/>
      <c r="Q609" s="62" t="n"/>
      <c r="R609" s="60" t="n"/>
      <c r="S609" s="59" t="n"/>
      <c r="T609" s="60" t="n"/>
      <c r="U609" s="59" t="n"/>
      <c r="V609" s="45">
        <f>IF(OR($A609="",$T609="",$T609="No Issue"),"",IF($T609="Resolved",IF($U609="","",$U609-$A609),TODAY()-$A609))</f>
        <v/>
      </c>
      <c r="W609" s="47">
        <f>IF(AND($C609&lt;&gt;"",$C609='Store History'!$C$4,OR('Store History'!$C$5="",$F609='Store History'!$C$5)),1,0)</f>
        <v/>
      </c>
      <c r="X609" s="47">
        <f>IF($W609=1,SUM($W609:$W$1005),"")</f>
        <v/>
      </c>
    </row>
    <row r="610">
      <c r="A610" s="59" t="n"/>
      <c r="B610" s="60" t="n"/>
      <c r="C610" s="60" t="n"/>
      <c r="D610" s="45">
        <f>IF($C610="","",IFERROR(INDEX('Chain Program'!$B$6:$B$120,MATCH($C610,'Chain Program'!$A$6:$A$120,0)),"Unknown ID"))</f>
        <v/>
      </c>
      <c r="E610" s="45">
        <f>IF($C610="","",IFERROR(INDEX('Chain Program'!$D$6:$D$120,MATCH($C610,'Chain Program'!$A$6:$A$120,0)),"Unknown ID"))</f>
        <v/>
      </c>
      <c r="F610" s="60" t="n"/>
      <c r="G610" s="60" t="n"/>
      <c r="H610" s="56">
        <f>IF(OR($C610="",$A610=""),"",IF(COUNTIFS('Promo Calendar'!$A$6:$A$400,$C610,'Promo Calendar'!$D$6:$D$400,IF($G610="","All",$G610),'Promo Calendar'!$I$6:$I$400,"&lt;="&amp;$A610,'Promo Calendar'!$J$6:$J$400,"&gt;="&amp;$A610,'Promo Calendar'!$G$6:$G$400,"&gt;0")&gt;0,_xlfn.MINIFS('Promo Calendar'!$G$6:$G$400,'Promo Calendar'!$A$6:$A$400,$C610,'Promo Calendar'!$D$6:$D$400,IF($G610="","All",$G610),'Promo Calendar'!$I$6:$I$400,"&lt;="&amp;$A610,'Promo Calendar'!$J$6:$J$400,"&gt;="&amp;$A610,'Promo Calendar'!$G$6:$G$400,"&gt;0"),IF(COUNTIFS('Promo Calendar'!$A$6:$A$400,$C610,'Promo Calendar'!$D$6:$D$400,"All",'Promo Calendar'!$I$6:$I$400,"&lt;="&amp;$A610,'Promo Calendar'!$J$6:$J$400,"&gt;="&amp;$A610,'Promo Calendar'!$G$6:$G$400,"&gt;0")&gt;0,_xlfn.MINIFS('Promo Calendar'!$G$6:$G$400,'Promo Calendar'!$A$6:$A$400,$C610,'Promo Calendar'!$D$6:$D$400,"All",'Promo Calendar'!$I$6:$I$400,"&lt;="&amp;$A610,'Promo Calendar'!$J$6:$J$400,"&gt;="&amp;$A610,'Promo Calendar'!$G$6:$G$400,"&gt;0"),IFERROR(IF(INDEX('Chain Program'!$M$6:$M$120,MATCH($C610,'Chain Program'!$A$6:$A$120,0))="","Not set",INDEX('Chain Program'!$M$6:$M$120,MATCH($C610,'Chain Program'!$A$6:$A$120,0))),"Not set"))))</f>
        <v/>
      </c>
      <c r="I610" s="61" t="n"/>
      <c r="J610" s="45">
        <f>IF($I610="","",IF(NOT(ISNUMBER($H610)),"No plan price",IF(ABS($I610-$H610)&lt;0.005,"Match",IF($I610&gt;$H610,"Over plan","Under plan"))))</f>
        <v/>
      </c>
      <c r="K610" s="60" t="n"/>
      <c r="L610" s="60" t="n"/>
      <c r="M610" s="60" t="n"/>
      <c r="N610" s="60" t="n"/>
      <c r="O610" s="60" t="n"/>
      <c r="P610" s="62" t="n"/>
      <c r="Q610" s="62" t="n"/>
      <c r="R610" s="60" t="n"/>
      <c r="S610" s="59" t="n"/>
      <c r="T610" s="60" t="n"/>
      <c r="U610" s="59" t="n"/>
      <c r="V610" s="45">
        <f>IF(OR($A610="",$T610="",$T610="No Issue"),"",IF($T610="Resolved",IF($U610="","",$U610-$A610),TODAY()-$A610))</f>
        <v/>
      </c>
      <c r="W610" s="47">
        <f>IF(AND($C610&lt;&gt;"",$C610='Store History'!$C$4,OR('Store History'!$C$5="",$F610='Store History'!$C$5)),1,0)</f>
        <v/>
      </c>
      <c r="X610" s="47">
        <f>IF($W610=1,SUM($W610:$W$1005),"")</f>
        <v/>
      </c>
    </row>
    <row r="611">
      <c r="A611" s="59" t="n"/>
      <c r="B611" s="60" t="n"/>
      <c r="C611" s="60" t="n"/>
      <c r="D611" s="45">
        <f>IF($C611="","",IFERROR(INDEX('Chain Program'!$B$6:$B$120,MATCH($C611,'Chain Program'!$A$6:$A$120,0)),"Unknown ID"))</f>
        <v/>
      </c>
      <c r="E611" s="45">
        <f>IF($C611="","",IFERROR(INDEX('Chain Program'!$D$6:$D$120,MATCH($C611,'Chain Program'!$A$6:$A$120,0)),"Unknown ID"))</f>
        <v/>
      </c>
      <c r="F611" s="60" t="n"/>
      <c r="G611" s="60" t="n"/>
      <c r="H611" s="56">
        <f>IF(OR($C611="",$A611=""),"",IF(COUNTIFS('Promo Calendar'!$A$6:$A$400,$C611,'Promo Calendar'!$D$6:$D$400,IF($G611="","All",$G611),'Promo Calendar'!$I$6:$I$400,"&lt;="&amp;$A611,'Promo Calendar'!$J$6:$J$400,"&gt;="&amp;$A611,'Promo Calendar'!$G$6:$G$400,"&gt;0")&gt;0,_xlfn.MINIFS('Promo Calendar'!$G$6:$G$400,'Promo Calendar'!$A$6:$A$400,$C611,'Promo Calendar'!$D$6:$D$400,IF($G611="","All",$G611),'Promo Calendar'!$I$6:$I$400,"&lt;="&amp;$A611,'Promo Calendar'!$J$6:$J$400,"&gt;="&amp;$A611,'Promo Calendar'!$G$6:$G$400,"&gt;0"),IF(COUNTIFS('Promo Calendar'!$A$6:$A$400,$C611,'Promo Calendar'!$D$6:$D$400,"All",'Promo Calendar'!$I$6:$I$400,"&lt;="&amp;$A611,'Promo Calendar'!$J$6:$J$400,"&gt;="&amp;$A611,'Promo Calendar'!$G$6:$G$400,"&gt;0")&gt;0,_xlfn.MINIFS('Promo Calendar'!$G$6:$G$400,'Promo Calendar'!$A$6:$A$400,$C611,'Promo Calendar'!$D$6:$D$400,"All",'Promo Calendar'!$I$6:$I$400,"&lt;="&amp;$A611,'Promo Calendar'!$J$6:$J$400,"&gt;="&amp;$A611,'Promo Calendar'!$G$6:$G$400,"&gt;0"),IFERROR(IF(INDEX('Chain Program'!$M$6:$M$120,MATCH($C611,'Chain Program'!$A$6:$A$120,0))="","Not set",INDEX('Chain Program'!$M$6:$M$120,MATCH($C611,'Chain Program'!$A$6:$A$120,0))),"Not set"))))</f>
        <v/>
      </c>
      <c r="I611" s="61" t="n"/>
      <c r="J611" s="45">
        <f>IF($I611="","",IF(NOT(ISNUMBER($H611)),"No plan price",IF(ABS($I611-$H611)&lt;0.005,"Match",IF($I611&gt;$H611,"Over plan","Under plan"))))</f>
        <v/>
      </c>
      <c r="K611" s="60" t="n"/>
      <c r="L611" s="60" t="n"/>
      <c r="M611" s="60" t="n"/>
      <c r="N611" s="60" t="n"/>
      <c r="O611" s="60" t="n"/>
      <c r="P611" s="62" t="n"/>
      <c r="Q611" s="62" t="n"/>
      <c r="R611" s="60" t="n"/>
      <c r="S611" s="59" t="n"/>
      <c r="T611" s="60" t="n"/>
      <c r="U611" s="59" t="n"/>
      <c r="V611" s="45">
        <f>IF(OR($A611="",$T611="",$T611="No Issue"),"",IF($T611="Resolved",IF($U611="","",$U611-$A611),TODAY()-$A611))</f>
        <v/>
      </c>
      <c r="W611" s="47">
        <f>IF(AND($C611&lt;&gt;"",$C611='Store History'!$C$4,OR('Store History'!$C$5="",$F611='Store History'!$C$5)),1,0)</f>
        <v/>
      </c>
      <c r="X611" s="47">
        <f>IF($W611=1,SUM($W611:$W$1005),"")</f>
        <v/>
      </c>
    </row>
    <row r="612">
      <c r="A612" s="59" t="n"/>
      <c r="B612" s="60" t="n"/>
      <c r="C612" s="60" t="n"/>
      <c r="D612" s="45">
        <f>IF($C612="","",IFERROR(INDEX('Chain Program'!$B$6:$B$120,MATCH($C612,'Chain Program'!$A$6:$A$120,0)),"Unknown ID"))</f>
        <v/>
      </c>
      <c r="E612" s="45">
        <f>IF($C612="","",IFERROR(INDEX('Chain Program'!$D$6:$D$120,MATCH($C612,'Chain Program'!$A$6:$A$120,0)),"Unknown ID"))</f>
        <v/>
      </c>
      <c r="F612" s="60" t="n"/>
      <c r="G612" s="60" t="n"/>
      <c r="H612" s="56">
        <f>IF(OR($C612="",$A612=""),"",IF(COUNTIFS('Promo Calendar'!$A$6:$A$400,$C612,'Promo Calendar'!$D$6:$D$400,IF($G612="","All",$G612),'Promo Calendar'!$I$6:$I$400,"&lt;="&amp;$A612,'Promo Calendar'!$J$6:$J$400,"&gt;="&amp;$A612,'Promo Calendar'!$G$6:$G$400,"&gt;0")&gt;0,_xlfn.MINIFS('Promo Calendar'!$G$6:$G$400,'Promo Calendar'!$A$6:$A$400,$C612,'Promo Calendar'!$D$6:$D$400,IF($G612="","All",$G612),'Promo Calendar'!$I$6:$I$400,"&lt;="&amp;$A612,'Promo Calendar'!$J$6:$J$400,"&gt;="&amp;$A612,'Promo Calendar'!$G$6:$G$400,"&gt;0"),IF(COUNTIFS('Promo Calendar'!$A$6:$A$400,$C612,'Promo Calendar'!$D$6:$D$400,"All",'Promo Calendar'!$I$6:$I$400,"&lt;="&amp;$A612,'Promo Calendar'!$J$6:$J$400,"&gt;="&amp;$A612,'Promo Calendar'!$G$6:$G$400,"&gt;0")&gt;0,_xlfn.MINIFS('Promo Calendar'!$G$6:$G$400,'Promo Calendar'!$A$6:$A$400,$C612,'Promo Calendar'!$D$6:$D$400,"All",'Promo Calendar'!$I$6:$I$400,"&lt;="&amp;$A612,'Promo Calendar'!$J$6:$J$400,"&gt;="&amp;$A612,'Promo Calendar'!$G$6:$G$400,"&gt;0"),IFERROR(IF(INDEX('Chain Program'!$M$6:$M$120,MATCH($C612,'Chain Program'!$A$6:$A$120,0))="","Not set",INDEX('Chain Program'!$M$6:$M$120,MATCH($C612,'Chain Program'!$A$6:$A$120,0))),"Not set"))))</f>
        <v/>
      </c>
      <c r="I612" s="61" t="n"/>
      <c r="J612" s="45">
        <f>IF($I612="","",IF(NOT(ISNUMBER($H612)),"No plan price",IF(ABS($I612-$H612)&lt;0.005,"Match",IF($I612&gt;$H612,"Over plan","Under plan"))))</f>
        <v/>
      </c>
      <c r="K612" s="60" t="n"/>
      <c r="L612" s="60" t="n"/>
      <c r="M612" s="60" t="n"/>
      <c r="N612" s="60" t="n"/>
      <c r="O612" s="60" t="n"/>
      <c r="P612" s="62" t="n"/>
      <c r="Q612" s="62" t="n"/>
      <c r="R612" s="60" t="n"/>
      <c r="S612" s="59" t="n"/>
      <c r="T612" s="60" t="n"/>
      <c r="U612" s="59" t="n"/>
      <c r="V612" s="45">
        <f>IF(OR($A612="",$T612="",$T612="No Issue"),"",IF($T612="Resolved",IF($U612="","",$U612-$A612),TODAY()-$A612))</f>
        <v/>
      </c>
      <c r="W612" s="47">
        <f>IF(AND($C612&lt;&gt;"",$C612='Store History'!$C$4,OR('Store History'!$C$5="",$F612='Store History'!$C$5)),1,0)</f>
        <v/>
      </c>
      <c r="X612" s="47">
        <f>IF($W612=1,SUM($W612:$W$1005),"")</f>
        <v/>
      </c>
    </row>
    <row r="613">
      <c r="A613" s="59" t="n"/>
      <c r="B613" s="60" t="n"/>
      <c r="C613" s="60" t="n"/>
      <c r="D613" s="45">
        <f>IF($C613="","",IFERROR(INDEX('Chain Program'!$B$6:$B$120,MATCH($C613,'Chain Program'!$A$6:$A$120,0)),"Unknown ID"))</f>
        <v/>
      </c>
      <c r="E613" s="45">
        <f>IF($C613="","",IFERROR(INDEX('Chain Program'!$D$6:$D$120,MATCH($C613,'Chain Program'!$A$6:$A$120,0)),"Unknown ID"))</f>
        <v/>
      </c>
      <c r="F613" s="60" t="n"/>
      <c r="G613" s="60" t="n"/>
      <c r="H613" s="56">
        <f>IF(OR($C613="",$A613=""),"",IF(COUNTIFS('Promo Calendar'!$A$6:$A$400,$C613,'Promo Calendar'!$D$6:$D$400,IF($G613="","All",$G613),'Promo Calendar'!$I$6:$I$400,"&lt;="&amp;$A613,'Promo Calendar'!$J$6:$J$400,"&gt;="&amp;$A613,'Promo Calendar'!$G$6:$G$400,"&gt;0")&gt;0,_xlfn.MINIFS('Promo Calendar'!$G$6:$G$400,'Promo Calendar'!$A$6:$A$400,$C613,'Promo Calendar'!$D$6:$D$400,IF($G613="","All",$G613),'Promo Calendar'!$I$6:$I$400,"&lt;="&amp;$A613,'Promo Calendar'!$J$6:$J$400,"&gt;="&amp;$A613,'Promo Calendar'!$G$6:$G$400,"&gt;0"),IF(COUNTIFS('Promo Calendar'!$A$6:$A$400,$C613,'Promo Calendar'!$D$6:$D$400,"All",'Promo Calendar'!$I$6:$I$400,"&lt;="&amp;$A613,'Promo Calendar'!$J$6:$J$400,"&gt;="&amp;$A613,'Promo Calendar'!$G$6:$G$400,"&gt;0")&gt;0,_xlfn.MINIFS('Promo Calendar'!$G$6:$G$400,'Promo Calendar'!$A$6:$A$400,$C613,'Promo Calendar'!$D$6:$D$400,"All",'Promo Calendar'!$I$6:$I$400,"&lt;="&amp;$A613,'Promo Calendar'!$J$6:$J$400,"&gt;="&amp;$A613,'Promo Calendar'!$G$6:$G$400,"&gt;0"),IFERROR(IF(INDEX('Chain Program'!$M$6:$M$120,MATCH($C613,'Chain Program'!$A$6:$A$120,0))="","Not set",INDEX('Chain Program'!$M$6:$M$120,MATCH($C613,'Chain Program'!$A$6:$A$120,0))),"Not set"))))</f>
        <v/>
      </c>
      <c r="I613" s="61" t="n"/>
      <c r="J613" s="45">
        <f>IF($I613="","",IF(NOT(ISNUMBER($H613)),"No plan price",IF(ABS($I613-$H613)&lt;0.005,"Match",IF($I613&gt;$H613,"Over plan","Under plan"))))</f>
        <v/>
      </c>
      <c r="K613" s="60" t="n"/>
      <c r="L613" s="60" t="n"/>
      <c r="M613" s="60" t="n"/>
      <c r="N613" s="60" t="n"/>
      <c r="O613" s="60" t="n"/>
      <c r="P613" s="62" t="n"/>
      <c r="Q613" s="62" t="n"/>
      <c r="R613" s="60" t="n"/>
      <c r="S613" s="59" t="n"/>
      <c r="T613" s="60" t="n"/>
      <c r="U613" s="59" t="n"/>
      <c r="V613" s="45">
        <f>IF(OR($A613="",$T613="",$T613="No Issue"),"",IF($T613="Resolved",IF($U613="","",$U613-$A613),TODAY()-$A613))</f>
        <v/>
      </c>
      <c r="W613" s="47">
        <f>IF(AND($C613&lt;&gt;"",$C613='Store History'!$C$4,OR('Store History'!$C$5="",$F613='Store History'!$C$5)),1,0)</f>
        <v/>
      </c>
      <c r="X613" s="47">
        <f>IF($W613=1,SUM($W613:$W$1005),"")</f>
        <v/>
      </c>
    </row>
    <row r="614">
      <c r="A614" s="59" t="n"/>
      <c r="B614" s="60" t="n"/>
      <c r="C614" s="60" t="n"/>
      <c r="D614" s="45">
        <f>IF($C614="","",IFERROR(INDEX('Chain Program'!$B$6:$B$120,MATCH($C614,'Chain Program'!$A$6:$A$120,0)),"Unknown ID"))</f>
        <v/>
      </c>
      <c r="E614" s="45">
        <f>IF($C614="","",IFERROR(INDEX('Chain Program'!$D$6:$D$120,MATCH($C614,'Chain Program'!$A$6:$A$120,0)),"Unknown ID"))</f>
        <v/>
      </c>
      <c r="F614" s="60" t="n"/>
      <c r="G614" s="60" t="n"/>
      <c r="H614" s="56">
        <f>IF(OR($C614="",$A614=""),"",IF(COUNTIFS('Promo Calendar'!$A$6:$A$400,$C614,'Promo Calendar'!$D$6:$D$400,IF($G614="","All",$G614),'Promo Calendar'!$I$6:$I$400,"&lt;="&amp;$A614,'Promo Calendar'!$J$6:$J$400,"&gt;="&amp;$A614,'Promo Calendar'!$G$6:$G$400,"&gt;0")&gt;0,_xlfn.MINIFS('Promo Calendar'!$G$6:$G$400,'Promo Calendar'!$A$6:$A$400,$C614,'Promo Calendar'!$D$6:$D$400,IF($G614="","All",$G614),'Promo Calendar'!$I$6:$I$400,"&lt;="&amp;$A614,'Promo Calendar'!$J$6:$J$400,"&gt;="&amp;$A614,'Promo Calendar'!$G$6:$G$400,"&gt;0"),IF(COUNTIFS('Promo Calendar'!$A$6:$A$400,$C614,'Promo Calendar'!$D$6:$D$400,"All",'Promo Calendar'!$I$6:$I$400,"&lt;="&amp;$A614,'Promo Calendar'!$J$6:$J$400,"&gt;="&amp;$A614,'Promo Calendar'!$G$6:$G$400,"&gt;0")&gt;0,_xlfn.MINIFS('Promo Calendar'!$G$6:$G$400,'Promo Calendar'!$A$6:$A$400,$C614,'Promo Calendar'!$D$6:$D$400,"All",'Promo Calendar'!$I$6:$I$400,"&lt;="&amp;$A614,'Promo Calendar'!$J$6:$J$400,"&gt;="&amp;$A614,'Promo Calendar'!$G$6:$G$400,"&gt;0"),IFERROR(IF(INDEX('Chain Program'!$M$6:$M$120,MATCH($C614,'Chain Program'!$A$6:$A$120,0))="","Not set",INDEX('Chain Program'!$M$6:$M$120,MATCH($C614,'Chain Program'!$A$6:$A$120,0))),"Not set"))))</f>
        <v/>
      </c>
      <c r="I614" s="61" t="n"/>
      <c r="J614" s="45">
        <f>IF($I614="","",IF(NOT(ISNUMBER($H614)),"No plan price",IF(ABS($I614-$H614)&lt;0.005,"Match",IF($I614&gt;$H614,"Over plan","Under plan"))))</f>
        <v/>
      </c>
      <c r="K614" s="60" t="n"/>
      <c r="L614" s="60" t="n"/>
      <c r="M614" s="60" t="n"/>
      <c r="N614" s="60" t="n"/>
      <c r="O614" s="60" t="n"/>
      <c r="P614" s="62" t="n"/>
      <c r="Q614" s="62" t="n"/>
      <c r="R614" s="60" t="n"/>
      <c r="S614" s="59" t="n"/>
      <c r="T614" s="60" t="n"/>
      <c r="U614" s="59" t="n"/>
      <c r="V614" s="45">
        <f>IF(OR($A614="",$T614="",$T614="No Issue"),"",IF($T614="Resolved",IF($U614="","",$U614-$A614),TODAY()-$A614))</f>
        <v/>
      </c>
      <c r="W614" s="47">
        <f>IF(AND($C614&lt;&gt;"",$C614='Store History'!$C$4,OR('Store History'!$C$5="",$F614='Store History'!$C$5)),1,0)</f>
        <v/>
      </c>
      <c r="X614" s="47">
        <f>IF($W614=1,SUM($W614:$W$1005),"")</f>
        <v/>
      </c>
    </row>
    <row r="615">
      <c r="A615" s="59" t="n"/>
      <c r="B615" s="60" t="n"/>
      <c r="C615" s="60" t="n"/>
      <c r="D615" s="45">
        <f>IF($C615="","",IFERROR(INDEX('Chain Program'!$B$6:$B$120,MATCH($C615,'Chain Program'!$A$6:$A$120,0)),"Unknown ID"))</f>
        <v/>
      </c>
      <c r="E615" s="45">
        <f>IF($C615="","",IFERROR(INDEX('Chain Program'!$D$6:$D$120,MATCH($C615,'Chain Program'!$A$6:$A$120,0)),"Unknown ID"))</f>
        <v/>
      </c>
      <c r="F615" s="60" t="n"/>
      <c r="G615" s="60" t="n"/>
      <c r="H615" s="56">
        <f>IF(OR($C615="",$A615=""),"",IF(COUNTIFS('Promo Calendar'!$A$6:$A$400,$C615,'Promo Calendar'!$D$6:$D$400,IF($G615="","All",$G615),'Promo Calendar'!$I$6:$I$400,"&lt;="&amp;$A615,'Promo Calendar'!$J$6:$J$400,"&gt;="&amp;$A615,'Promo Calendar'!$G$6:$G$400,"&gt;0")&gt;0,_xlfn.MINIFS('Promo Calendar'!$G$6:$G$400,'Promo Calendar'!$A$6:$A$400,$C615,'Promo Calendar'!$D$6:$D$400,IF($G615="","All",$G615),'Promo Calendar'!$I$6:$I$400,"&lt;="&amp;$A615,'Promo Calendar'!$J$6:$J$400,"&gt;="&amp;$A615,'Promo Calendar'!$G$6:$G$400,"&gt;0"),IF(COUNTIFS('Promo Calendar'!$A$6:$A$400,$C615,'Promo Calendar'!$D$6:$D$400,"All",'Promo Calendar'!$I$6:$I$400,"&lt;="&amp;$A615,'Promo Calendar'!$J$6:$J$400,"&gt;="&amp;$A615,'Promo Calendar'!$G$6:$G$400,"&gt;0")&gt;0,_xlfn.MINIFS('Promo Calendar'!$G$6:$G$400,'Promo Calendar'!$A$6:$A$400,$C615,'Promo Calendar'!$D$6:$D$400,"All",'Promo Calendar'!$I$6:$I$400,"&lt;="&amp;$A615,'Promo Calendar'!$J$6:$J$400,"&gt;="&amp;$A615,'Promo Calendar'!$G$6:$G$400,"&gt;0"),IFERROR(IF(INDEX('Chain Program'!$M$6:$M$120,MATCH($C615,'Chain Program'!$A$6:$A$120,0))="","Not set",INDEX('Chain Program'!$M$6:$M$120,MATCH($C615,'Chain Program'!$A$6:$A$120,0))),"Not set"))))</f>
        <v/>
      </c>
      <c r="I615" s="61" t="n"/>
      <c r="J615" s="45">
        <f>IF($I615="","",IF(NOT(ISNUMBER($H615)),"No plan price",IF(ABS($I615-$H615)&lt;0.005,"Match",IF($I615&gt;$H615,"Over plan","Under plan"))))</f>
        <v/>
      </c>
      <c r="K615" s="60" t="n"/>
      <c r="L615" s="60" t="n"/>
      <c r="M615" s="60" t="n"/>
      <c r="N615" s="60" t="n"/>
      <c r="O615" s="60" t="n"/>
      <c r="P615" s="62" t="n"/>
      <c r="Q615" s="62" t="n"/>
      <c r="R615" s="60" t="n"/>
      <c r="S615" s="59" t="n"/>
      <c r="T615" s="60" t="n"/>
      <c r="U615" s="59" t="n"/>
      <c r="V615" s="45">
        <f>IF(OR($A615="",$T615="",$T615="No Issue"),"",IF($T615="Resolved",IF($U615="","",$U615-$A615),TODAY()-$A615))</f>
        <v/>
      </c>
      <c r="W615" s="47">
        <f>IF(AND($C615&lt;&gt;"",$C615='Store History'!$C$4,OR('Store History'!$C$5="",$F615='Store History'!$C$5)),1,0)</f>
        <v/>
      </c>
      <c r="X615" s="47">
        <f>IF($W615=1,SUM($W615:$W$1005),"")</f>
        <v/>
      </c>
    </row>
    <row r="616">
      <c r="A616" s="59" t="n"/>
      <c r="B616" s="60" t="n"/>
      <c r="C616" s="60" t="n"/>
      <c r="D616" s="45">
        <f>IF($C616="","",IFERROR(INDEX('Chain Program'!$B$6:$B$120,MATCH($C616,'Chain Program'!$A$6:$A$120,0)),"Unknown ID"))</f>
        <v/>
      </c>
      <c r="E616" s="45">
        <f>IF($C616="","",IFERROR(INDEX('Chain Program'!$D$6:$D$120,MATCH($C616,'Chain Program'!$A$6:$A$120,0)),"Unknown ID"))</f>
        <v/>
      </c>
      <c r="F616" s="60" t="n"/>
      <c r="G616" s="60" t="n"/>
      <c r="H616" s="56">
        <f>IF(OR($C616="",$A616=""),"",IF(COUNTIFS('Promo Calendar'!$A$6:$A$400,$C616,'Promo Calendar'!$D$6:$D$400,IF($G616="","All",$G616),'Promo Calendar'!$I$6:$I$400,"&lt;="&amp;$A616,'Promo Calendar'!$J$6:$J$400,"&gt;="&amp;$A616,'Promo Calendar'!$G$6:$G$400,"&gt;0")&gt;0,_xlfn.MINIFS('Promo Calendar'!$G$6:$G$400,'Promo Calendar'!$A$6:$A$400,$C616,'Promo Calendar'!$D$6:$D$400,IF($G616="","All",$G616),'Promo Calendar'!$I$6:$I$400,"&lt;="&amp;$A616,'Promo Calendar'!$J$6:$J$400,"&gt;="&amp;$A616,'Promo Calendar'!$G$6:$G$400,"&gt;0"),IF(COUNTIFS('Promo Calendar'!$A$6:$A$400,$C616,'Promo Calendar'!$D$6:$D$400,"All",'Promo Calendar'!$I$6:$I$400,"&lt;="&amp;$A616,'Promo Calendar'!$J$6:$J$400,"&gt;="&amp;$A616,'Promo Calendar'!$G$6:$G$400,"&gt;0")&gt;0,_xlfn.MINIFS('Promo Calendar'!$G$6:$G$400,'Promo Calendar'!$A$6:$A$400,$C616,'Promo Calendar'!$D$6:$D$400,"All",'Promo Calendar'!$I$6:$I$400,"&lt;="&amp;$A616,'Promo Calendar'!$J$6:$J$400,"&gt;="&amp;$A616,'Promo Calendar'!$G$6:$G$400,"&gt;0"),IFERROR(IF(INDEX('Chain Program'!$M$6:$M$120,MATCH($C616,'Chain Program'!$A$6:$A$120,0))="","Not set",INDEX('Chain Program'!$M$6:$M$120,MATCH($C616,'Chain Program'!$A$6:$A$120,0))),"Not set"))))</f>
        <v/>
      </c>
      <c r="I616" s="61" t="n"/>
      <c r="J616" s="45">
        <f>IF($I616="","",IF(NOT(ISNUMBER($H616)),"No plan price",IF(ABS($I616-$H616)&lt;0.005,"Match",IF($I616&gt;$H616,"Over plan","Under plan"))))</f>
        <v/>
      </c>
      <c r="K616" s="60" t="n"/>
      <c r="L616" s="60" t="n"/>
      <c r="M616" s="60" t="n"/>
      <c r="N616" s="60" t="n"/>
      <c r="O616" s="60" t="n"/>
      <c r="P616" s="62" t="n"/>
      <c r="Q616" s="62" t="n"/>
      <c r="R616" s="60" t="n"/>
      <c r="S616" s="59" t="n"/>
      <c r="T616" s="60" t="n"/>
      <c r="U616" s="59" t="n"/>
      <c r="V616" s="45">
        <f>IF(OR($A616="",$T616="",$T616="No Issue"),"",IF($T616="Resolved",IF($U616="","",$U616-$A616),TODAY()-$A616))</f>
        <v/>
      </c>
      <c r="W616" s="47">
        <f>IF(AND($C616&lt;&gt;"",$C616='Store History'!$C$4,OR('Store History'!$C$5="",$F616='Store History'!$C$5)),1,0)</f>
        <v/>
      </c>
      <c r="X616" s="47">
        <f>IF($W616=1,SUM($W616:$W$1005),"")</f>
        <v/>
      </c>
    </row>
    <row r="617">
      <c r="A617" s="59" t="n"/>
      <c r="B617" s="60" t="n"/>
      <c r="C617" s="60" t="n"/>
      <c r="D617" s="45">
        <f>IF($C617="","",IFERROR(INDEX('Chain Program'!$B$6:$B$120,MATCH($C617,'Chain Program'!$A$6:$A$120,0)),"Unknown ID"))</f>
        <v/>
      </c>
      <c r="E617" s="45">
        <f>IF($C617="","",IFERROR(INDEX('Chain Program'!$D$6:$D$120,MATCH($C617,'Chain Program'!$A$6:$A$120,0)),"Unknown ID"))</f>
        <v/>
      </c>
      <c r="F617" s="60" t="n"/>
      <c r="G617" s="60" t="n"/>
      <c r="H617" s="56">
        <f>IF(OR($C617="",$A617=""),"",IF(COUNTIFS('Promo Calendar'!$A$6:$A$400,$C617,'Promo Calendar'!$D$6:$D$400,IF($G617="","All",$G617),'Promo Calendar'!$I$6:$I$400,"&lt;="&amp;$A617,'Promo Calendar'!$J$6:$J$400,"&gt;="&amp;$A617,'Promo Calendar'!$G$6:$G$400,"&gt;0")&gt;0,_xlfn.MINIFS('Promo Calendar'!$G$6:$G$400,'Promo Calendar'!$A$6:$A$400,$C617,'Promo Calendar'!$D$6:$D$400,IF($G617="","All",$G617),'Promo Calendar'!$I$6:$I$400,"&lt;="&amp;$A617,'Promo Calendar'!$J$6:$J$400,"&gt;="&amp;$A617,'Promo Calendar'!$G$6:$G$400,"&gt;0"),IF(COUNTIFS('Promo Calendar'!$A$6:$A$400,$C617,'Promo Calendar'!$D$6:$D$400,"All",'Promo Calendar'!$I$6:$I$400,"&lt;="&amp;$A617,'Promo Calendar'!$J$6:$J$400,"&gt;="&amp;$A617,'Promo Calendar'!$G$6:$G$400,"&gt;0")&gt;0,_xlfn.MINIFS('Promo Calendar'!$G$6:$G$400,'Promo Calendar'!$A$6:$A$400,$C617,'Promo Calendar'!$D$6:$D$400,"All",'Promo Calendar'!$I$6:$I$400,"&lt;="&amp;$A617,'Promo Calendar'!$J$6:$J$400,"&gt;="&amp;$A617,'Promo Calendar'!$G$6:$G$400,"&gt;0"),IFERROR(IF(INDEX('Chain Program'!$M$6:$M$120,MATCH($C617,'Chain Program'!$A$6:$A$120,0))="","Not set",INDEX('Chain Program'!$M$6:$M$120,MATCH($C617,'Chain Program'!$A$6:$A$120,0))),"Not set"))))</f>
        <v/>
      </c>
      <c r="I617" s="61" t="n"/>
      <c r="J617" s="45">
        <f>IF($I617="","",IF(NOT(ISNUMBER($H617)),"No plan price",IF(ABS($I617-$H617)&lt;0.005,"Match",IF($I617&gt;$H617,"Over plan","Under plan"))))</f>
        <v/>
      </c>
      <c r="K617" s="60" t="n"/>
      <c r="L617" s="60" t="n"/>
      <c r="M617" s="60" t="n"/>
      <c r="N617" s="60" t="n"/>
      <c r="O617" s="60" t="n"/>
      <c r="P617" s="62" t="n"/>
      <c r="Q617" s="62" t="n"/>
      <c r="R617" s="60" t="n"/>
      <c r="S617" s="59" t="n"/>
      <c r="T617" s="60" t="n"/>
      <c r="U617" s="59" t="n"/>
      <c r="V617" s="45">
        <f>IF(OR($A617="",$T617="",$T617="No Issue"),"",IF($T617="Resolved",IF($U617="","",$U617-$A617),TODAY()-$A617))</f>
        <v/>
      </c>
      <c r="W617" s="47">
        <f>IF(AND($C617&lt;&gt;"",$C617='Store History'!$C$4,OR('Store History'!$C$5="",$F617='Store History'!$C$5)),1,0)</f>
        <v/>
      </c>
      <c r="X617" s="47">
        <f>IF($W617=1,SUM($W617:$W$1005),"")</f>
        <v/>
      </c>
    </row>
    <row r="618">
      <c r="A618" s="59" t="n"/>
      <c r="B618" s="60" t="n"/>
      <c r="C618" s="60" t="n"/>
      <c r="D618" s="45">
        <f>IF($C618="","",IFERROR(INDEX('Chain Program'!$B$6:$B$120,MATCH($C618,'Chain Program'!$A$6:$A$120,0)),"Unknown ID"))</f>
        <v/>
      </c>
      <c r="E618" s="45">
        <f>IF($C618="","",IFERROR(INDEX('Chain Program'!$D$6:$D$120,MATCH($C618,'Chain Program'!$A$6:$A$120,0)),"Unknown ID"))</f>
        <v/>
      </c>
      <c r="F618" s="60" t="n"/>
      <c r="G618" s="60" t="n"/>
      <c r="H618" s="56">
        <f>IF(OR($C618="",$A618=""),"",IF(COUNTIFS('Promo Calendar'!$A$6:$A$400,$C618,'Promo Calendar'!$D$6:$D$400,IF($G618="","All",$G618),'Promo Calendar'!$I$6:$I$400,"&lt;="&amp;$A618,'Promo Calendar'!$J$6:$J$400,"&gt;="&amp;$A618,'Promo Calendar'!$G$6:$G$400,"&gt;0")&gt;0,_xlfn.MINIFS('Promo Calendar'!$G$6:$G$400,'Promo Calendar'!$A$6:$A$400,$C618,'Promo Calendar'!$D$6:$D$400,IF($G618="","All",$G618),'Promo Calendar'!$I$6:$I$400,"&lt;="&amp;$A618,'Promo Calendar'!$J$6:$J$400,"&gt;="&amp;$A618,'Promo Calendar'!$G$6:$G$400,"&gt;0"),IF(COUNTIFS('Promo Calendar'!$A$6:$A$400,$C618,'Promo Calendar'!$D$6:$D$400,"All",'Promo Calendar'!$I$6:$I$400,"&lt;="&amp;$A618,'Promo Calendar'!$J$6:$J$400,"&gt;="&amp;$A618,'Promo Calendar'!$G$6:$G$400,"&gt;0")&gt;0,_xlfn.MINIFS('Promo Calendar'!$G$6:$G$400,'Promo Calendar'!$A$6:$A$400,$C618,'Promo Calendar'!$D$6:$D$400,"All",'Promo Calendar'!$I$6:$I$400,"&lt;="&amp;$A618,'Promo Calendar'!$J$6:$J$400,"&gt;="&amp;$A618,'Promo Calendar'!$G$6:$G$400,"&gt;0"),IFERROR(IF(INDEX('Chain Program'!$M$6:$M$120,MATCH($C618,'Chain Program'!$A$6:$A$120,0))="","Not set",INDEX('Chain Program'!$M$6:$M$120,MATCH($C618,'Chain Program'!$A$6:$A$120,0))),"Not set"))))</f>
        <v/>
      </c>
      <c r="I618" s="61" t="n"/>
      <c r="J618" s="45">
        <f>IF($I618="","",IF(NOT(ISNUMBER($H618)),"No plan price",IF(ABS($I618-$H618)&lt;0.005,"Match",IF($I618&gt;$H618,"Over plan","Under plan"))))</f>
        <v/>
      </c>
      <c r="K618" s="60" t="n"/>
      <c r="L618" s="60" t="n"/>
      <c r="M618" s="60" t="n"/>
      <c r="N618" s="60" t="n"/>
      <c r="O618" s="60" t="n"/>
      <c r="P618" s="62" t="n"/>
      <c r="Q618" s="62" t="n"/>
      <c r="R618" s="60" t="n"/>
      <c r="S618" s="59" t="n"/>
      <c r="T618" s="60" t="n"/>
      <c r="U618" s="59" t="n"/>
      <c r="V618" s="45">
        <f>IF(OR($A618="",$T618="",$T618="No Issue"),"",IF($T618="Resolved",IF($U618="","",$U618-$A618),TODAY()-$A618))</f>
        <v/>
      </c>
      <c r="W618" s="47">
        <f>IF(AND($C618&lt;&gt;"",$C618='Store History'!$C$4,OR('Store History'!$C$5="",$F618='Store History'!$C$5)),1,0)</f>
        <v/>
      </c>
      <c r="X618" s="47">
        <f>IF($W618=1,SUM($W618:$W$1005),"")</f>
        <v/>
      </c>
    </row>
    <row r="619">
      <c r="A619" s="59" t="n"/>
      <c r="B619" s="60" t="n"/>
      <c r="C619" s="60" t="n"/>
      <c r="D619" s="45">
        <f>IF($C619="","",IFERROR(INDEX('Chain Program'!$B$6:$B$120,MATCH($C619,'Chain Program'!$A$6:$A$120,0)),"Unknown ID"))</f>
        <v/>
      </c>
      <c r="E619" s="45">
        <f>IF($C619="","",IFERROR(INDEX('Chain Program'!$D$6:$D$120,MATCH($C619,'Chain Program'!$A$6:$A$120,0)),"Unknown ID"))</f>
        <v/>
      </c>
      <c r="F619" s="60" t="n"/>
      <c r="G619" s="60" t="n"/>
      <c r="H619" s="56">
        <f>IF(OR($C619="",$A619=""),"",IF(COUNTIFS('Promo Calendar'!$A$6:$A$400,$C619,'Promo Calendar'!$D$6:$D$400,IF($G619="","All",$G619),'Promo Calendar'!$I$6:$I$400,"&lt;="&amp;$A619,'Promo Calendar'!$J$6:$J$400,"&gt;="&amp;$A619,'Promo Calendar'!$G$6:$G$400,"&gt;0")&gt;0,_xlfn.MINIFS('Promo Calendar'!$G$6:$G$400,'Promo Calendar'!$A$6:$A$400,$C619,'Promo Calendar'!$D$6:$D$400,IF($G619="","All",$G619),'Promo Calendar'!$I$6:$I$400,"&lt;="&amp;$A619,'Promo Calendar'!$J$6:$J$400,"&gt;="&amp;$A619,'Promo Calendar'!$G$6:$G$400,"&gt;0"),IF(COUNTIFS('Promo Calendar'!$A$6:$A$400,$C619,'Promo Calendar'!$D$6:$D$400,"All",'Promo Calendar'!$I$6:$I$400,"&lt;="&amp;$A619,'Promo Calendar'!$J$6:$J$400,"&gt;="&amp;$A619,'Promo Calendar'!$G$6:$G$400,"&gt;0")&gt;0,_xlfn.MINIFS('Promo Calendar'!$G$6:$G$400,'Promo Calendar'!$A$6:$A$400,$C619,'Promo Calendar'!$D$6:$D$400,"All",'Promo Calendar'!$I$6:$I$400,"&lt;="&amp;$A619,'Promo Calendar'!$J$6:$J$400,"&gt;="&amp;$A619,'Promo Calendar'!$G$6:$G$400,"&gt;0"),IFERROR(IF(INDEX('Chain Program'!$M$6:$M$120,MATCH($C619,'Chain Program'!$A$6:$A$120,0))="","Not set",INDEX('Chain Program'!$M$6:$M$120,MATCH($C619,'Chain Program'!$A$6:$A$120,0))),"Not set"))))</f>
        <v/>
      </c>
      <c r="I619" s="61" t="n"/>
      <c r="J619" s="45">
        <f>IF($I619="","",IF(NOT(ISNUMBER($H619)),"No plan price",IF(ABS($I619-$H619)&lt;0.005,"Match",IF($I619&gt;$H619,"Over plan","Under plan"))))</f>
        <v/>
      </c>
      <c r="K619" s="60" t="n"/>
      <c r="L619" s="60" t="n"/>
      <c r="M619" s="60" t="n"/>
      <c r="N619" s="60" t="n"/>
      <c r="O619" s="60" t="n"/>
      <c r="P619" s="62" t="n"/>
      <c r="Q619" s="62" t="n"/>
      <c r="R619" s="60" t="n"/>
      <c r="S619" s="59" t="n"/>
      <c r="T619" s="60" t="n"/>
      <c r="U619" s="59" t="n"/>
      <c r="V619" s="45">
        <f>IF(OR($A619="",$T619="",$T619="No Issue"),"",IF($T619="Resolved",IF($U619="","",$U619-$A619),TODAY()-$A619))</f>
        <v/>
      </c>
      <c r="W619" s="47">
        <f>IF(AND($C619&lt;&gt;"",$C619='Store History'!$C$4,OR('Store History'!$C$5="",$F619='Store History'!$C$5)),1,0)</f>
        <v/>
      </c>
      <c r="X619" s="47">
        <f>IF($W619=1,SUM($W619:$W$1005),"")</f>
        <v/>
      </c>
    </row>
    <row r="620">
      <c r="A620" s="59" t="n"/>
      <c r="B620" s="60" t="n"/>
      <c r="C620" s="60" t="n"/>
      <c r="D620" s="45">
        <f>IF($C620="","",IFERROR(INDEX('Chain Program'!$B$6:$B$120,MATCH($C620,'Chain Program'!$A$6:$A$120,0)),"Unknown ID"))</f>
        <v/>
      </c>
      <c r="E620" s="45">
        <f>IF($C620="","",IFERROR(INDEX('Chain Program'!$D$6:$D$120,MATCH($C620,'Chain Program'!$A$6:$A$120,0)),"Unknown ID"))</f>
        <v/>
      </c>
      <c r="F620" s="60" t="n"/>
      <c r="G620" s="60" t="n"/>
      <c r="H620" s="56">
        <f>IF(OR($C620="",$A620=""),"",IF(COUNTIFS('Promo Calendar'!$A$6:$A$400,$C620,'Promo Calendar'!$D$6:$D$400,IF($G620="","All",$G620),'Promo Calendar'!$I$6:$I$400,"&lt;="&amp;$A620,'Promo Calendar'!$J$6:$J$400,"&gt;="&amp;$A620,'Promo Calendar'!$G$6:$G$400,"&gt;0")&gt;0,_xlfn.MINIFS('Promo Calendar'!$G$6:$G$400,'Promo Calendar'!$A$6:$A$400,$C620,'Promo Calendar'!$D$6:$D$400,IF($G620="","All",$G620),'Promo Calendar'!$I$6:$I$400,"&lt;="&amp;$A620,'Promo Calendar'!$J$6:$J$400,"&gt;="&amp;$A620,'Promo Calendar'!$G$6:$G$400,"&gt;0"),IF(COUNTIFS('Promo Calendar'!$A$6:$A$400,$C620,'Promo Calendar'!$D$6:$D$400,"All",'Promo Calendar'!$I$6:$I$400,"&lt;="&amp;$A620,'Promo Calendar'!$J$6:$J$400,"&gt;="&amp;$A620,'Promo Calendar'!$G$6:$G$400,"&gt;0")&gt;0,_xlfn.MINIFS('Promo Calendar'!$G$6:$G$400,'Promo Calendar'!$A$6:$A$400,$C620,'Promo Calendar'!$D$6:$D$400,"All",'Promo Calendar'!$I$6:$I$400,"&lt;="&amp;$A620,'Promo Calendar'!$J$6:$J$400,"&gt;="&amp;$A620,'Promo Calendar'!$G$6:$G$400,"&gt;0"),IFERROR(IF(INDEX('Chain Program'!$M$6:$M$120,MATCH($C620,'Chain Program'!$A$6:$A$120,0))="","Not set",INDEX('Chain Program'!$M$6:$M$120,MATCH($C620,'Chain Program'!$A$6:$A$120,0))),"Not set"))))</f>
        <v/>
      </c>
      <c r="I620" s="61" t="n"/>
      <c r="J620" s="45">
        <f>IF($I620="","",IF(NOT(ISNUMBER($H620)),"No plan price",IF(ABS($I620-$H620)&lt;0.005,"Match",IF($I620&gt;$H620,"Over plan","Under plan"))))</f>
        <v/>
      </c>
      <c r="K620" s="60" t="n"/>
      <c r="L620" s="60" t="n"/>
      <c r="M620" s="60" t="n"/>
      <c r="N620" s="60" t="n"/>
      <c r="O620" s="60" t="n"/>
      <c r="P620" s="62" t="n"/>
      <c r="Q620" s="62" t="n"/>
      <c r="R620" s="60" t="n"/>
      <c r="S620" s="59" t="n"/>
      <c r="T620" s="60" t="n"/>
      <c r="U620" s="59" t="n"/>
      <c r="V620" s="45">
        <f>IF(OR($A620="",$T620="",$T620="No Issue"),"",IF($T620="Resolved",IF($U620="","",$U620-$A620),TODAY()-$A620))</f>
        <v/>
      </c>
      <c r="W620" s="47">
        <f>IF(AND($C620&lt;&gt;"",$C620='Store History'!$C$4,OR('Store History'!$C$5="",$F620='Store History'!$C$5)),1,0)</f>
        <v/>
      </c>
      <c r="X620" s="47">
        <f>IF($W620=1,SUM($W620:$W$1005),"")</f>
        <v/>
      </c>
    </row>
    <row r="621">
      <c r="A621" s="59" t="n"/>
      <c r="B621" s="60" t="n"/>
      <c r="C621" s="60" t="n"/>
      <c r="D621" s="45">
        <f>IF($C621="","",IFERROR(INDEX('Chain Program'!$B$6:$B$120,MATCH($C621,'Chain Program'!$A$6:$A$120,0)),"Unknown ID"))</f>
        <v/>
      </c>
      <c r="E621" s="45">
        <f>IF($C621="","",IFERROR(INDEX('Chain Program'!$D$6:$D$120,MATCH($C621,'Chain Program'!$A$6:$A$120,0)),"Unknown ID"))</f>
        <v/>
      </c>
      <c r="F621" s="60" t="n"/>
      <c r="G621" s="60" t="n"/>
      <c r="H621" s="56">
        <f>IF(OR($C621="",$A621=""),"",IF(COUNTIFS('Promo Calendar'!$A$6:$A$400,$C621,'Promo Calendar'!$D$6:$D$400,IF($G621="","All",$G621),'Promo Calendar'!$I$6:$I$400,"&lt;="&amp;$A621,'Promo Calendar'!$J$6:$J$400,"&gt;="&amp;$A621,'Promo Calendar'!$G$6:$G$400,"&gt;0")&gt;0,_xlfn.MINIFS('Promo Calendar'!$G$6:$G$400,'Promo Calendar'!$A$6:$A$400,$C621,'Promo Calendar'!$D$6:$D$400,IF($G621="","All",$G621),'Promo Calendar'!$I$6:$I$400,"&lt;="&amp;$A621,'Promo Calendar'!$J$6:$J$400,"&gt;="&amp;$A621,'Promo Calendar'!$G$6:$G$400,"&gt;0"),IF(COUNTIFS('Promo Calendar'!$A$6:$A$400,$C621,'Promo Calendar'!$D$6:$D$400,"All",'Promo Calendar'!$I$6:$I$400,"&lt;="&amp;$A621,'Promo Calendar'!$J$6:$J$400,"&gt;="&amp;$A621,'Promo Calendar'!$G$6:$G$400,"&gt;0")&gt;0,_xlfn.MINIFS('Promo Calendar'!$G$6:$G$400,'Promo Calendar'!$A$6:$A$400,$C621,'Promo Calendar'!$D$6:$D$400,"All",'Promo Calendar'!$I$6:$I$400,"&lt;="&amp;$A621,'Promo Calendar'!$J$6:$J$400,"&gt;="&amp;$A621,'Promo Calendar'!$G$6:$G$400,"&gt;0"),IFERROR(IF(INDEX('Chain Program'!$M$6:$M$120,MATCH($C621,'Chain Program'!$A$6:$A$120,0))="","Not set",INDEX('Chain Program'!$M$6:$M$120,MATCH($C621,'Chain Program'!$A$6:$A$120,0))),"Not set"))))</f>
        <v/>
      </c>
      <c r="I621" s="61" t="n"/>
      <c r="J621" s="45">
        <f>IF($I621="","",IF(NOT(ISNUMBER($H621)),"No plan price",IF(ABS($I621-$H621)&lt;0.005,"Match",IF($I621&gt;$H621,"Over plan","Under plan"))))</f>
        <v/>
      </c>
      <c r="K621" s="60" t="n"/>
      <c r="L621" s="60" t="n"/>
      <c r="M621" s="60" t="n"/>
      <c r="N621" s="60" t="n"/>
      <c r="O621" s="60" t="n"/>
      <c r="P621" s="62" t="n"/>
      <c r="Q621" s="62" t="n"/>
      <c r="R621" s="60" t="n"/>
      <c r="S621" s="59" t="n"/>
      <c r="T621" s="60" t="n"/>
      <c r="U621" s="59" t="n"/>
      <c r="V621" s="45">
        <f>IF(OR($A621="",$T621="",$T621="No Issue"),"",IF($T621="Resolved",IF($U621="","",$U621-$A621),TODAY()-$A621))</f>
        <v/>
      </c>
      <c r="W621" s="47">
        <f>IF(AND($C621&lt;&gt;"",$C621='Store History'!$C$4,OR('Store History'!$C$5="",$F621='Store History'!$C$5)),1,0)</f>
        <v/>
      </c>
      <c r="X621" s="47">
        <f>IF($W621=1,SUM($W621:$W$1005),"")</f>
        <v/>
      </c>
    </row>
    <row r="622">
      <c r="A622" s="59" t="n"/>
      <c r="B622" s="60" t="n"/>
      <c r="C622" s="60" t="n"/>
      <c r="D622" s="45">
        <f>IF($C622="","",IFERROR(INDEX('Chain Program'!$B$6:$B$120,MATCH($C622,'Chain Program'!$A$6:$A$120,0)),"Unknown ID"))</f>
        <v/>
      </c>
      <c r="E622" s="45">
        <f>IF($C622="","",IFERROR(INDEX('Chain Program'!$D$6:$D$120,MATCH($C622,'Chain Program'!$A$6:$A$120,0)),"Unknown ID"))</f>
        <v/>
      </c>
      <c r="F622" s="60" t="n"/>
      <c r="G622" s="60" t="n"/>
      <c r="H622" s="56">
        <f>IF(OR($C622="",$A622=""),"",IF(COUNTIFS('Promo Calendar'!$A$6:$A$400,$C622,'Promo Calendar'!$D$6:$D$400,IF($G622="","All",$G622),'Promo Calendar'!$I$6:$I$400,"&lt;="&amp;$A622,'Promo Calendar'!$J$6:$J$400,"&gt;="&amp;$A622,'Promo Calendar'!$G$6:$G$400,"&gt;0")&gt;0,_xlfn.MINIFS('Promo Calendar'!$G$6:$G$400,'Promo Calendar'!$A$6:$A$400,$C622,'Promo Calendar'!$D$6:$D$400,IF($G622="","All",$G622),'Promo Calendar'!$I$6:$I$400,"&lt;="&amp;$A622,'Promo Calendar'!$J$6:$J$400,"&gt;="&amp;$A622,'Promo Calendar'!$G$6:$G$400,"&gt;0"),IF(COUNTIFS('Promo Calendar'!$A$6:$A$400,$C622,'Promo Calendar'!$D$6:$D$400,"All",'Promo Calendar'!$I$6:$I$400,"&lt;="&amp;$A622,'Promo Calendar'!$J$6:$J$400,"&gt;="&amp;$A622,'Promo Calendar'!$G$6:$G$400,"&gt;0")&gt;0,_xlfn.MINIFS('Promo Calendar'!$G$6:$G$400,'Promo Calendar'!$A$6:$A$400,$C622,'Promo Calendar'!$D$6:$D$400,"All",'Promo Calendar'!$I$6:$I$400,"&lt;="&amp;$A622,'Promo Calendar'!$J$6:$J$400,"&gt;="&amp;$A622,'Promo Calendar'!$G$6:$G$400,"&gt;0"),IFERROR(IF(INDEX('Chain Program'!$M$6:$M$120,MATCH($C622,'Chain Program'!$A$6:$A$120,0))="","Not set",INDEX('Chain Program'!$M$6:$M$120,MATCH($C622,'Chain Program'!$A$6:$A$120,0))),"Not set"))))</f>
        <v/>
      </c>
      <c r="I622" s="61" t="n"/>
      <c r="J622" s="45">
        <f>IF($I622="","",IF(NOT(ISNUMBER($H622)),"No plan price",IF(ABS($I622-$H622)&lt;0.005,"Match",IF($I622&gt;$H622,"Over plan","Under plan"))))</f>
        <v/>
      </c>
      <c r="K622" s="60" t="n"/>
      <c r="L622" s="60" t="n"/>
      <c r="M622" s="60" t="n"/>
      <c r="N622" s="60" t="n"/>
      <c r="O622" s="60" t="n"/>
      <c r="P622" s="62" t="n"/>
      <c r="Q622" s="62" t="n"/>
      <c r="R622" s="60" t="n"/>
      <c r="S622" s="59" t="n"/>
      <c r="T622" s="60" t="n"/>
      <c r="U622" s="59" t="n"/>
      <c r="V622" s="45">
        <f>IF(OR($A622="",$T622="",$T622="No Issue"),"",IF($T622="Resolved",IF($U622="","",$U622-$A622),TODAY()-$A622))</f>
        <v/>
      </c>
      <c r="W622" s="47">
        <f>IF(AND($C622&lt;&gt;"",$C622='Store History'!$C$4,OR('Store History'!$C$5="",$F622='Store History'!$C$5)),1,0)</f>
        <v/>
      </c>
      <c r="X622" s="47">
        <f>IF($W622=1,SUM($W622:$W$1005),"")</f>
        <v/>
      </c>
    </row>
    <row r="623">
      <c r="A623" s="59" t="n"/>
      <c r="B623" s="60" t="n"/>
      <c r="C623" s="60" t="n"/>
      <c r="D623" s="45">
        <f>IF($C623="","",IFERROR(INDEX('Chain Program'!$B$6:$B$120,MATCH($C623,'Chain Program'!$A$6:$A$120,0)),"Unknown ID"))</f>
        <v/>
      </c>
      <c r="E623" s="45">
        <f>IF($C623="","",IFERROR(INDEX('Chain Program'!$D$6:$D$120,MATCH($C623,'Chain Program'!$A$6:$A$120,0)),"Unknown ID"))</f>
        <v/>
      </c>
      <c r="F623" s="60" t="n"/>
      <c r="G623" s="60" t="n"/>
      <c r="H623" s="56">
        <f>IF(OR($C623="",$A623=""),"",IF(COUNTIFS('Promo Calendar'!$A$6:$A$400,$C623,'Promo Calendar'!$D$6:$D$400,IF($G623="","All",$G623),'Promo Calendar'!$I$6:$I$400,"&lt;="&amp;$A623,'Promo Calendar'!$J$6:$J$400,"&gt;="&amp;$A623,'Promo Calendar'!$G$6:$G$400,"&gt;0")&gt;0,_xlfn.MINIFS('Promo Calendar'!$G$6:$G$400,'Promo Calendar'!$A$6:$A$400,$C623,'Promo Calendar'!$D$6:$D$400,IF($G623="","All",$G623),'Promo Calendar'!$I$6:$I$400,"&lt;="&amp;$A623,'Promo Calendar'!$J$6:$J$400,"&gt;="&amp;$A623,'Promo Calendar'!$G$6:$G$400,"&gt;0"),IF(COUNTIFS('Promo Calendar'!$A$6:$A$400,$C623,'Promo Calendar'!$D$6:$D$400,"All",'Promo Calendar'!$I$6:$I$400,"&lt;="&amp;$A623,'Promo Calendar'!$J$6:$J$400,"&gt;="&amp;$A623,'Promo Calendar'!$G$6:$G$400,"&gt;0")&gt;0,_xlfn.MINIFS('Promo Calendar'!$G$6:$G$400,'Promo Calendar'!$A$6:$A$400,$C623,'Promo Calendar'!$D$6:$D$400,"All",'Promo Calendar'!$I$6:$I$400,"&lt;="&amp;$A623,'Promo Calendar'!$J$6:$J$400,"&gt;="&amp;$A623,'Promo Calendar'!$G$6:$G$400,"&gt;0"),IFERROR(IF(INDEX('Chain Program'!$M$6:$M$120,MATCH($C623,'Chain Program'!$A$6:$A$120,0))="","Not set",INDEX('Chain Program'!$M$6:$M$120,MATCH($C623,'Chain Program'!$A$6:$A$120,0))),"Not set"))))</f>
        <v/>
      </c>
      <c r="I623" s="61" t="n"/>
      <c r="J623" s="45">
        <f>IF($I623="","",IF(NOT(ISNUMBER($H623)),"No plan price",IF(ABS($I623-$H623)&lt;0.005,"Match",IF($I623&gt;$H623,"Over plan","Under plan"))))</f>
        <v/>
      </c>
      <c r="K623" s="60" t="n"/>
      <c r="L623" s="60" t="n"/>
      <c r="M623" s="60" t="n"/>
      <c r="N623" s="60" t="n"/>
      <c r="O623" s="60" t="n"/>
      <c r="P623" s="62" t="n"/>
      <c r="Q623" s="62" t="n"/>
      <c r="R623" s="60" t="n"/>
      <c r="S623" s="59" t="n"/>
      <c r="T623" s="60" t="n"/>
      <c r="U623" s="59" t="n"/>
      <c r="V623" s="45">
        <f>IF(OR($A623="",$T623="",$T623="No Issue"),"",IF($T623="Resolved",IF($U623="","",$U623-$A623),TODAY()-$A623))</f>
        <v/>
      </c>
      <c r="W623" s="47">
        <f>IF(AND($C623&lt;&gt;"",$C623='Store History'!$C$4,OR('Store History'!$C$5="",$F623='Store History'!$C$5)),1,0)</f>
        <v/>
      </c>
      <c r="X623" s="47">
        <f>IF($W623=1,SUM($W623:$W$1005),"")</f>
        <v/>
      </c>
    </row>
    <row r="624">
      <c r="A624" s="59" t="n"/>
      <c r="B624" s="60" t="n"/>
      <c r="C624" s="60" t="n"/>
      <c r="D624" s="45">
        <f>IF($C624="","",IFERROR(INDEX('Chain Program'!$B$6:$B$120,MATCH($C624,'Chain Program'!$A$6:$A$120,0)),"Unknown ID"))</f>
        <v/>
      </c>
      <c r="E624" s="45">
        <f>IF($C624="","",IFERROR(INDEX('Chain Program'!$D$6:$D$120,MATCH($C624,'Chain Program'!$A$6:$A$120,0)),"Unknown ID"))</f>
        <v/>
      </c>
      <c r="F624" s="60" t="n"/>
      <c r="G624" s="60" t="n"/>
      <c r="H624" s="56">
        <f>IF(OR($C624="",$A624=""),"",IF(COUNTIFS('Promo Calendar'!$A$6:$A$400,$C624,'Promo Calendar'!$D$6:$D$400,IF($G624="","All",$G624),'Promo Calendar'!$I$6:$I$400,"&lt;="&amp;$A624,'Promo Calendar'!$J$6:$J$400,"&gt;="&amp;$A624,'Promo Calendar'!$G$6:$G$400,"&gt;0")&gt;0,_xlfn.MINIFS('Promo Calendar'!$G$6:$G$400,'Promo Calendar'!$A$6:$A$400,$C624,'Promo Calendar'!$D$6:$D$400,IF($G624="","All",$G624),'Promo Calendar'!$I$6:$I$400,"&lt;="&amp;$A624,'Promo Calendar'!$J$6:$J$400,"&gt;="&amp;$A624,'Promo Calendar'!$G$6:$G$400,"&gt;0"),IF(COUNTIFS('Promo Calendar'!$A$6:$A$400,$C624,'Promo Calendar'!$D$6:$D$400,"All",'Promo Calendar'!$I$6:$I$400,"&lt;="&amp;$A624,'Promo Calendar'!$J$6:$J$400,"&gt;="&amp;$A624,'Promo Calendar'!$G$6:$G$400,"&gt;0")&gt;0,_xlfn.MINIFS('Promo Calendar'!$G$6:$G$400,'Promo Calendar'!$A$6:$A$400,$C624,'Promo Calendar'!$D$6:$D$400,"All",'Promo Calendar'!$I$6:$I$400,"&lt;="&amp;$A624,'Promo Calendar'!$J$6:$J$400,"&gt;="&amp;$A624,'Promo Calendar'!$G$6:$G$400,"&gt;0"),IFERROR(IF(INDEX('Chain Program'!$M$6:$M$120,MATCH($C624,'Chain Program'!$A$6:$A$120,0))="","Not set",INDEX('Chain Program'!$M$6:$M$120,MATCH($C624,'Chain Program'!$A$6:$A$120,0))),"Not set"))))</f>
        <v/>
      </c>
      <c r="I624" s="61" t="n"/>
      <c r="J624" s="45">
        <f>IF($I624="","",IF(NOT(ISNUMBER($H624)),"No plan price",IF(ABS($I624-$H624)&lt;0.005,"Match",IF($I624&gt;$H624,"Over plan","Under plan"))))</f>
        <v/>
      </c>
      <c r="K624" s="60" t="n"/>
      <c r="L624" s="60" t="n"/>
      <c r="M624" s="60" t="n"/>
      <c r="N624" s="60" t="n"/>
      <c r="O624" s="60" t="n"/>
      <c r="P624" s="62" t="n"/>
      <c r="Q624" s="62" t="n"/>
      <c r="R624" s="60" t="n"/>
      <c r="S624" s="59" t="n"/>
      <c r="T624" s="60" t="n"/>
      <c r="U624" s="59" t="n"/>
      <c r="V624" s="45">
        <f>IF(OR($A624="",$T624="",$T624="No Issue"),"",IF($T624="Resolved",IF($U624="","",$U624-$A624),TODAY()-$A624))</f>
        <v/>
      </c>
      <c r="W624" s="47">
        <f>IF(AND($C624&lt;&gt;"",$C624='Store History'!$C$4,OR('Store History'!$C$5="",$F624='Store History'!$C$5)),1,0)</f>
        <v/>
      </c>
      <c r="X624" s="47">
        <f>IF($W624=1,SUM($W624:$W$1005),"")</f>
        <v/>
      </c>
    </row>
    <row r="625">
      <c r="A625" s="59" t="n"/>
      <c r="B625" s="60" t="n"/>
      <c r="C625" s="60" t="n"/>
      <c r="D625" s="45">
        <f>IF($C625="","",IFERROR(INDEX('Chain Program'!$B$6:$B$120,MATCH($C625,'Chain Program'!$A$6:$A$120,0)),"Unknown ID"))</f>
        <v/>
      </c>
      <c r="E625" s="45">
        <f>IF($C625="","",IFERROR(INDEX('Chain Program'!$D$6:$D$120,MATCH($C625,'Chain Program'!$A$6:$A$120,0)),"Unknown ID"))</f>
        <v/>
      </c>
      <c r="F625" s="60" t="n"/>
      <c r="G625" s="60" t="n"/>
      <c r="H625" s="56">
        <f>IF(OR($C625="",$A625=""),"",IF(COUNTIFS('Promo Calendar'!$A$6:$A$400,$C625,'Promo Calendar'!$D$6:$D$400,IF($G625="","All",$G625),'Promo Calendar'!$I$6:$I$400,"&lt;="&amp;$A625,'Promo Calendar'!$J$6:$J$400,"&gt;="&amp;$A625,'Promo Calendar'!$G$6:$G$400,"&gt;0")&gt;0,_xlfn.MINIFS('Promo Calendar'!$G$6:$G$400,'Promo Calendar'!$A$6:$A$400,$C625,'Promo Calendar'!$D$6:$D$400,IF($G625="","All",$G625),'Promo Calendar'!$I$6:$I$400,"&lt;="&amp;$A625,'Promo Calendar'!$J$6:$J$400,"&gt;="&amp;$A625,'Promo Calendar'!$G$6:$G$400,"&gt;0"),IF(COUNTIFS('Promo Calendar'!$A$6:$A$400,$C625,'Promo Calendar'!$D$6:$D$400,"All",'Promo Calendar'!$I$6:$I$400,"&lt;="&amp;$A625,'Promo Calendar'!$J$6:$J$400,"&gt;="&amp;$A625,'Promo Calendar'!$G$6:$G$400,"&gt;0")&gt;0,_xlfn.MINIFS('Promo Calendar'!$G$6:$G$400,'Promo Calendar'!$A$6:$A$400,$C625,'Promo Calendar'!$D$6:$D$400,"All",'Promo Calendar'!$I$6:$I$400,"&lt;="&amp;$A625,'Promo Calendar'!$J$6:$J$400,"&gt;="&amp;$A625,'Promo Calendar'!$G$6:$G$400,"&gt;0"),IFERROR(IF(INDEX('Chain Program'!$M$6:$M$120,MATCH($C625,'Chain Program'!$A$6:$A$120,0))="","Not set",INDEX('Chain Program'!$M$6:$M$120,MATCH($C625,'Chain Program'!$A$6:$A$120,0))),"Not set"))))</f>
        <v/>
      </c>
      <c r="I625" s="61" t="n"/>
      <c r="J625" s="45">
        <f>IF($I625="","",IF(NOT(ISNUMBER($H625)),"No plan price",IF(ABS($I625-$H625)&lt;0.005,"Match",IF($I625&gt;$H625,"Over plan","Under plan"))))</f>
        <v/>
      </c>
      <c r="K625" s="60" t="n"/>
      <c r="L625" s="60" t="n"/>
      <c r="M625" s="60" t="n"/>
      <c r="N625" s="60" t="n"/>
      <c r="O625" s="60" t="n"/>
      <c r="P625" s="62" t="n"/>
      <c r="Q625" s="62" t="n"/>
      <c r="R625" s="60" t="n"/>
      <c r="S625" s="59" t="n"/>
      <c r="T625" s="60" t="n"/>
      <c r="U625" s="59" t="n"/>
      <c r="V625" s="45">
        <f>IF(OR($A625="",$T625="",$T625="No Issue"),"",IF($T625="Resolved",IF($U625="","",$U625-$A625),TODAY()-$A625))</f>
        <v/>
      </c>
      <c r="W625" s="47">
        <f>IF(AND($C625&lt;&gt;"",$C625='Store History'!$C$4,OR('Store History'!$C$5="",$F625='Store History'!$C$5)),1,0)</f>
        <v/>
      </c>
      <c r="X625" s="47">
        <f>IF($W625=1,SUM($W625:$W$1005),"")</f>
        <v/>
      </c>
    </row>
    <row r="626">
      <c r="A626" s="59" t="n"/>
      <c r="B626" s="60" t="n"/>
      <c r="C626" s="60" t="n"/>
      <c r="D626" s="45">
        <f>IF($C626="","",IFERROR(INDEX('Chain Program'!$B$6:$B$120,MATCH($C626,'Chain Program'!$A$6:$A$120,0)),"Unknown ID"))</f>
        <v/>
      </c>
      <c r="E626" s="45">
        <f>IF($C626="","",IFERROR(INDEX('Chain Program'!$D$6:$D$120,MATCH($C626,'Chain Program'!$A$6:$A$120,0)),"Unknown ID"))</f>
        <v/>
      </c>
      <c r="F626" s="60" t="n"/>
      <c r="G626" s="60" t="n"/>
      <c r="H626" s="56">
        <f>IF(OR($C626="",$A626=""),"",IF(COUNTIFS('Promo Calendar'!$A$6:$A$400,$C626,'Promo Calendar'!$D$6:$D$400,IF($G626="","All",$G626),'Promo Calendar'!$I$6:$I$400,"&lt;="&amp;$A626,'Promo Calendar'!$J$6:$J$400,"&gt;="&amp;$A626,'Promo Calendar'!$G$6:$G$400,"&gt;0")&gt;0,_xlfn.MINIFS('Promo Calendar'!$G$6:$G$400,'Promo Calendar'!$A$6:$A$400,$C626,'Promo Calendar'!$D$6:$D$400,IF($G626="","All",$G626),'Promo Calendar'!$I$6:$I$400,"&lt;="&amp;$A626,'Promo Calendar'!$J$6:$J$400,"&gt;="&amp;$A626,'Promo Calendar'!$G$6:$G$400,"&gt;0"),IF(COUNTIFS('Promo Calendar'!$A$6:$A$400,$C626,'Promo Calendar'!$D$6:$D$400,"All",'Promo Calendar'!$I$6:$I$400,"&lt;="&amp;$A626,'Promo Calendar'!$J$6:$J$400,"&gt;="&amp;$A626,'Promo Calendar'!$G$6:$G$400,"&gt;0")&gt;0,_xlfn.MINIFS('Promo Calendar'!$G$6:$G$400,'Promo Calendar'!$A$6:$A$400,$C626,'Promo Calendar'!$D$6:$D$400,"All",'Promo Calendar'!$I$6:$I$400,"&lt;="&amp;$A626,'Promo Calendar'!$J$6:$J$400,"&gt;="&amp;$A626,'Promo Calendar'!$G$6:$G$400,"&gt;0"),IFERROR(IF(INDEX('Chain Program'!$M$6:$M$120,MATCH($C626,'Chain Program'!$A$6:$A$120,0))="","Not set",INDEX('Chain Program'!$M$6:$M$120,MATCH($C626,'Chain Program'!$A$6:$A$120,0))),"Not set"))))</f>
        <v/>
      </c>
      <c r="I626" s="61" t="n"/>
      <c r="J626" s="45">
        <f>IF($I626="","",IF(NOT(ISNUMBER($H626)),"No plan price",IF(ABS($I626-$H626)&lt;0.005,"Match",IF($I626&gt;$H626,"Over plan","Under plan"))))</f>
        <v/>
      </c>
      <c r="K626" s="60" t="n"/>
      <c r="L626" s="60" t="n"/>
      <c r="M626" s="60" t="n"/>
      <c r="N626" s="60" t="n"/>
      <c r="O626" s="60" t="n"/>
      <c r="P626" s="62" t="n"/>
      <c r="Q626" s="62" t="n"/>
      <c r="R626" s="60" t="n"/>
      <c r="S626" s="59" t="n"/>
      <c r="T626" s="60" t="n"/>
      <c r="U626" s="59" t="n"/>
      <c r="V626" s="45">
        <f>IF(OR($A626="",$T626="",$T626="No Issue"),"",IF($T626="Resolved",IF($U626="","",$U626-$A626),TODAY()-$A626))</f>
        <v/>
      </c>
      <c r="W626" s="47">
        <f>IF(AND($C626&lt;&gt;"",$C626='Store History'!$C$4,OR('Store History'!$C$5="",$F626='Store History'!$C$5)),1,0)</f>
        <v/>
      </c>
      <c r="X626" s="47">
        <f>IF($W626=1,SUM($W626:$W$1005),"")</f>
        <v/>
      </c>
    </row>
    <row r="627">
      <c r="A627" s="59" t="n"/>
      <c r="B627" s="60" t="n"/>
      <c r="C627" s="60" t="n"/>
      <c r="D627" s="45">
        <f>IF($C627="","",IFERROR(INDEX('Chain Program'!$B$6:$B$120,MATCH($C627,'Chain Program'!$A$6:$A$120,0)),"Unknown ID"))</f>
        <v/>
      </c>
      <c r="E627" s="45">
        <f>IF($C627="","",IFERROR(INDEX('Chain Program'!$D$6:$D$120,MATCH($C627,'Chain Program'!$A$6:$A$120,0)),"Unknown ID"))</f>
        <v/>
      </c>
      <c r="F627" s="60" t="n"/>
      <c r="G627" s="60" t="n"/>
      <c r="H627" s="56">
        <f>IF(OR($C627="",$A627=""),"",IF(COUNTIFS('Promo Calendar'!$A$6:$A$400,$C627,'Promo Calendar'!$D$6:$D$400,IF($G627="","All",$G627),'Promo Calendar'!$I$6:$I$400,"&lt;="&amp;$A627,'Promo Calendar'!$J$6:$J$400,"&gt;="&amp;$A627,'Promo Calendar'!$G$6:$G$400,"&gt;0")&gt;0,_xlfn.MINIFS('Promo Calendar'!$G$6:$G$400,'Promo Calendar'!$A$6:$A$400,$C627,'Promo Calendar'!$D$6:$D$400,IF($G627="","All",$G627),'Promo Calendar'!$I$6:$I$400,"&lt;="&amp;$A627,'Promo Calendar'!$J$6:$J$400,"&gt;="&amp;$A627,'Promo Calendar'!$G$6:$G$400,"&gt;0"),IF(COUNTIFS('Promo Calendar'!$A$6:$A$400,$C627,'Promo Calendar'!$D$6:$D$400,"All",'Promo Calendar'!$I$6:$I$400,"&lt;="&amp;$A627,'Promo Calendar'!$J$6:$J$400,"&gt;="&amp;$A627,'Promo Calendar'!$G$6:$G$400,"&gt;0")&gt;0,_xlfn.MINIFS('Promo Calendar'!$G$6:$G$400,'Promo Calendar'!$A$6:$A$400,$C627,'Promo Calendar'!$D$6:$D$400,"All",'Promo Calendar'!$I$6:$I$400,"&lt;="&amp;$A627,'Promo Calendar'!$J$6:$J$400,"&gt;="&amp;$A627,'Promo Calendar'!$G$6:$G$400,"&gt;0"),IFERROR(IF(INDEX('Chain Program'!$M$6:$M$120,MATCH($C627,'Chain Program'!$A$6:$A$120,0))="","Not set",INDEX('Chain Program'!$M$6:$M$120,MATCH($C627,'Chain Program'!$A$6:$A$120,0))),"Not set"))))</f>
        <v/>
      </c>
      <c r="I627" s="61" t="n"/>
      <c r="J627" s="45">
        <f>IF($I627="","",IF(NOT(ISNUMBER($H627)),"No plan price",IF(ABS($I627-$H627)&lt;0.005,"Match",IF($I627&gt;$H627,"Over plan","Under plan"))))</f>
        <v/>
      </c>
      <c r="K627" s="60" t="n"/>
      <c r="L627" s="60" t="n"/>
      <c r="M627" s="60" t="n"/>
      <c r="N627" s="60" t="n"/>
      <c r="O627" s="60" t="n"/>
      <c r="P627" s="62" t="n"/>
      <c r="Q627" s="62" t="n"/>
      <c r="R627" s="60" t="n"/>
      <c r="S627" s="59" t="n"/>
      <c r="T627" s="60" t="n"/>
      <c r="U627" s="59" t="n"/>
      <c r="V627" s="45">
        <f>IF(OR($A627="",$T627="",$T627="No Issue"),"",IF($T627="Resolved",IF($U627="","",$U627-$A627),TODAY()-$A627))</f>
        <v/>
      </c>
      <c r="W627" s="47">
        <f>IF(AND($C627&lt;&gt;"",$C627='Store History'!$C$4,OR('Store History'!$C$5="",$F627='Store History'!$C$5)),1,0)</f>
        <v/>
      </c>
      <c r="X627" s="47">
        <f>IF($W627=1,SUM($W627:$W$1005),"")</f>
        <v/>
      </c>
    </row>
    <row r="628">
      <c r="A628" s="59" t="n"/>
      <c r="B628" s="60" t="n"/>
      <c r="C628" s="60" t="n"/>
      <c r="D628" s="45">
        <f>IF($C628="","",IFERROR(INDEX('Chain Program'!$B$6:$B$120,MATCH($C628,'Chain Program'!$A$6:$A$120,0)),"Unknown ID"))</f>
        <v/>
      </c>
      <c r="E628" s="45">
        <f>IF($C628="","",IFERROR(INDEX('Chain Program'!$D$6:$D$120,MATCH($C628,'Chain Program'!$A$6:$A$120,0)),"Unknown ID"))</f>
        <v/>
      </c>
      <c r="F628" s="60" t="n"/>
      <c r="G628" s="60" t="n"/>
      <c r="H628" s="56">
        <f>IF(OR($C628="",$A628=""),"",IF(COUNTIFS('Promo Calendar'!$A$6:$A$400,$C628,'Promo Calendar'!$D$6:$D$400,IF($G628="","All",$G628),'Promo Calendar'!$I$6:$I$400,"&lt;="&amp;$A628,'Promo Calendar'!$J$6:$J$400,"&gt;="&amp;$A628,'Promo Calendar'!$G$6:$G$400,"&gt;0")&gt;0,_xlfn.MINIFS('Promo Calendar'!$G$6:$G$400,'Promo Calendar'!$A$6:$A$400,$C628,'Promo Calendar'!$D$6:$D$400,IF($G628="","All",$G628),'Promo Calendar'!$I$6:$I$400,"&lt;="&amp;$A628,'Promo Calendar'!$J$6:$J$400,"&gt;="&amp;$A628,'Promo Calendar'!$G$6:$G$400,"&gt;0"),IF(COUNTIFS('Promo Calendar'!$A$6:$A$400,$C628,'Promo Calendar'!$D$6:$D$400,"All",'Promo Calendar'!$I$6:$I$400,"&lt;="&amp;$A628,'Promo Calendar'!$J$6:$J$400,"&gt;="&amp;$A628,'Promo Calendar'!$G$6:$G$400,"&gt;0")&gt;0,_xlfn.MINIFS('Promo Calendar'!$G$6:$G$400,'Promo Calendar'!$A$6:$A$400,$C628,'Promo Calendar'!$D$6:$D$400,"All",'Promo Calendar'!$I$6:$I$400,"&lt;="&amp;$A628,'Promo Calendar'!$J$6:$J$400,"&gt;="&amp;$A628,'Promo Calendar'!$G$6:$G$400,"&gt;0"),IFERROR(IF(INDEX('Chain Program'!$M$6:$M$120,MATCH($C628,'Chain Program'!$A$6:$A$120,0))="","Not set",INDEX('Chain Program'!$M$6:$M$120,MATCH($C628,'Chain Program'!$A$6:$A$120,0))),"Not set"))))</f>
        <v/>
      </c>
      <c r="I628" s="61" t="n"/>
      <c r="J628" s="45">
        <f>IF($I628="","",IF(NOT(ISNUMBER($H628)),"No plan price",IF(ABS($I628-$H628)&lt;0.005,"Match",IF($I628&gt;$H628,"Over plan","Under plan"))))</f>
        <v/>
      </c>
      <c r="K628" s="60" t="n"/>
      <c r="L628" s="60" t="n"/>
      <c r="M628" s="60" t="n"/>
      <c r="N628" s="60" t="n"/>
      <c r="O628" s="60" t="n"/>
      <c r="P628" s="62" t="n"/>
      <c r="Q628" s="62" t="n"/>
      <c r="R628" s="60" t="n"/>
      <c r="S628" s="59" t="n"/>
      <c r="T628" s="60" t="n"/>
      <c r="U628" s="59" t="n"/>
      <c r="V628" s="45">
        <f>IF(OR($A628="",$T628="",$T628="No Issue"),"",IF($T628="Resolved",IF($U628="","",$U628-$A628),TODAY()-$A628))</f>
        <v/>
      </c>
      <c r="W628" s="47">
        <f>IF(AND($C628&lt;&gt;"",$C628='Store History'!$C$4,OR('Store History'!$C$5="",$F628='Store History'!$C$5)),1,0)</f>
        <v/>
      </c>
      <c r="X628" s="47">
        <f>IF($W628=1,SUM($W628:$W$1005),"")</f>
        <v/>
      </c>
    </row>
    <row r="629">
      <c r="A629" s="59" t="n"/>
      <c r="B629" s="60" t="n"/>
      <c r="C629" s="60" t="n"/>
      <c r="D629" s="45">
        <f>IF($C629="","",IFERROR(INDEX('Chain Program'!$B$6:$B$120,MATCH($C629,'Chain Program'!$A$6:$A$120,0)),"Unknown ID"))</f>
        <v/>
      </c>
      <c r="E629" s="45">
        <f>IF($C629="","",IFERROR(INDEX('Chain Program'!$D$6:$D$120,MATCH($C629,'Chain Program'!$A$6:$A$120,0)),"Unknown ID"))</f>
        <v/>
      </c>
      <c r="F629" s="60" t="n"/>
      <c r="G629" s="60" t="n"/>
      <c r="H629" s="56">
        <f>IF(OR($C629="",$A629=""),"",IF(COUNTIFS('Promo Calendar'!$A$6:$A$400,$C629,'Promo Calendar'!$D$6:$D$400,IF($G629="","All",$G629),'Promo Calendar'!$I$6:$I$400,"&lt;="&amp;$A629,'Promo Calendar'!$J$6:$J$400,"&gt;="&amp;$A629,'Promo Calendar'!$G$6:$G$400,"&gt;0")&gt;0,_xlfn.MINIFS('Promo Calendar'!$G$6:$G$400,'Promo Calendar'!$A$6:$A$400,$C629,'Promo Calendar'!$D$6:$D$400,IF($G629="","All",$G629),'Promo Calendar'!$I$6:$I$400,"&lt;="&amp;$A629,'Promo Calendar'!$J$6:$J$400,"&gt;="&amp;$A629,'Promo Calendar'!$G$6:$G$400,"&gt;0"),IF(COUNTIFS('Promo Calendar'!$A$6:$A$400,$C629,'Promo Calendar'!$D$6:$D$400,"All",'Promo Calendar'!$I$6:$I$400,"&lt;="&amp;$A629,'Promo Calendar'!$J$6:$J$400,"&gt;="&amp;$A629,'Promo Calendar'!$G$6:$G$400,"&gt;0")&gt;0,_xlfn.MINIFS('Promo Calendar'!$G$6:$G$400,'Promo Calendar'!$A$6:$A$400,$C629,'Promo Calendar'!$D$6:$D$400,"All",'Promo Calendar'!$I$6:$I$400,"&lt;="&amp;$A629,'Promo Calendar'!$J$6:$J$400,"&gt;="&amp;$A629,'Promo Calendar'!$G$6:$G$400,"&gt;0"),IFERROR(IF(INDEX('Chain Program'!$M$6:$M$120,MATCH($C629,'Chain Program'!$A$6:$A$120,0))="","Not set",INDEX('Chain Program'!$M$6:$M$120,MATCH($C629,'Chain Program'!$A$6:$A$120,0))),"Not set"))))</f>
        <v/>
      </c>
      <c r="I629" s="61" t="n"/>
      <c r="J629" s="45">
        <f>IF($I629="","",IF(NOT(ISNUMBER($H629)),"No plan price",IF(ABS($I629-$H629)&lt;0.005,"Match",IF($I629&gt;$H629,"Over plan","Under plan"))))</f>
        <v/>
      </c>
      <c r="K629" s="60" t="n"/>
      <c r="L629" s="60" t="n"/>
      <c r="M629" s="60" t="n"/>
      <c r="N629" s="60" t="n"/>
      <c r="O629" s="60" t="n"/>
      <c r="P629" s="62" t="n"/>
      <c r="Q629" s="62" t="n"/>
      <c r="R629" s="60" t="n"/>
      <c r="S629" s="59" t="n"/>
      <c r="T629" s="60" t="n"/>
      <c r="U629" s="59" t="n"/>
      <c r="V629" s="45">
        <f>IF(OR($A629="",$T629="",$T629="No Issue"),"",IF($T629="Resolved",IF($U629="","",$U629-$A629),TODAY()-$A629))</f>
        <v/>
      </c>
      <c r="W629" s="47">
        <f>IF(AND($C629&lt;&gt;"",$C629='Store History'!$C$4,OR('Store History'!$C$5="",$F629='Store History'!$C$5)),1,0)</f>
        <v/>
      </c>
      <c r="X629" s="47">
        <f>IF($W629=1,SUM($W629:$W$1005),"")</f>
        <v/>
      </c>
    </row>
    <row r="630">
      <c r="A630" s="59" t="n"/>
      <c r="B630" s="60" t="n"/>
      <c r="C630" s="60" t="n"/>
      <c r="D630" s="45">
        <f>IF($C630="","",IFERROR(INDEX('Chain Program'!$B$6:$B$120,MATCH($C630,'Chain Program'!$A$6:$A$120,0)),"Unknown ID"))</f>
        <v/>
      </c>
      <c r="E630" s="45">
        <f>IF($C630="","",IFERROR(INDEX('Chain Program'!$D$6:$D$120,MATCH($C630,'Chain Program'!$A$6:$A$120,0)),"Unknown ID"))</f>
        <v/>
      </c>
      <c r="F630" s="60" t="n"/>
      <c r="G630" s="60" t="n"/>
      <c r="H630" s="56">
        <f>IF(OR($C630="",$A630=""),"",IF(COUNTIFS('Promo Calendar'!$A$6:$A$400,$C630,'Promo Calendar'!$D$6:$D$400,IF($G630="","All",$G630),'Promo Calendar'!$I$6:$I$400,"&lt;="&amp;$A630,'Promo Calendar'!$J$6:$J$400,"&gt;="&amp;$A630,'Promo Calendar'!$G$6:$G$400,"&gt;0")&gt;0,_xlfn.MINIFS('Promo Calendar'!$G$6:$G$400,'Promo Calendar'!$A$6:$A$400,$C630,'Promo Calendar'!$D$6:$D$400,IF($G630="","All",$G630),'Promo Calendar'!$I$6:$I$400,"&lt;="&amp;$A630,'Promo Calendar'!$J$6:$J$400,"&gt;="&amp;$A630,'Promo Calendar'!$G$6:$G$400,"&gt;0"),IF(COUNTIFS('Promo Calendar'!$A$6:$A$400,$C630,'Promo Calendar'!$D$6:$D$400,"All",'Promo Calendar'!$I$6:$I$400,"&lt;="&amp;$A630,'Promo Calendar'!$J$6:$J$400,"&gt;="&amp;$A630,'Promo Calendar'!$G$6:$G$400,"&gt;0")&gt;0,_xlfn.MINIFS('Promo Calendar'!$G$6:$G$400,'Promo Calendar'!$A$6:$A$400,$C630,'Promo Calendar'!$D$6:$D$400,"All",'Promo Calendar'!$I$6:$I$400,"&lt;="&amp;$A630,'Promo Calendar'!$J$6:$J$400,"&gt;="&amp;$A630,'Promo Calendar'!$G$6:$G$400,"&gt;0"),IFERROR(IF(INDEX('Chain Program'!$M$6:$M$120,MATCH($C630,'Chain Program'!$A$6:$A$120,0))="","Not set",INDEX('Chain Program'!$M$6:$M$120,MATCH($C630,'Chain Program'!$A$6:$A$120,0))),"Not set"))))</f>
        <v/>
      </c>
      <c r="I630" s="61" t="n"/>
      <c r="J630" s="45">
        <f>IF($I630="","",IF(NOT(ISNUMBER($H630)),"No plan price",IF(ABS($I630-$H630)&lt;0.005,"Match",IF($I630&gt;$H630,"Over plan","Under plan"))))</f>
        <v/>
      </c>
      <c r="K630" s="60" t="n"/>
      <c r="L630" s="60" t="n"/>
      <c r="M630" s="60" t="n"/>
      <c r="N630" s="60" t="n"/>
      <c r="O630" s="60" t="n"/>
      <c r="P630" s="62" t="n"/>
      <c r="Q630" s="62" t="n"/>
      <c r="R630" s="60" t="n"/>
      <c r="S630" s="59" t="n"/>
      <c r="T630" s="60" t="n"/>
      <c r="U630" s="59" t="n"/>
      <c r="V630" s="45">
        <f>IF(OR($A630="",$T630="",$T630="No Issue"),"",IF($T630="Resolved",IF($U630="","",$U630-$A630),TODAY()-$A630))</f>
        <v/>
      </c>
      <c r="W630" s="47">
        <f>IF(AND($C630&lt;&gt;"",$C630='Store History'!$C$4,OR('Store History'!$C$5="",$F630='Store History'!$C$5)),1,0)</f>
        <v/>
      </c>
      <c r="X630" s="47">
        <f>IF($W630=1,SUM($W630:$W$1005),"")</f>
        <v/>
      </c>
    </row>
    <row r="631">
      <c r="A631" s="59" t="n"/>
      <c r="B631" s="60" t="n"/>
      <c r="C631" s="60" t="n"/>
      <c r="D631" s="45">
        <f>IF($C631="","",IFERROR(INDEX('Chain Program'!$B$6:$B$120,MATCH($C631,'Chain Program'!$A$6:$A$120,0)),"Unknown ID"))</f>
        <v/>
      </c>
      <c r="E631" s="45">
        <f>IF($C631="","",IFERROR(INDEX('Chain Program'!$D$6:$D$120,MATCH($C631,'Chain Program'!$A$6:$A$120,0)),"Unknown ID"))</f>
        <v/>
      </c>
      <c r="F631" s="60" t="n"/>
      <c r="G631" s="60" t="n"/>
      <c r="H631" s="56">
        <f>IF(OR($C631="",$A631=""),"",IF(COUNTIFS('Promo Calendar'!$A$6:$A$400,$C631,'Promo Calendar'!$D$6:$D$400,IF($G631="","All",$G631),'Promo Calendar'!$I$6:$I$400,"&lt;="&amp;$A631,'Promo Calendar'!$J$6:$J$400,"&gt;="&amp;$A631,'Promo Calendar'!$G$6:$G$400,"&gt;0")&gt;0,_xlfn.MINIFS('Promo Calendar'!$G$6:$G$400,'Promo Calendar'!$A$6:$A$400,$C631,'Promo Calendar'!$D$6:$D$400,IF($G631="","All",$G631),'Promo Calendar'!$I$6:$I$400,"&lt;="&amp;$A631,'Promo Calendar'!$J$6:$J$400,"&gt;="&amp;$A631,'Promo Calendar'!$G$6:$G$400,"&gt;0"),IF(COUNTIFS('Promo Calendar'!$A$6:$A$400,$C631,'Promo Calendar'!$D$6:$D$400,"All",'Promo Calendar'!$I$6:$I$400,"&lt;="&amp;$A631,'Promo Calendar'!$J$6:$J$400,"&gt;="&amp;$A631,'Promo Calendar'!$G$6:$G$400,"&gt;0")&gt;0,_xlfn.MINIFS('Promo Calendar'!$G$6:$G$400,'Promo Calendar'!$A$6:$A$400,$C631,'Promo Calendar'!$D$6:$D$400,"All",'Promo Calendar'!$I$6:$I$400,"&lt;="&amp;$A631,'Promo Calendar'!$J$6:$J$400,"&gt;="&amp;$A631,'Promo Calendar'!$G$6:$G$400,"&gt;0"),IFERROR(IF(INDEX('Chain Program'!$M$6:$M$120,MATCH($C631,'Chain Program'!$A$6:$A$120,0))="","Not set",INDEX('Chain Program'!$M$6:$M$120,MATCH($C631,'Chain Program'!$A$6:$A$120,0))),"Not set"))))</f>
        <v/>
      </c>
      <c r="I631" s="61" t="n"/>
      <c r="J631" s="45">
        <f>IF($I631="","",IF(NOT(ISNUMBER($H631)),"No plan price",IF(ABS($I631-$H631)&lt;0.005,"Match",IF($I631&gt;$H631,"Over plan","Under plan"))))</f>
        <v/>
      </c>
      <c r="K631" s="60" t="n"/>
      <c r="L631" s="60" t="n"/>
      <c r="M631" s="60" t="n"/>
      <c r="N631" s="60" t="n"/>
      <c r="O631" s="60" t="n"/>
      <c r="P631" s="62" t="n"/>
      <c r="Q631" s="62" t="n"/>
      <c r="R631" s="60" t="n"/>
      <c r="S631" s="59" t="n"/>
      <c r="T631" s="60" t="n"/>
      <c r="U631" s="59" t="n"/>
      <c r="V631" s="45">
        <f>IF(OR($A631="",$T631="",$T631="No Issue"),"",IF($T631="Resolved",IF($U631="","",$U631-$A631),TODAY()-$A631))</f>
        <v/>
      </c>
      <c r="W631" s="47">
        <f>IF(AND($C631&lt;&gt;"",$C631='Store History'!$C$4,OR('Store History'!$C$5="",$F631='Store History'!$C$5)),1,0)</f>
        <v/>
      </c>
      <c r="X631" s="47">
        <f>IF($W631=1,SUM($W631:$W$1005),"")</f>
        <v/>
      </c>
    </row>
    <row r="632">
      <c r="A632" s="59" t="n"/>
      <c r="B632" s="60" t="n"/>
      <c r="C632" s="60" t="n"/>
      <c r="D632" s="45">
        <f>IF($C632="","",IFERROR(INDEX('Chain Program'!$B$6:$B$120,MATCH($C632,'Chain Program'!$A$6:$A$120,0)),"Unknown ID"))</f>
        <v/>
      </c>
      <c r="E632" s="45">
        <f>IF($C632="","",IFERROR(INDEX('Chain Program'!$D$6:$D$120,MATCH($C632,'Chain Program'!$A$6:$A$120,0)),"Unknown ID"))</f>
        <v/>
      </c>
      <c r="F632" s="60" t="n"/>
      <c r="G632" s="60" t="n"/>
      <c r="H632" s="56">
        <f>IF(OR($C632="",$A632=""),"",IF(COUNTIFS('Promo Calendar'!$A$6:$A$400,$C632,'Promo Calendar'!$D$6:$D$400,IF($G632="","All",$G632),'Promo Calendar'!$I$6:$I$400,"&lt;="&amp;$A632,'Promo Calendar'!$J$6:$J$400,"&gt;="&amp;$A632,'Promo Calendar'!$G$6:$G$400,"&gt;0")&gt;0,_xlfn.MINIFS('Promo Calendar'!$G$6:$G$400,'Promo Calendar'!$A$6:$A$400,$C632,'Promo Calendar'!$D$6:$D$400,IF($G632="","All",$G632),'Promo Calendar'!$I$6:$I$400,"&lt;="&amp;$A632,'Promo Calendar'!$J$6:$J$400,"&gt;="&amp;$A632,'Promo Calendar'!$G$6:$G$400,"&gt;0"),IF(COUNTIFS('Promo Calendar'!$A$6:$A$400,$C632,'Promo Calendar'!$D$6:$D$400,"All",'Promo Calendar'!$I$6:$I$400,"&lt;="&amp;$A632,'Promo Calendar'!$J$6:$J$400,"&gt;="&amp;$A632,'Promo Calendar'!$G$6:$G$400,"&gt;0")&gt;0,_xlfn.MINIFS('Promo Calendar'!$G$6:$G$400,'Promo Calendar'!$A$6:$A$400,$C632,'Promo Calendar'!$D$6:$D$400,"All",'Promo Calendar'!$I$6:$I$400,"&lt;="&amp;$A632,'Promo Calendar'!$J$6:$J$400,"&gt;="&amp;$A632,'Promo Calendar'!$G$6:$G$400,"&gt;0"),IFERROR(IF(INDEX('Chain Program'!$M$6:$M$120,MATCH($C632,'Chain Program'!$A$6:$A$120,0))="","Not set",INDEX('Chain Program'!$M$6:$M$120,MATCH($C632,'Chain Program'!$A$6:$A$120,0))),"Not set"))))</f>
        <v/>
      </c>
      <c r="I632" s="61" t="n"/>
      <c r="J632" s="45">
        <f>IF($I632="","",IF(NOT(ISNUMBER($H632)),"No plan price",IF(ABS($I632-$H632)&lt;0.005,"Match",IF($I632&gt;$H632,"Over plan","Under plan"))))</f>
        <v/>
      </c>
      <c r="K632" s="60" t="n"/>
      <c r="L632" s="60" t="n"/>
      <c r="M632" s="60" t="n"/>
      <c r="N632" s="60" t="n"/>
      <c r="O632" s="60" t="n"/>
      <c r="P632" s="62" t="n"/>
      <c r="Q632" s="62" t="n"/>
      <c r="R632" s="60" t="n"/>
      <c r="S632" s="59" t="n"/>
      <c r="T632" s="60" t="n"/>
      <c r="U632" s="59" t="n"/>
      <c r="V632" s="45">
        <f>IF(OR($A632="",$T632="",$T632="No Issue"),"",IF($T632="Resolved",IF($U632="","",$U632-$A632),TODAY()-$A632))</f>
        <v/>
      </c>
      <c r="W632" s="47">
        <f>IF(AND($C632&lt;&gt;"",$C632='Store History'!$C$4,OR('Store History'!$C$5="",$F632='Store History'!$C$5)),1,0)</f>
        <v/>
      </c>
      <c r="X632" s="47">
        <f>IF($W632=1,SUM($W632:$W$1005),"")</f>
        <v/>
      </c>
    </row>
    <row r="633">
      <c r="A633" s="59" t="n"/>
      <c r="B633" s="60" t="n"/>
      <c r="C633" s="60" t="n"/>
      <c r="D633" s="45">
        <f>IF($C633="","",IFERROR(INDEX('Chain Program'!$B$6:$B$120,MATCH($C633,'Chain Program'!$A$6:$A$120,0)),"Unknown ID"))</f>
        <v/>
      </c>
      <c r="E633" s="45">
        <f>IF($C633="","",IFERROR(INDEX('Chain Program'!$D$6:$D$120,MATCH($C633,'Chain Program'!$A$6:$A$120,0)),"Unknown ID"))</f>
        <v/>
      </c>
      <c r="F633" s="60" t="n"/>
      <c r="G633" s="60" t="n"/>
      <c r="H633" s="56">
        <f>IF(OR($C633="",$A633=""),"",IF(COUNTIFS('Promo Calendar'!$A$6:$A$400,$C633,'Promo Calendar'!$D$6:$D$400,IF($G633="","All",$G633),'Promo Calendar'!$I$6:$I$400,"&lt;="&amp;$A633,'Promo Calendar'!$J$6:$J$400,"&gt;="&amp;$A633,'Promo Calendar'!$G$6:$G$400,"&gt;0")&gt;0,_xlfn.MINIFS('Promo Calendar'!$G$6:$G$400,'Promo Calendar'!$A$6:$A$400,$C633,'Promo Calendar'!$D$6:$D$400,IF($G633="","All",$G633),'Promo Calendar'!$I$6:$I$400,"&lt;="&amp;$A633,'Promo Calendar'!$J$6:$J$400,"&gt;="&amp;$A633,'Promo Calendar'!$G$6:$G$400,"&gt;0"),IF(COUNTIFS('Promo Calendar'!$A$6:$A$400,$C633,'Promo Calendar'!$D$6:$D$400,"All",'Promo Calendar'!$I$6:$I$400,"&lt;="&amp;$A633,'Promo Calendar'!$J$6:$J$400,"&gt;="&amp;$A633,'Promo Calendar'!$G$6:$G$400,"&gt;0")&gt;0,_xlfn.MINIFS('Promo Calendar'!$G$6:$G$400,'Promo Calendar'!$A$6:$A$400,$C633,'Promo Calendar'!$D$6:$D$400,"All",'Promo Calendar'!$I$6:$I$400,"&lt;="&amp;$A633,'Promo Calendar'!$J$6:$J$400,"&gt;="&amp;$A633,'Promo Calendar'!$G$6:$G$400,"&gt;0"),IFERROR(IF(INDEX('Chain Program'!$M$6:$M$120,MATCH($C633,'Chain Program'!$A$6:$A$120,0))="","Not set",INDEX('Chain Program'!$M$6:$M$120,MATCH($C633,'Chain Program'!$A$6:$A$120,0))),"Not set"))))</f>
        <v/>
      </c>
      <c r="I633" s="61" t="n"/>
      <c r="J633" s="45">
        <f>IF($I633="","",IF(NOT(ISNUMBER($H633)),"No plan price",IF(ABS($I633-$H633)&lt;0.005,"Match",IF($I633&gt;$H633,"Over plan","Under plan"))))</f>
        <v/>
      </c>
      <c r="K633" s="60" t="n"/>
      <c r="L633" s="60" t="n"/>
      <c r="M633" s="60" t="n"/>
      <c r="N633" s="60" t="n"/>
      <c r="O633" s="60" t="n"/>
      <c r="P633" s="62" t="n"/>
      <c r="Q633" s="62" t="n"/>
      <c r="R633" s="60" t="n"/>
      <c r="S633" s="59" t="n"/>
      <c r="T633" s="60" t="n"/>
      <c r="U633" s="59" t="n"/>
      <c r="V633" s="45">
        <f>IF(OR($A633="",$T633="",$T633="No Issue"),"",IF($T633="Resolved",IF($U633="","",$U633-$A633),TODAY()-$A633))</f>
        <v/>
      </c>
      <c r="W633" s="47">
        <f>IF(AND($C633&lt;&gt;"",$C633='Store History'!$C$4,OR('Store History'!$C$5="",$F633='Store History'!$C$5)),1,0)</f>
        <v/>
      </c>
      <c r="X633" s="47">
        <f>IF($W633=1,SUM($W633:$W$1005),"")</f>
        <v/>
      </c>
    </row>
    <row r="634">
      <c r="A634" s="59" t="n"/>
      <c r="B634" s="60" t="n"/>
      <c r="C634" s="60" t="n"/>
      <c r="D634" s="45">
        <f>IF($C634="","",IFERROR(INDEX('Chain Program'!$B$6:$B$120,MATCH($C634,'Chain Program'!$A$6:$A$120,0)),"Unknown ID"))</f>
        <v/>
      </c>
      <c r="E634" s="45">
        <f>IF($C634="","",IFERROR(INDEX('Chain Program'!$D$6:$D$120,MATCH($C634,'Chain Program'!$A$6:$A$120,0)),"Unknown ID"))</f>
        <v/>
      </c>
      <c r="F634" s="60" t="n"/>
      <c r="G634" s="60" t="n"/>
      <c r="H634" s="56">
        <f>IF(OR($C634="",$A634=""),"",IF(COUNTIFS('Promo Calendar'!$A$6:$A$400,$C634,'Promo Calendar'!$D$6:$D$400,IF($G634="","All",$G634),'Promo Calendar'!$I$6:$I$400,"&lt;="&amp;$A634,'Promo Calendar'!$J$6:$J$400,"&gt;="&amp;$A634,'Promo Calendar'!$G$6:$G$400,"&gt;0")&gt;0,_xlfn.MINIFS('Promo Calendar'!$G$6:$G$400,'Promo Calendar'!$A$6:$A$400,$C634,'Promo Calendar'!$D$6:$D$400,IF($G634="","All",$G634),'Promo Calendar'!$I$6:$I$400,"&lt;="&amp;$A634,'Promo Calendar'!$J$6:$J$400,"&gt;="&amp;$A634,'Promo Calendar'!$G$6:$G$400,"&gt;0"),IF(COUNTIFS('Promo Calendar'!$A$6:$A$400,$C634,'Promo Calendar'!$D$6:$D$400,"All",'Promo Calendar'!$I$6:$I$400,"&lt;="&amp;$A634,'Promo Calendar'!$J$6:$J$400,"&gt;="&amp;$A634,'Promo Calendar'!$G$6:$G$400,"&gt;0")&gt;0,_xlfn.MINIFS('Promo Calendar'!$G$6:$G$400,'Promo Calendar'!$A$6:$A$400,$C634,'Promo Calendar'!$D$6:$D$400,"All",'Promo Calendar'!$I$6:$I$400,"&lt;="&amp;$A634,'Promo Calendar'!$J$6:$J$400,"&gt;="&amp;$A634,'Promo Calendar'!$G$6:$G$400,"&gt;0"),IFERROR(IF(INDEX('Chain Program'!$M$6:$M$120,MATCH($C634,'Chain Program'!$A$6:$A$120,0))="","Not set",INDEX('Chain Program'!$M$6:$M$120,MATCH($C634,'Chain Program'!$A$6:$A$120,0))),"Not set"))))</f>
        <v/>
      </c>
      <c r="I634" s="61" t="n"/>
      <c r="J634" s="45">
        <f>IF($I634="","",IF(NOT(ISNUMBER($H634)),"No plan price",IF(ABS($I634-$H634)&lt;0.005,"Match",IF($I634&gt;$H634,"Over plan","Under plan"))))</f>
        <v/>
      </c>
      <c r="K634" s="60" t="n"/>
      <c r="L634" s="60" t="n"/>
      <c r="M634" s="60" t="n"/>
      <c r="N634" s="60" t="n"/>
      <c r="O634" s="60" t="n"/>
      <c r="P634" s="62" t="n"/>
      <c r="Q634" s="62" t="n"/>
      <c r="R634" s="60" t="n"/>
      <c r="S634" s="59" t="n"/>
      <c r="T634" s="60" t="n"/>
      <c r="U634" s="59" t="n"/>
      <c r="V634" s="45">
        <f>IF(OR($A634="",$T634="",$T634="No Issue"),"",IF($T634="Resolved",IF($U634="","",$U634-$A634),TODAY()-$A634))</f>
        <v/>
      </c>
      <c r="W634" s="47">
        <f>IF(AND($C634&lt;&gt;"",$C634='Store History'!$C$4,OR('Store History'!$C$5="",$F634='Store History'!$C$5)),1,0)</f>
        <v/>
      </c>
      <c r="X634" s="47">
        <f>IF($W634=1,SUM($W634:$W$1005),"")</f>
        <v/>
      </c>
    </row>
    <row r="635">
      <c r="A635" s="59" t="n"/>
      <c r="B635" s="60" t="n"/>
      <c r="C635" s="60" t="n"/>
      <c r="D635" s="45">
        <f>IF($C635="","",IFERROR(INDEX('Chain Program'!$B$6:$B$120,MATCH($C635,'Chain Program'!$A$6:$A$120,0)),"Unknown ID"))</f>
        <v/>
      </c>
      <c r="E635" s="45">
        <f>IF($C635="","",IFERROR(INDEX('Chain Program'!$D$6:$D$120,MATCH($C635,'Chain Program'!$A$6:$A$120,0)),"Unknown ID"))</f>
        <v/>
      </c>
      <c r="F635" s="60" t="n"/>
      <c r="G635" s="60" t="n"/>
      <c r="H635" s="56">
        <f>IF(OR($C635="",$A635=""),"",IF(COUNTIFS('Promo Calendar'!$A$6:$A$400,$C635,'Promo Calendar'!$D$6:$D$400,IF($G635="","All",$G635),'Promo Calendar'!$I$6:$I$400,"&lt;="&amp;$A635,'Promo Calendar'!$J$6:$J$400,"&gt;="&amp;$A635,'Promo Calendar'!$G$6:$G$400,"&gt;0")&gt;0,_xlfn.MINIFS('Promo Calendar'!$G$6:$G$400,'Promo Calendar'!$A$6:$A$400,$C635,'Promo Calendar'!$D$6:$D$400,IF($G635="","All",$G635),'Promo Calendar'!$I$6:$I$400,"&lt;="&amp;$A635,'Promo Calendar'!$J$6:$J$400,"&gt;="&amp;$A635,'Promo Calendar'!$G$6:$G$400,"&gt;0"),IF(COUNTIFS('Promo Calendar'!$A$6:$A$400,$C635,'Promo Calendar'!$D$6:$D$400,"All",'Promo Calendar'!$I$6:$I$400,"&lt;="&amp;$A635,'Promo Calendar'!$J$6:$J$400,"&gt;="&amp;$A635,'Promo Calendar'!$G$6:$G$400,"&gt;0")&gt;0,_xlfn.MINIFS('Promo Calendar'!$G$6:$G$400,'Promo Calendar'!$A$6:$A$400,$C635,'Promo Calendar'!$D$6:$D$400,"All",'Promo Calendar'!$I$6:$I$400,"&lt;="&amp;$A635,'Promo Calendar'!$J$6:$J$400,"&gt;="&amp;$A635,'Promo Calendar'!$G$6:$G$400,"&gt;0"),IFERROR(IF(INDEX('Chain Program'!$M$6:$M$120,MATCH($C635,'Chain Program'!$A$6:$A$120,0))="","Not set",INDEX('Chain Program'!$M$6:$M$120,MATCH($C635,'Chain Program'!$A$6:$A$120,0))),"Not set"))))</f>
        <v/>
      </c>
      <c r="I635" s="61" t="n"/>
      <c r="J635" s="45">
        <f>IF($I635="","",IF(NOT(ISNUMBER($H635)),"No plan price",IF(ABS($I635-$H635)&lt;0.005,"Match",IF($I635&gt;$H635,"Over plan","Under plan"))))</f>
        <v/>
      </c>
      <c r="K635" s="60" t="n"/>
      <c r="L635" s="60" t="n"/>
      <c r="M635" s="60" t="n"/>
      <c r="N635" s="60" t="n"/>
      <c r="O635" s="60" t="n"/>
      <c r="P635" s="62" t="n"/>
      <c r="Q635" s="62" t="n"/>
      <c r="R635" s="60" t="n"/>
      <c r="S635" s="59" t="n"/>
      <c r="T635" s="60" t="n"/>
      <c r="U635" s="59" t="n"/>
      <c r="V635" s="45">
        <f>IF(OR($A635="",$T635="",$T635="No Issue"),"",IF($T635="Resolved",IF($U635="","",$U635-$A635),TODAY()-$A635))</f>
        <v/>
      </c>
      <c r="W635" s="47">
        <f>IF(AND($C635&lt;&gt;"",$C635='Store History'!$C$4,OR('Store History'!$C$5="",$F635='Store History'!$C$5)),1,0)</f>
        <v/>
      </c>
      <c r="X635" s="47">
        <f>IF($W635=1,SUM($W635:$W$1005),"")</f>
        <v/>
      </c>
    </row>
    <row r="636">
      <c r="A636" s="59" t="n"/>
      <c r="B636" s="60" t="n"/>
      <c r="C636" s="60" t="n"/>
      <c r="D636" s="45">
        <f>IF($C636="","",IFERROR(INDEX('Chain Program'!$B$6:$B$120,MATCH($C636,'Chain Program'!$A$6:$A$120,0)),"Unknown ID"))</f>
        <v/>
      </c>
      <c r="E636" s="45">
        <f>IF($C636="","",IFERROR(INDEX('Chain Program'!$D$6:$D$120,MATCH($C636,'Chain Program'!$A$6:$A$120,0)),"Unknown ID"))</f>
        <v/>
      </c>
      <c r="F636" s="60" t="n"/>
      <c r="G636" s="60" t="n"/>
      <c r="H636" s="56">
        <f>IF(OR($C636="",$A636=""),"",IF(COUNTIFS('Promo Calendar'!$A$6:$A$400,$C636,'Promo Calendar'!$D$6:$D$400,IF($G636="","All",$G636),'Promo Calendar'!$I$6:$I$400,"&lt;="&amp;$A636,'Promo Calendar'!$J$6:$J$400,"&gt;="&amp;$A636,'Promo Calendar'!$G$6:$G$400,"&gt;0")&gt;0,_xlfn.MINIFS('Promo Calendar'!$G$6:$G$400,'Promo Calendar'!$A$6:$A$400,$C636,'Promo Calendar'!$D$6:$D$400,IF($G636="","All",$G636),'Promo Calendar'!$I$6:$I$400,"&lt;="&amp;$A636,'Promo Calendar'!$J$6:$J$400,"&gt;="&amp;$A636,'Promo Calendar'!$G$6:$G$400,"&gt;0"),IF(COUNTIFS('Promo Calendar'!$A$6:$A$400,$C636,'Promo Calendar'!$D$6:$D$400,"All",'Promo Calendar'!$I$6:$I$400,"&lt;="&amp;$A636,'Promo Calendar'!$J$6:$J$400,"&gt;="&amp;$A636,'Promo Calendar'!$G$6:$G$400,"&gt;0")&gt;0,_xlfn.MINIFS('Promo Calendar'!$G$6:$G$400,'Promo Calendar'!$A$6:$A$400,$C636,'Promo Calendar'!$D$6:$D$400,"All",'Promo Calendar'!$I$6:$I$400,"&lt;="&amp;$A636,'Promo Calendar'!$J$6:$J$400,"&gt;="&amp;$A636,'Promo Calendar'!$G$6:$G$400,"&gt;0"),IFERROR(IF(INDEX('Chain Program'!$M$6:$M$120,MATCH($C636,'Chain Program'!$A$6:$A$120,0))="","Not set",INDEX('Chain Program'!$M$6:$M$120,MATCH($C636,'Chain Program'!$A$6:$A$120,0))),"Not set"))))</f>
        <v/>
      </c>
      <c r="I636" s="61" t="n"/>
      <c r="J636" s="45">
        <f>IF($I636="","",IF(NOT(ISNUMBER($H636)),"No plan price",IF(ABS($I636-$H636)&lt;0.005,"Match",IF($I636&gt;$H636,"Over plan","Under plan"))))</f>
        <v/>
      </c>
      <c r="K636" s="60" t="n"/>
      <c r="L636" s="60" t="n"/>
      <c r="M636" s="60" t="n"/>
      <c r="N636" s="60" t="n"/>
      <c r="O636" s="60" t="n"/>
      <c r="P636" s="62" t="n"/>
      <c r="Q636" s="62" t="n"/>
      <c r="R636" s="60" t="n"/>
      <c r="S636" s="59" t="n"/>
      <c r="T636" s="60" t="n"/>
      <c r="U636" s="59" t="n"/>
      <c r="V636" s="45">
        <f>IF(OR($A636="",$T636="",$T636="No Issue"),"",IF($T636="Resolved",IF($U636="","",$U636-$A636),TODAY()-$A636))</f>
        <v/>
      </c>
      <c r="W636" s="47">
        <f>IF(AND($C636&lt;&gt;"",$C636='Store History'!$C$4,OR('Store History'!$C$5="",$F636='Store History'!$C$5)),1,0)</f>
        <v/>
      </c>
      <c r="X636" s="47">
        <f>IF($W636=1,SUM($W636:$W$1005),"")</f>
        <v/>
      </c>
    </row>
    <row r="637">
      <c r="A637" s="59" t="n"/>
      <c r="B637" s="60" t="n"/>
      <c r="C637" s="60" t="n"/>
      <c r="D637" s="45">
        <f>IF($C637="","",IFERROR(INDEX('Chain Program'!$B$6:$B$120,MATCH($C637,'Chain Program'!$A$6:$A$120,0)),"Unknown ID"))</f>
        <v/>
      </c>
      <c r="E637" s="45">
        <f>IF($C637="","",IFERROR(INDEX('Chain Program'!$D$6:$D$120,MATCH($C637,'Chain Program'!$A$6:$A$120,0)),"Unknown ID"))</f>
        <v/>
      </c>
      <c r="F637" s="60" t="n"/>
      <c r="G637" s="60" t="n"/>
      <c r="H637" s="56">
        <f>IF(OR($C637="",$A637=""),"",IF(COUNTIFS('Promo Calendar'!$A$6:$A$400,$C637,'Promo Calendar'!$D$6:$D$400,IF($G637="","All",$G637),'Promo Calendar'!$I$6:$I$400,"&lt;="&amp;$A637,'Promo Calendar'!$J$6:$J$400,"&gt;="&amp;$A637,'Promo Calendar'!$G$6:$G$400,"&gt;0")&gt;0,_xlfn.MINIFS('Promo Calendar'!$G$6:$G$400,'Promo Calendar'!$A$6:$A$400,$C637,'Promo Calendar'!$D$6:$D$400,IF($G637="","All",$G637),'Promo Calendar'!$I$6:$I$400,"&lt;="&amp;$A637,'Promo Calendar'!$J$6:$J$400,"&gt;="&amp;$A637,'Promo Calendar'!$G$6:$G$400,"&gt;0"),IF(COUNTIFS('Promo Calendar'!$A$6:$A$400,$C637,'Promo Calendar'!$D$6:$D$400,"All",'Promo Calendar'!$I$6:$I$400,"&lt;="&amp;$A637,'Promo Calendar'!$J$6:$J$400,"&gt;="&amp;$A637,'Promo Calendar'!$G$6:$G$400,"&gt;0")&gt;0,_xlfn.MINIFS('Promo Calendar'!$G$6:$G$400,'Promo Calendar'!$A$6:$A$400,$C637,'Promo Calendar'!$D$6:$D$400,"All",'Promo Calendar'!$I$6:$I$400,"&lt;="&amp;$A637,'Promo Calendar'!$J$6:$J$400,"&gt;="&amp;$A637,'Promo Calendar'!$G$6:$G$400,"&gt;0"),IFERROR(IF(INDEX('Chain Program'!$M$6:$M$120,MATCH($C637,'Chain Program'!$A$6:$A$120,0))="","Not set",INDEX('Chain Program'!$M$6:$M$120,MATCH($C637,'Chain Program'!$A$6:$A$120,0))),"Not set"))))</f>
        <v/>
      </c>
      <c r="I637" s="61" t="n"/>
      <c r="J637" s="45">
        <f>IF($I637="","",IF(NOT(ISNUMBER($H637)),"No plan price",IF(ABS($I637-$H637)&lt;0.005,"Match",IF($I637&gt;$H637,"Over plan","Under plan"))))</f>
        <v/>
      </c>
      <c r="K637" s="60" t="n"/>
      <c r="L637" s="60" t="n"/>
      <c r="M637" s="60" t="n"/>
      <c r="N637" s="60" t="n"/>
      <c r="O637" s="60" t="n"/>
      <c r="P637" s="62" t="n"/>
      <c r="Q637" s="62" t="n"/>
      <c r="R637" s="60" t="n"/>
      <c r="S637" s="59" t="n"/>
      <c r="T637" s="60" t="n"/>
      <c r="U637" s="59" t="n"/>
      <c r="V637" s="45">
        <f>IF(OR($A637="",$T637="",$T637="No Issue"),"",IF($T637="Resolved",IF($U637="","",$U637-$A637),TODAY()-$A637))</f>
        <v/>
      </c>
      <c r="W637" s="47">
        <f>IF(AND($C637&lt;&gt;"",$C637='Store History'!$C$4,OR('Store History'!$C$5="",$F637='Store History'!$C$5)),1,0)</f>
        <v/>
      </c>
      <c r="X637" s="47">
        <f>IF($W637=1,SUM($W637:$W$1005),"")</f>
        <v/>
      </c>
    </row>
    <row r="638">
      <c r="A638" s="59" t="n"/>
      <c r="B638" s="60" t="n"/>
      <c r="C638" s="60" t="n"/>
      <c r="D638" s="45">
        <f>IF($C638="","",IFERROR(INDEX('Chain Program'!$B$6:$B$120,MATCH($C638,'Chain Program'!$A$6:$A$120,0)),"Unknown ID"))</f>
        <v/>
      </c>
      <c r="E638" s="45">
        <f>IF($C638="","",IFERROR(INDEX('Chain Program'!$D$6:$D$120,MATCH($C638,'Chain Program'!$A$6:$A$120,0)),"Unknown ID"))</f>
        <v/>
      </c>
      <c r="F638" s="60" t="n"/>
      <c r="G638" s="60" t="n"/>
      <c r="H638" s="56">
        <f>IF(OR($C638="",$A638=""),"",IF(COUNTIFS('Promo Calendar'!$A$6:$A$400,$C638,'Promo Calendar'!$D$6:$D$400,IF($G638="","All",$G638),'Promo Calendar'!$I$6:$I$400,"&lt;="&amp;$A638,'Promo Calendar'!$J$6:$J$400,"&gt;="&amp;$A638,'Promo Calendar'!$G$6:$G$400,"&gt;0")&gt;0,_xlfn.MINIFS('Promo Calendar'!$G$6:$G$400,'Promo Calendar'!$A$6:$A$400,$C638,'Promo Calendar'!$D$6:$D$400,IF($G638="","All",$G638),'Promo Calendar'!$I$6:$I$400,"&lt;="&amp;$A638,'Promo Calendar'!$J$6:$J$400,"&gt;="&amp;$A638,'Promo Calendar'!$G$6:$G$400,"&gt;0"),IF(COUNTIFS('Promo Calendar'!$A$6:$A$400,$C638,'Promo Calendar'!$D$6:$D$400,"All",'Promo Calendar'!$I$6:$I$400,"&lt;="&amp;$A638,'Promo Calendar'!$J$6:$J$400,"&gt;="&amp;$A638,'Promo Calendar'!$G$6:$G$400,"&gt;0")&gt;0,_xlfn.MINIFS('Promo Calendar'!$G$6:$G$400,'Promo Calendar'!$A$6:$A$400,$C638,'Promo Calendar'!$D$6:$D$400,"All",'Promo Calendar'!$I$6:$I$400,"&lt;="&amp;$A638,'Promo Calendar'!$J$6:$J$400,"&gt;="&amp;$A638,'Promo Calendar'!$G$6:$G$400,"&gt;0"),IFERROR(IF(INDEX('Chain Program'!$M$6:$M$120,MATCH($C638,'Chain Program'!$A$6:$A$120,0))="","Not set",INDEX('Chain Program'!$M$6:$M$120,MATCH($C638,'Chain Program'!$A$6:$A$120,0))),"Not set"))))</f>
        <v/>
      </c>
      <c r="I638" s="61" t="n"/>
      <c r="J638" s="45">
        <f>IF($I638="","",IF(NOT(ISNUMBER($H638)),"No plan price",IF(ABS($I638-$H638)&lt;0.005,"Match",IF($I638&gt;$H638,"Over plan","Under plan"))))</f>
        <v/>
      </c>
      <c r="K638" s="60" t="n"/>
      <c r="L638" s="60" t="n"/>
      <c r="M638" s="60" t="n"/>
      <c r="N638" s="60" t="n"/>
      <c r="O638" s="60" t="n"/>
      <c r="P638" s="62" t="n"/>
      <c r="Q638" s="62" t="n"/>
      <c r="R638" s="60" t="n"/>
      <c r="S638" s="59" t="n"/>
      <c r="T638" s="60" t="n"/>
      <c r="U638" s="59" t="n"/>
      <c r="V638" s="45">
        <f>IF(OR($A638="",$T638="",$T638="No Issue"),"",IF($T638="Resolved",IF($U638="","",$U638-$A638),TODAY()-$A638))</f>
        <v/>
      </c>
      <c r="W638" s="47">
        <f>IF(AND($C638&lt;&gt;"",$C638='Store History'!$C$4,OR('Store History'!$C$5="",$F638='Store History'!$C$5)),1,0)</f>
        <v/>
      </c>
      <c r="X638" s="47">
        <f>IF($W638=1,SUM($W638:$W$1005),"")</f>
        <v/>
      </c>
    </row>
    <row r="639">
      <c r="A639" s="59" t="n"/>
      <c r="B639" s="60" t="n"/>
      <c r="C639" s="60" t="n"/>
      <c r="D639" s="45">
        <f>IF($C639="","",IFERROR(INDEX('Chain Program'!$B$6:$B$120,MATCH($C639,'Chain Program'!$A$6:$A$120,0)),"Unknown ID"))</f>
        <v/>
      </c>
      <c r="E639" s="45">
        <f>IF($C639="","",IFERROR(INDEX('Chain Program'!$D$6:$D$120,MATCH($C639,'Chain Program'!$A$6:$A$120,0)),"Unknown ID"))</f>
        <v/>
      </c>
      <c r="F639" s="60" t="n"/>
      <c r="G639" s="60" t="n"/>
      <c r="H639" s="56">
        <f>IF(OR($C639="",$A639=""),"",IF(COUNTIFS('Promo Calendar'!$A$6:$A$400,$C639,'Promo Calendar'!$D$6:$D$400,IF($G639="","All",$G639),'Promo Calendar'!$I$6:$I$400,"&lt;="&amp;$A639,'Promo Calendar'!$J$6:$J$400,"&gt;="&amp;$A639,'Promo Calendar'!$G$6:$G$400,"&gt;0")&gt;0,_xlfn.MINIFS('Promo Calendar'!$G$6:$G$400,'Promo Calendar'!$A$6:$A$400,$C639,'Promo Calendar'!$D$6:$D$400,IF($G639="","All",$G639),'Promo Calendar'!$I$6:$I$400,"&lt;="&amp;$A639,'Promo Calendar'!$J$6:$J$400,"&gt;="&amp;$A639,'Promo Calendar'!$G$6:$G$400,"&gt;0"),IF(COUNTIFS('Promo Calendar'!$A$6:$A$400,$C639,'Promo Calendar'!$D$6:$D$400,"All",'Promo Calendar'!$I$6:$I$400,"&lt;="&amp;$A639,'Promo Calendar'!$J$6:$J$400,"&gt;="&amp;$A639,'Promo Calendar'!$G$6:$G$400,"&gt;0")&gt;0,_xlfn.MINIFS('Promo Calendar'!$G$6:$G$400,'Promo Calendar'!$A$6:$A$400,$C639,'Promo Calendar'!$D$6:$D$400,"All",'Promo Calendar'!$I$6:$I$400,"&lt;="&amp;$A639,'Promo Calendar'!$J$6:$J$400,"&gt;="&amp;$A639,'Promo Calendar'!$G$6:$G$400,"&gt;0"),IFERROR(IF(INDEX('Chain Program'!$M$6:$M$120,MATCH($C639,'Chain Program'!$A$6:$A$120,0))="","Not set",INDEX('Chain Program'!$M$6:$M$120,MATCH($C639,'Chain Program'!$A$6:$A$120,0))),"Not set"))))</f>
        <v/>
      </c>
      <c r="I639" s="61" t="n"/>
      <c r="J639" s="45">
        <f>IF($I639="","",IF(NOT(ISNUMBER($H639)),"No plan price",IF(ABS($I639-$H639)&lt;0.005,"Match",IF($I639&gt;$H639,"Over plan","Under plan"))))</f>
        <v/>
      </c>
      <c r="K639" s="60" t="n"/>
      <c r="L639" s="60" t="n"/>
      <c r="M639" s="60" t="n"/>
      <c r="N639" s="60" t="n"/>
      <c r="O639" s="60" t="n"/>
      <c r="P639" s="62" t="n"/>
      <c r="Q639" s="62" t="n"/>
      <c r="R639" s="60" t="n"/>
      <c r="S639" s="59" t="n"/>
      <c r="T639" s="60" t="n"/>
      <c r="U639" s="59" t="n"/>
      <c r="V639" s="45">
        <f>IF(OR($A639="",$T639="",$T639="No Issue"),"",IF($T639="Resolved",IF($U639="","",$U639-$A639),TODAY()-$A639))</f>
        <v/>
      </c>
      <c r="W639" s="47">
        <f>IF(AND($C639&lt;&gt;"",$C639='Store History'!$C$4,OR('Store History'!$C$5="",$F639='Store History'!$C$5)),1,0)</f>
        <v/>
      </c>
      <c r="X639" s="47">
        <f>IF($W639=1,SUM($W639:$W$1005),"")</f>
        <v/>
      </c>
    </row>
    <row r="640">
      <c r="A640" s="59" t="n"/>
      <c r="B640" s="60" t="n"/>
      <c r="C640" s="60" t="n"/>
      <c r="D640" s="45">
        <f>IF($C640="","",IFERROR(INDEX('Chain Program'!$B$6:$B$120,MATCH($C640,'Chain Program'!$A$6:$A$120,0)),"Unknown ID"))</f>
        <v/>
      </c>
      <c r="E640" s="45">
        <f>IF($C640="","",IFERROR(INDEX('Chain Program'!$D$6:$D$120,MATCH($C640,'Chain Program'!$A$6:$A$120,0)),"Unknown ID"))</f>
        <v/>
      </c>
      <c r="F640" s="60" t="n"/>
      <c r="G640" s="60" t="n"/>
      <c r="H640" s="56">
        <f>IF(OR($C640="",$A640=""),"",IF(COUNTIFS('Promo Calendar'!$A$6:$A$400,$C640,'Promo Calendar'!$D$6:$D$400,IF($G640="","All",$G640),'Promo Calendar'!$I$6:$I$400,"&lt;="&amp;$A640,'Promo Calendar'!$J$6:$J$400,"&gt;="&amp;$A640,'Promo Calendar'!$G$6:$G$400,"&gt;0")&gt;0,_xlfn.MINIFS('Promo Calendar'!$G$6:$G$400,'Promo Calendar'!$A$6:$A$400,$C640,'Promo Calendar'!$D$6:$D$400,IF($G640="","All",$G640),'Promo Calendar'!$I$6:$I$400,"&lt;="&amp;$A640,'Promo Calendar'!$J$6:$J$400,"&gt;="&amp;$A640,'Promo Calendar'!$G$6:$G$400,"&gt;0"),IF(COUNTIFS('Promo Calendar'!$A$6:$A$400,$C640,'Promo Calendar'!$D$6:$D$400,"All",'Promo Calendar'!$I$6:$I$400,"&lt;="&amp;$A640,'Promo Calendar'!$J$6:$J$400,"&gt;="&amp;$A640,'Promo Calendar'!$G$6:$G$400,"&gt;0")&gt;0,_xlfn.MINIFS('Promo Calendar'!$G$6:$G$400,'Promo Calendar'!$A$6:$A$400,$C640,'Promo Calendar'!$D$6:$D$400,"All",'Promo Calendar'!$I$6:$I$400,"&lt;="&amp;$A640,'Promo Calendar'!$J$6:$J$400,"&gt;="&amp;$A640,'Promo Calendar'!$G$6:$G$400,"&gt;0"),IFERROR(IF(INDEX('Chain Program'!$M$6:$M$120,MATCH($C640,'Chain Program'!$A$6:$A$120,0))="","Not set",INDEX('Chain Program'!$M$6:$M$120,MATCH($C640,'Chain Program'!$A$6:$A$120,0))),"Not set"))))</f>
        <v/>
      </c>
      <c r="I640" s="61" t="n"/>
      <c r="J640" s="45">
        <f>IF($I640="","",IF(NOT(ISNUMBER($H640)),"No plan price",IF(ABS($I640-$H640)&lt;0.005,"Match",IF($I640&gt;$H640,"Over plan","Under plan"))))</f>
        <v/>
      </c>
      <c r="K640" s="60" t="n"/>
      <c r="L640" s="60" t="n"/>
      <c r="M640" s="60" t="n"/>
      <c r="N640" s="60" t="n"/>
      <c r="O640" s="60" t="n"/>
      <c r="P640" s="62" t="n"/>
      <c r="Q640" s="62" t="n"/>
      <c r="R640" s="60" t="n"/>
      <c r="S640" s="59" t="n"/>
      <c r="T640" s="60" t="n"/>
      <c r="U640" s="59" t="n"/>
      <c r="V640" s="45">
        <f>IF(OR($A640="",$T640="",$T640="No Issue"),"",IF($T640="Resolved",IF($U640="","",$U640-$A640),TODAY()-$A640))</f>
        <v/>
      </c>
      <c r="W640" s="47">
        <f>IF(AND($C640&lt;&gt;"",$C640='Store History'!$C$4,OR('Store History'!$C$5="",$F640='Store History'!$C$5)),1,0)</f>
        <v/>
      </c>
      <c r="X640" s="47">
        <f>IF($W640=1,SUM($W640:$W$1005),"")</f>
        <v/>
      </c>
    </row>
    <row r="641">
      <c r="A641" s="59" t="n"/>
      <c r="B641" s="60" t="n"/>
      <c r="C641" s="60" t="n"/>
      <c r="D641" s="45">
        <f>IF($C641="","",IFERROR(INDEX('Chain Program'!$B$6:$B$120,MATCH($C641,'Chain Program'!$A$6:$A$120,0)),"Unknown ID"))</f>
        <v/>
      </c>
      <c r="E641" s="45">
        <f>IF($C641="","",IFERROR(INDEX('Chain Program'!$D$6:$D$120,MATCH($C641,'Chain Program'!$A$6:$A$120,0)),"Unknown ID"))</f>
        <v/>
      </c>
      <c r="F641" s="60" t="n"/>
      <c r="G641" s="60" t="n"/>
      <c r="H641" s="56">
        <f>IF(OR($C641="",$A641=""),"",IF(COUNTIFS('Promo Calendar'!$A$6:$A$400,$C641,'Promo Calendar'!$D$6:$D$400,IF($G641="","All",$G641),'Promo Calendar'!$I$6:$I$400,"&lt;="&amp;$A641,'Promo Calendar'!$J$6:$J$400,"&gt;="&amp;$A641,'Promo Calendar'!$G$6:$G$400,"&gt;0")&gt;0,_xlfn.MINIFS('Promo Calendar'!$G$6:$G$400,'Promo Calendar'!$A$6:$A$400,$C641,'Promo Calendar'!$D$6:$D$400,IF($G641="","All",$G641),'Promo Calendar'!$I$6:$I$400,"&lt;="&amp;$A641,'Promo Calendar'!$J$6:$J$400,"&gt;="&amp;$A641,'Promo Calendar'!$G$6:$G$400,"&gt;0"),IF(COUNTIFS('Promo Calendar'!$A$6:$A$400,$C641,'Promo Calendar'!$D$6:$D$400,"All",'Promo Calendar'!$I$6:$I$400,"&lt;="&amp;$A641,'Promo Calendar'!$J$6:$J$400,"&gt;="&amp;$A641,'Promo Calendar'!$G$6:$G$400,"&gt;0")&gt;0,_xlfn.MINIFS('Promo Calendar'!$G$6:$G$400,'Promo Calendar'!$A$6:$A$400,$C641,'Promo Calendar'!$D$6:$D$400,"All",'Promo Calendar'!$I$6:$I$400,"&lt;="&amp;$A641,'Promo Calendar'!$J$6:$J$400,"&gt;="&amp;$A641,'Promo Calendar'!$G$6:$G$400,"&gt;0"),IFERROR(IF(INDEX('Chain Program'!$M$6:$M$120,MATCH($C641,'Chain Program'!$A$6:$A$120,0))="","Not set",INDEX('Chain Program'!$M$6:$M$120,MATCH($C641,'Chain Program'!$A$6:$A$120,0))),"Not set"))))</f>
        <v/>
      </c>
      <c r="I641" s="61" t="n"/>
      <c r="J641" s="45">
        <f>IF($I641="","",IF(NOT(ISNUMBER($H641)),"No plan price",IF(ABS($I641-$H641)&lt;0.005,"Match",IF($I641&gt;$H641,"Over plan","Under plan"))))</f>
        <v/>
      </c>
      <c r="K641" s="60" t="n"/>
      <c r="L641" s="60" t="n"/>
      <c r="M641" s="60" t="n"/>
      <c r="N641" s="60" t="n"/>
      <c r="O641" s="60" t="n"/>
      <c r="P641" s="62" t="n"/>
      <c r="Q641" s="62" t="n"/>
      <c r="R641" s="60" t="n"/>
      <c r="S641" s="59" t="n"/>
      <c r="T641" s="60" t="n"/>
      <c r="U641" s="59" t="n"/>
      <c r="V641" s="45">
        <f>IF(OR($A641="",$T641="",$T641="No Issue"),"",IF($T641="Resolved",IF($U641="","",$U641-$A641),TODAY()-$A641))</f>
        <v/>
      </c>
      <c r="W641" s="47">
        <f>IF(AND($C641&lt;&gt;"",$C641='Store History'!$C$4,OR('Store History'!$C$5="",$F641='Store History'!$C$5)),1,0)</f>
        <v/>
      </c>
      <c r="X641" s="47">
        <f>IF($W641=1,SUM($W641:$W$1005),"")</f>
        <v/>
      </c>
    </row>
    <row r="642">
      <c r="A642" s="59" t="n"/>
      <c r="B642" s="60" t="n"/>
      <c r="C642" s="60" t="n"/>
      <c r="D642" s="45">
        <f>IF($C642="","",IFERROR(INDEX('Chain Program'!$B$6:$B$120,MATCH($C642,'Chain Program'!$A$6:$A$120,0)),"Unknown ID"))</f>
        <v/>
      </c>
      <c r="E642" s="45">
        <f>IF($C642="","",IFERROR(INDEX('Chain Program'!$D$6:$D$120,MATCH($C642,'Chain Program'!$A$6:$A$120,0)),"Unknown ID"))</f>
        <v/>
      </c>
      <c r="F642" s="60" t="n"/>
      <c r="G642" s="60" t="n"/>
      <c r="H642" s="56">
        <f>IF(OR($C642="",$A642=""),"",IF(COUNTIFS('Promo Calendar'!$A$6:$A$400,$C642,'Promo Calendar'!$D$6:$D$400,IF($G642="","All",$G642),'Promo Calendar'!$I$6:$I$400,"&lt;="&amp;$A642,'Promo Calendar'!$J$6:$J$400,"&gt;="&amp;$A642,'Promo Calendar'!$G$6:$G$400,"&gt;0")&gt;0,_xlfn.MINIFS('Promo Calendar'!$G$6:$G$400,'Promo Calendar'!$A$6:$A$400,$C642,'Promo Calendar'!$D$6:$D$400,IF($G642="","All",$G642),'Promo Calendar'!$I$6:$I$400,"&lt;="&amp;$A642,'Promo Calendar'!$J$6:$J$400,"&gt;="&amp;$A642,'Promo Calendar'!$G$6:$G$400,"&gt;0"),IF(COUNTIFS('Promo Calendar'!$A$6:$A$400,$C642,'Promo Calendar'!$D$6:$D$400,"All",'Promo Calendar'!$I$6:$I$400,"&lt;="&amp;$A642,'Promo Calendar'!$J$6:$J$400,"&gt;="&amp;$A642,'Promo Calendar'!$G$6:$G$400,"&gt;0")&gt;0,_xlfn.MINIFS('Promo Calendar'!$G$6:$G$400,'Promo Calendar'!$A$6:$A$400,$C642,'Promo Calendar'!$D$6:$D$400,"All",'Promo Calendar'!$I$6:$I$400,"&lt;="&amp;$A642,'Promo Calendar'!$J$6:$J$400,"&gt;="&amp;$A642,'Promo Calendar'!$G$6:$G$400,"&gt;0"),IFERROR(IF(INDEX('Chain Program'!$M$6:$M$120,MATCH($C642,'Chain Program'!$A$6:$A$120,0))="","Not set",INDEX('Chain Program'!$M$6:$M$120,MATCH($C642,'Chain Program'!$A$6:$A$120,0))),"Not set"))))</f>
        <v/>
      </c>
      <c r="I642" s="61" t="n"/>
      <c r="J642" s="45">
        <f>IF($I642="","",IF(NOT(ISNUMBER($H642)),"No plan price",IF(ABS($I642-$H642)&lt;0.005,"Match",IF($I642&gt;$H642,"Over plan","Under plan"))))</f>
        <v/>
      </c>
      <c r="K642" s="60" t="n"/>
      <c r="L642" s="60" t="n"/>
      <c r="M642" s="60" t="n"/>
      <c r="N642" s="60" t="n"/>
      <c r="O642" s="60" t="n"/>
      <c r="P642" s="62" t="n"/>
      <c r="Q642" s="62" t="n"/>
      <c r="R642" s="60" t="n"/>
      <c r="S642" s="59" t="n"/>
      <c r="T642" s="60" t="n"/>
      <c r="U642" s="59" t="n"/>
      <c r="V642" s="45">
        <f>IF(OR($A642="",$T642="",$T642="No Issue"),"",IF($T642="Resolved",IF($U642="","",$U642-$A642),TODAY()-$A642))</f>
        <v/>
      </c>
      <c r="W642" s="47">
        <f>IF(AND($C642&lt;&gt;"",$C642='Store History'!$C$4,OR('Store History'!$C$5="",$F642='Store History'!$C$5)),1,0)</f>
        <v/>
      </c>
      <c r="X642" s="47">
        <f>IF($W642=1,SUM($W642:$W$1005),"")</f>
        <v/>
      </c>
    </row>
    <row r="643">
      <c r="A643" s="59" t="n"/>
      <c r="B643" s="60" t="n"/>
      <c r="C643" s="60" t="n"/>
      <c r="D643" s="45">
        <f>IF($C643="","",IFERROR(INDEX('Chain Program'!$B$6:$B$120,MATCH($C643,'Chain Program'!$A$6:$A$120,0)),"Unknown ID"))</f>
        <v/>
      </c>
      <c r="E643" s="45">
        <f>IF($C643="","",IFERROR(INDEX('Chain Program'!$D$6:$D$120,MATCH($C643,'Chain Program'!$A$6:$A$120,0)),"Unknown ID"))</f>
        <v/>
      </c>
      <c r="F643" s="60" t="n"/>
      <c r="G643" s="60" t="n"/>
      <c r="H643" s="56">
        <f>IF(OR($C643="",$A643=""),"",IF(COUNTIFS('Promo Calendar'!$A$6:$A$400,$C643,'Promo Calendar'!$D$6:$D$400,IF($G643="","All",$G643),'Promo Calendar'!$I$6:$I$400,"&lt;="&amp;$A643,'Promo Calendar'!$J$6:$J$400,"&gt;="&amp;$A643,'Promo Calendar'!$G$6:$G$400,"&gt;0")&gt;0,_xlfn.MINIFS('Promo Calendar'!$G$6:$G$400,'Promo Calendar'!$A$6:$A$400,$C643,'Promo Calendar'!$D$6:$D$400,IF($G643="","All",$G643),'Promo Calendar'!$I$6:$I$400,"&lt;="&amp;$A643,'Promo Calendar'!$J$6:$J$400,"&gt;="&amp;$A643,'Promo Calendar'!$G$6:$G$400,"&gt;0"),IF(COUNTIFS('Promo Calendar'!$A$6:$A$400,$C643,'Promo Calendar'!$D$6:$D$400,"All",'Promo Calendar'!$I$6:$I$400,"&lt;="&amp;$A643,'Promo Calendar'!$J$6:$J$400,"&gt;="&amp;$A643,'Promo Calendar'!$G$6:$G$400,"&gt;0")&gt;0,_xlfn.MINIFS('Promo Calendar'!$G$6:$G$400,'Promo Calendar'!$A$6:$A$400,$C643,'Promo Calendar'!$D$6:$D$400,"All",'Promo Calendar'!$I$6:$I$400,"&lt;="&amp;$A643,'Promo Calendar'!$J$6:$J$400,"&gt;="&amp;$A643,'Promo Calendar'!$G$6:$G$400,"&gt;0"),IFERROR(IF(INDEX('Chain Program'!$M$6:$M$120,MATCH($C643,'Chain Program'!$A$6:$A$120,0))="","Not set",INDEX('Chain Program'!$M$6:$M$120,MATCH($C643,'Chain Program'!$A$6:$A$120,0))),"Not set"))))</f>
        <v/>
      </c>
      <c r="I643" s="61" t="n"/>
      <c r="J643" s="45">
        <f>IF($I643="","",IF(NOT(ISNUMBER($H643)),"No plan price",IF(ABS($I643-$H643)&lt;0.005,"Match",IF($I643&gt;$H643,"Over plan","Under plan"))))</f>
        <v/>
      </c>
      <c r="K643" s="60" t="n"/>
      <c r="L643" s="60" t="n"/>
      <c r="M643" s="60" t="n"/>
      <c r="N643" s="60" t="n"/>
      <c r="O643" s="60" t="n"/>
      <c r="P643" s="62" t="n"/>
      <c r="Q643" s="62" t="n"/>
      <c r="R643" s="60" t="n"/>
      <c r="S643" s="59" t="n"/>
      <c r="T643" s="60" t="n"/>
      <c r="U643" s="59" t="n"/>
      <c r="V643" s="45">
        <f>IF(OR($A643="",$T643="",$T643="No Issue"),"",IF($T643="Resolved",IF($U643="","",$U643-$A643),TODAY()-$A643))</f>
        <v/>
      </c>
      <c r="W643" s="47">
        <f>IF(AND($C643&lt;&gt;"",$C643='Store History'!$C$4,OR('Store History'!$C$5="",$F643='Store History'!$C$5)),1,0)</f>
        <v/>
      </c>
      <c r="X643" s="47">
        <f>IF($W643=1,SUM($W643:$W$1005),"")</f>
        <v/>
      </c>
    </row>
    <row r="644">
      <c r="A644" s="59" t="n"/>
      <c r="B644" s="60" t="n"/>
      <c r="C644" s="60" t="n"/>
      <c r="D644" s="45">
        <f>IF($C644="","",IFERROR(INDEX('Chain Program'!$B$6:$B$120,MATCH($C644,'Chain Program'!$A$6:$A$120,0)),"Unknown ID"))</f>
        <v/>
      </c>
      <c r="E644" s="45">
        <f>IF($C644="","",IFERROR(INDEX('Chain Program'!$D$6:$D$120,MATCH($C644,'Chain Program'!$A$6:$A$120,0)),"Unknown ID"))</f>
        <v/>
      </c>
      <c r="F644" s="60" t="n"/>
      <c r="G644" s="60" t="n"/>
      <c r="H644" s="56">
        <f>IF(OR($C644="",$A644=""),"",IF(COUNTIFS('Promo Calendar'!$A$6:$A$400,$C644,'Promo Calendar'!$D$6:$D$400,IF($G644="","All",$G644),'Promo Calendar'!$I$6:$I$400,"&lt;="&amp;$A644,'Promo Calendar'!$J$6:$J$400,"&gt;="&amp;$A644,'Promo Calendar'!$G$6:$G$400,"&gt;0")&gt;0,_xlfn.MINIFS('Promo Calendar'!$G$6:$G$400,'Promo Calendar'!$A$6:$A$400,$C644,'Promo Calendar'!$D$6:$D$400,IF($G644="","All",$G644),'Promo Calendar'!$I$6:$I$400,"&lt;="&amp;$A644,'Promo Calendar'!$J$6:$J$400,"&gt;="&amp;$A644,'Promo Calendar'!$G$6:$G$400,"&gt;0"),IF(COUNTIFS('Promo Calendar'!$A$6:$A$400,$C644,'Promo Calendar'!$D$6:$D$400,"All",'Promo Calendar'!$I$6:$I$400,"&lt;="&amp;$A644,'Promo Calendar'!$J$6:$J$400,"&gt;="&amp;$A644,'Promo Calendar'!$G$6:$G$400,"&gt;0")&gt;0,_xlfn.MINIFS('Promo Calendar'!$G$6:$G$400,'Promo Calendar'!$A$6:$A$400,$C644,'Promo Calendar'!$D$6:$D$400,"All",'Promo Calendar'!$I$6:$I$400,"&lt;="&amp;$A644,'Promo Calendar'!$J$6:$J$400,"&gt;="&amp;$A644,'Promo Calendar'!$G$6:$G$400,"&gt;0"),IFERROR(IF(INDEX('Chain Program'!$M$6:$M$120,MATCH($C644,'Chain Program'!$A$6:$A$120,0))="","Not set",INDEX('Chain Program'!$M$6:$M$120,MATCH($C644,'Chain Program'!$A$6:$A$120,0))),"Not set"))))</f>
        <v/>
      </c>
      <c r="I644" s="61" t="n"/>
      <c r="J644" s="45">
        <f>IF($I644="","",IF(NOT(ISNUMBER($H644)),"No plan price",IF(ABS($I644-$H644)&lt;0.005,"Match",IF($I644&gt;$H644,"Over plan","Under plan"))))</f>
        <v/>
      </c>
      <c r="K644" s="60" t="n"/>
      <c r="L644" s="60" t="n"/>
      <c r="M644" s="60" t="n"/>
      <c r="N644" s="60" t="n"/>
      <c r="O644" s="60" t="n"/>
      <c r="P644" s="62" t="n"/>
      <c r="Q644" s="62" t="n"/>
      <c r="R644" s="60" t="n"/>
      <c r="S644" s="59" t="n"/>
      <c r="T644" s="60" t="n"/>
      <c r="U644" s="59" t="n"/>
      <c r="V644" s="45">
        <f>IF(OR($A644="",$T644="",$T644="No Issue"),"",IF($T644="Resolved",IF($U644="","",$U644-$A644),TODAY()-$A644))</f>
        <v/>
      </c>
      <c r="W644" s="47">
        <f>IF(AND($C644&lt;&gt;"",$C644='Store History'!$C$4,OR('Store History'!$C$5="",$F644='Store History'!$C$5)),1,0)</f>
        <v/>
      </c>
      <c r="X644" s="47">
        <f>IF($W644=1,SUM($W644:$W$1005),"")</f>
        <v/>
      </c>
    </row>
    <row r="645">
      <c r="A645" s="59" t="n"/>
      <c r="B645" s="60" t="n"/>
      <c r="C645" s="60" t="n"/>
      <c r="D645" s="45">
        <f>IF($C645="","",IFERROR(INDEX('Chain Program'!$B$6:$B$120,MATCH($C645,'Chain Program'!$A$6:$A$120,0)),"Unknown ID"))</f>
        <v/>
      </c>
      <c r="E645" s="45">
        <f>IF($C645="","",IFERROR(INDEX('Chain Program'!$D$6:$D$120,MATCH($C645,'Chain Program'!$A$6:$A$120,0)),"Unknown ID"))</f>
        <v/>
      </c>
      <c r="F645" s="60" t="n"/>
      <c r="G645" s="60" t="n"/>
      <c r="H645" s="56">
        <f>IF(OR($C645="",$A645=""),"",IF(COUNTIFS('Promo Calendar'!$A$6:$A$400,$C645,'Promo Calendar'!$D$6:$D$400,IF($G645="","All",$G645),'Promo Calendar'!$I$6:$I$400,"&lt;="&amp;$A645,'Promo Calendar'!$J$6:$J$400,"&gt;="&amp;$A645,'Promo Calendar'!$G$6:$G$400,"&gt;0")&gt;0,_xlfn.MINIFS('Promo Calendar'!$G$6:$G$400,'Promo Calendar'!$A$6:$A$400,$C645,'Promo Calendar'!$D$6:$D$400,IF($G645="","All",$G645),'Promo Calendar'!$I$6:$I$400,"&lt;="&amp;$A645,'Promo Calendar'!$J$6:$J$400,"&gt;="&amp;$A645,'Promo Calendar'!$G$6:$G$400,"&gt;0"),IF(COUNTIFS('Promo Calendar'!$A$6:$A$400,$C645,'Promo Calendar'!$D$6:$D$400,"All",'Promo Calendar'!$I$6:$I$400,"&lt;="&amp;$A645,'Promo Calendar'!$J$6:$J$400,"&gt;="&amp;$A645,'Promo Calendar'!$G$6:$G$400,"&gt;0")&gt;0,_xlfn.MINIFS('Promo Calendar'!$G$6:$G$400,'Promo Calendar'!$A$6:$A$400,$C645,'Promo Calendar'!$D$6:$D$400,"All",'Promo Calendar'!$I$6:$I$400,"&lt;="&amp;$A645,'Promo Calendar'!$J$6:$J$400,"&gt;="&amp;$A645,'Promo Calendar'!$G$6:$G$400,"&gt;0"),IFERROR(IF(INDEX('Chain Program'!$M$6:$M$120,MATCH($C645,'Chain Program'!$A$6:$A$120,0))="","Not set",INDEX('Chain Program'!$M$6:$M$120,MATCH($C645,'Chain Program'!$A$6:$A$120,0))),"Not set"))))</f>
        <v/>
      </c>
      <c r="I645" s="61" t="n"/>
      <c r="J645" s="45">
        <f>IF($I645="","",IF(NOT(ISNUMBER($H645)),"No plan price",IF(ABS($I645-$H645)&lt;0.005,"Match",IF($I645&gt;$H645,"Over plan","Under plan"))))</f>
        <v/>
      </c>
      <c r="K645" s="60" t="n"/>
      <c r="L645" s="60" t="n"/>
      <c r="M645" s="60" t="n"/>
      <c r="N645" s="60" t="n"/>
      <c r="O645" s="60" t="n"/>
      <c r="P645" s="62" t="n"/>
      <c r="Q645" s="62" t="n"/>
      <c r="R645" s="60" t="n"/>
      <c r="S645" s="59" t="n"/>
      <c r="T645" s="60" t="n"/>
      <c r="U645" s="59" t="n"/>
      <c r="V645" s="45">
        <f>IF(OR($A645="",$T645="",$T645="No Issue"),"",IF($T645="Resolved",IF($U645="","",$U645-$A645),TODAY()-$A645))</f>
        <v/>
      </c>
      <c r="W645" s="47">
        <f>IF(AND($C645&lt;&gt;"",$C645='Store History'!$C$4,OR('Store History'!$C$5="",$F645='Store History'!$C$5)),1,0)</f>
        <v/>
      </c>
      <c r="X645" s="47">
        <f>IF($W645=1,SUM($W645:$W$1005),"")</f>
        <v/>
      </c>
    </row>
    <row r="646">
      <c r="A646" s="59" t="n"/>
      <c r="B646" s="60" t="n"/>
      <c r="C646" s="60" t="n"/>
      <c r="D646" s="45">
        <f>IF($C646="","",IFERROR(INDEX('Chain Program'!$B$6:$B$120,MATCH($C646,'Chain Program'!$A$6:$A$120,0)),"Unknown ID"))</f>
        <v/>
      </c>
      <c r="E646" s="45">
        <f>IF($C646="","",IFERROR(INDEX('Chain Program'!$D$6:$D$120,MATCH($C646,'Chain Program'!$A$6:$A$120,0)),"Unknown ID"))</f>
        <v/>
      </c>
      <c r="F646" s="60" t="n"/>
      <c r="G646" s="60" t="n"/>
      <c r="H646" s="56">
        <f>IF(OR($C646="",$A646=""),"",IF(COUNTIFS('Promo Calendar'!$A$6:$A$400,$C646,'Promo Calendar'!$D$6:$D$400,IF($G646="","All",$G646),'Promo Calendar'!$I$6:$I$400,"&lt;="&amp;$A646,'Promo Calendar'!$J$6:$J$400,"&gt;="&amp;$A646,'Promo Calendar'!$G$6:$G$400,"&gt;0")&gt;0,_xlfn.MINIFS('Promo Calendar'!$G$6:$G$400,'Promo Calendar'!$A$6:$A$400,$C646,'Promo Calendar'!$D$6:$D$400,IF($G646="","All",$G646),'Promo Calendar'!$I$6:$I$400,"&lt;="&amp;$A646,'Promo Calendar'!$J$6:$J$400,"&gt;="&amp;$A646,'Promo Calendar'!$G$6:$G$400,"&gt;0"),IF(COUNTIFS('Promo Calendar'!$A$6:$A$400,$C646,'Promo Calendar'!$D$6:$D$400,"All",'Promo Calendar'!$I$6:$I$400,"&lt;="&amp;$A646,'Promo Calendar'!$J$6:$J$400,"&gt;="&amp;$A646,'Promo Calendar'!$G$6:$G$400,"&gt;0")&gt;0,_xlfn.MINIFS('Promo Calendar'!$G$6:$G$400,'Promo Calendar'!$A$6:$A$400,$C646,'Promo Calendar'!$D$6:$D$400,"All",'Promo Calendar'!$I$6:$I$400,"&lt;="&amp;$A646,'Promo Calendar'!$J$6:$J$400,"&gt;="&amp;$A646,'Promo Calendar'!$G$6:$G$400,"&gt;0"),IFERROR(IF(INDEX('Chain Program'!$M$6:$M$120,MATCH($C646,'Chain Program'!$A$6:$A$120,0))="","Not set",INDEX('Chain Program'!$M$6:$M$120,MATCH($C646,'Chain Program'!$A$6:$A$120,0))),"Not set"))))</f>
        <v/>
      </c>
      <c r="I646" s="61" t="n"/>
      <c r="J646" s="45">
        <f>IF($I646="","",IF(NOT(ISNUMBER($H646)),"No plan price",IF(ABS($I646-$H646)&lt;0.005,"Match",IF($I646&gt;$H646,"Over plan","Under plan"))))</f>
        <v/>
      </c>
      <c r="K646" s="60" t="n"/>
      <c r="L646" s="60" t="n"/>
      <c r="M646" s="60" t="n"/>
      <c r="N646" s="60" t="n"/>
      <c r="O646" s="60" t="n"/>
      <c r="P646" s="62" t="n"/>
      <c r="Q646" s="62" t="n"/>
      <c r="R646" s="60" t="n"/>
      <c r="S646" s="59" t="n"/>
      <c r="T646" s="60" t="n"/>
      <c r="U646" s="59" t="n"/>
      <c r="V646" s="45">
        <f>IF(OR($A646="",$T646="",$T646="No Issue"),"",IF($T646="Resolved",IF($U646="","",$U646-$A646),TODAY()-$A646))</f>
        <v/>
      </c>
      <c r="W646" s="47">
        <f>IF(AND($C646&lt;&gt;"",$C646='Store History'!$C$4,OR('Store History'!$C$5="",$F646='Store History'!$C$5)),1,0)</f>
        <v/>
      </c>
      <c r="X646" s="47">
        <f>IF($W646=1,SUM($W646:$W$1005),"")</f>
        <v/>
      </c>
    </row>
    <row r="647">
      <c r="A647" s="59" t="n"/>
      <c r="B647" s="60" t="n"/>
      <c r="C647" s="60" t="n"/>
      <c r="D647" s="45">
        <f>IF($C647="","",IFERROR(INDEX('Chain Program'!$B$6:$B$120,MATCH($C647,'Chain Program'!$A$6:$A$120,0)),"Unknown ID"))</f>
        <v/>
      </c>
      <c r="E647" s="45">
        <f>IF($C647="","",IFERROR(INDEX('Chain Program'!$D$6:$D$120,MATCH($C647,'Chain Program'!$A$6:$A$120,0)),"Unknown ID"))</f>
        <v/>
      </c>
      <c r="F647" s="60" t="n"/>
      <c r="G647" s="60" t="n"/>
      <c r="H647" s="56">
        <f>IF(OR($C647="",$A647=""),"",IF(COUNTIFS('Promo Calendar'!$A$6:$A$400,$C647,'Promo Calendar'!$D$6:$D$400,IF($G647="","All",$G647),'Promo Calendar'!$I$6:$I$400,"&lt;="&amp;$A647,'Promo Calendar'!$J$6:$J$400,"&gt;="&amp;$A647,'Promo Calendar'!$G$6:$G$400,"&gt;0")&gt;0,_xlfn.MINIFS('Promo Calendar'!$G$6:$G$400,'Promo Calendar'!$A$6:$A$400,$C647,'Promo Calendar'!$D$6:$D$400,IF($G647="","All",$G647),'Promo Calendar'!$I$6:$I$400,"&lt;="&amp;$A647,'Promo Calendar'!$J$6:$J$400,"&gt;="&amp;$A647,'Promo Calendar'!$G$6:$G$400,"&gt;0"),IF(COUNTIFS('Promo Calendar'!$A$6:$A$400,$C647,'Promo Calendar'!$D$6:$D$400,"All",'Promo Calendar'!$I$6:$I$400,"&lt;="&amp;$A647,'Promo Calendar'!$J$6:$J$400,"&gt;="&amp;$A647,'Promo Calendar'!$G$6:$G$400,"&gt;0")&gt;0,_xlfn.MINIFS('Promo Calendar'!$G$6:$G$400,'Promo Calendar'!$A$6:$A$400,$C647,'Promo Calendar'!$D$6:$D$400,"All",'Promo Calendar'!$I$6:$I$400,"&lt;="&amp;$A647,'Promo Calendar'!$J$6:$J$400,"&gt;="&amp;$A647,'Promo Calendar'!$G$6:$G$400,"&gt;0"),IFERROR(IF(INDEX('Chain Program'!$M$6:$M$120,MATCH($C647,'Chain Program'!$A$6:$A$120,0))="","Not set",INDEX('Chain Program'!$M$6:$M$120,MATCH($C647,'Chain Program'!$A$6:$A$120,0))),"Not set"))))</f>
        <v/>
      </c>
      <c r="I647" s="61" t="n"/>
      <c r="J647" s="45">
        <f>IF($I647="","",IF(NOT(ISNUMBER($H647)),"No plan price",IF(ABS($I647-$H647)&lt;0.005,"Match",IF($I647&gt;$H647,"Over plan","Under plan"))))</f>
        <v/>
      </c>
      <c r="K647" s="60" t="n"/>
      <c r="L647" s="60" t="n"/>
      <c r="M647" s="60" t="n"/>
      <c r="N647" s="60" t="n"/>
      <c r="O647" s="60" t="n"/>
      <c r="P647" s="62" t="n"/>
      <c r="Q647" s="62" t="n"/>
      <c r="R647" s="60" t="n"/>
      <c r="S647" s="59" t="n"/>
      <c r="T647" s="60" t="n"/>
      <c r="U647" s="59" t="n"/>
      <c r="V647" s="45">
        <f>IF(OR($A647="",$T647="",$T647="No Issue"),"",IF($T647="Resolved",IF($U647="","",$U647-$A647),TODAY()-$A647))</f>
        <v/>
      </c>
      <c r="W647" s="47">
        <f>IF(AND($C647&lt;&gt;"",$C647='Store History'!$C$4,OR('Store History'!$C$5="",$F647='Store History'!$C$5)),1,0)</f>
        <v/>
      </c>
      <c r="X647" s="47">
        <f>IF($W647=1,SUM($W647:$W$1005),"")</f>
        <v/>
      </c>
    </row>
    <row r="648">
      <c r="A648" s="59" t="n"/>
      <c r="B648" s="60" t="n"/>
      <c r="C648" s="60" t="n"/>
      <c r="D648" s="45">
        <f>IF($C648="","",IFERROR(INDEX('Chain Program'!$B$6:$B$120,MATCH($C648,'Chain Program'!$A$6:$A$120,0)),"Unknown ID"))</f>
        <v/>
      </c>
      <c r="E648" s="45">
        <f>IF($C648="","",IFERROR(INDEX('Chain Program'!$D$6:$D$120,MATCH($C648,'Chain Program'!$A$6:$A$120,0)),"Unknown ID"))</f>
        <v/>
      </c>
      <c r="F648" s="60" t="n"/>
      <c r="G648" s="60" t="n"/>
      <c r="H648" s="56">
        <f>IF(OR($C648="",$A648=""),"",IF(COUNTIFS('Promo Calendar'!$A$6:$A$400,$C648,'Promo Calendar'!$D$6:$D$400,IF($G648="","All",$G648),'Promo Calendar'!$I$6:$I$400,"&lt;="&amp;$A648,'Promo Calendar'!$J$6:$J$400,"&gt;="&amp;$A648,'Promo Calendar'!$G$6:$G$400,"&gt;0")&gt;0,_xlfn.MINIFS('Promo Calendar'!$G$6:$G$400,'Promo Calendar'!$A$6:$A$400,$C648,'Promo Calendar'!$D$6:$D$400,IF($G648="","All",$G648),'Promo Calendar'!$I$6:$I$400,"&lt;="&amp;$A648,'Promo Calendar'!$J$6:$J$400,"&gt;="&amp;$A648,'Promo Calendar'!$G$6:$G$400,"&gt;0"),IF(COUNTIFS('Promo Calendar'!$A$6:$A$400,$C648,'Promo Calendar'!$D$6:$D$400,"All",'Promo Calendar'!$I$6:$I$400,"&lt;="&amp;$A648,'Promo Calendar'!$J$6:$J$400,"&gt;="&amp;$A648,'Promo Calendar'!$G$6:$G$400,"&gt;0")&gt;0,_xlfn.MINIFS('Promo Calendar'!$G$6:$G$400,'Promo Calendar'!$A$6:$A$400,$C648,'Promo Calendar'!$D$6:$D$400,"All",'Promo Calendar'!$I$6:$I$400,"&lt;="&amp;$A648,'Promo Calendar'!$J$6:$J$400,"&gt;="&amp;$A648,'Promo Calendar'!$G$6:$G$400,"&gt;0"),IFERROR(IF(INDEX('Chain Program'!$M$6:$M$120,MATCH($C648,'Chain Program'!$A$6:$A$120,0))="","Not set",INDEX('Chain Program'!$M$6:$M$120,MATCH($C648,'Chain Program'!$A$6:$A$120,0))),"Not set"))))</f>
        <v/>
      </c>
      <c r="I648" s="61" t="n"/>
      <c r="J648" s="45">
        <f>IF($I648="","",IF(NOT(ISNUMBER($H648)),"No plan price",IF(ABS($I648-$H648)&lt;0.005,"Match",IF($I648&gt;$H648,"Over plan","Under plan"))))</f>
        <v/>
      </c>
      <c r="K648" s="60" t="n"/>
      <c r="L648" s="60" t="n"/>
      <c r="M648" s="60" t="n"/>
      <c r="N648" s="60" t="n"/>
      <c r="O648" s="60" t="n"/>
      <c r="P648" s="62" t="n"/>
      <c r="Q648" s="62" t="n"/>
      <c r="R648" s="60" t="n"/>
      <c r="S648" s="59" t="n"/>
      <c r="T648" s="60" t="n"/>
      <c r="U648" s="59" t="n"/>
      <c r="V648" s="45">
        <f>IF(OR($A648="",$T648="",$T648="No Issue"),"",IF($T648="Resolved",IF($U648="","",$U648-$A648),TODAY()-$A648))</f>
        <v/>
      </c>
      <c r="W648" s="47">
        <f>IF(AND($C648&lt;&gt;"",$C648='Store History'!$C$4,OR('Store History'!$C$5="",$F648='Store History'!$C$5)),1,0)</f>
        <v/>
      </c>
      <c r="X648" s="47">
        <f>IF($W648=1,SUM($W648:$W$1005),"")</f>
        <v/>
      </c>
    </row>
    <row r="649">
      <c r="A649" s="59" t="n"/>
      <c r="B649" s="60" t="n"/>
      <c r="C649" s="60" t="n"/>
      <c r="D649" s="45">
        <f>IF($C649="","",IFERROR(INDEX('Chain Program'!$B$6:$B$120,MATCH($C649,'Chain Program'!$A$6:$A$120,0)),"Unknown ID"))</f>
        <v/>
      </c>
      <c r="E649" s="45">
        <f>IF($C649="","",IFERROR(INDEX('Chain Program'!$D$6:$D$120,MATCH($C649,'Chain Program'!$A$6:$A$120,0)),"Unknown ID"))</f>
        <v/>
      </c>
      <c r="F649" s="60" t="n"/>
      <c r="G649" s="60" t="n"/>
      <c r="H649" s="56">
        <f>IF(OR($C649="",$A649=""),"",IF(COUNTIFS('Promo Calendar'!$A$6:$A$400,$C649,'Promo Calendar'!$D$6:$D$400,IF($G649="","All",$G649),'Promo Calendar'!$I$6:$I$400,"&lt;="&amp;$A649,'Promo Calendar'!$J$6:$J$400,"&gt;="&amp;$A649,'Promo Calendar'!$G$6:$G$400,"&gt;0")&gt;0,_xlfn.MINIFS('Promo Calendar'!$G$6:$G$400,'Promo Calendar'!$A$6:$A$400,$C649,'Promo Calendar'!$D$6:$D$400,IF($G649="","All",$G649),'Promo Calendar'!$I$6:$I$400,"&lt;="&amp;$A649,'Promo Calendar'!$J$6:$J$400,"&gt;="&amp;$A649,'Promo Calendar'!$G$6:$G$400,"&gt;0"),IF(COUNTIFS('Promo Calendar'!$A$6:$A$400,$C649,'Promo Calendar'!$D$6:$D$400,"All",'Promo Calendar'!$I$6:$I$400,"&lt;="&amp;$A649,'Promo Calendar'!$J$6:$J$400,"&gt;="&amp;$A649,'Promo Calendar'!$G$6:$G$400,"&gt;0")&gt;0,_xlfn.MINIFS('Promo Calendar'!$G$6:$G$400,'Promo Calendar'!$A$6:$A$400,$C649,'Promo Calendar'!$D$6:$D$400,"All",'Promo Calendar'!$I$6:$I$400,"&lt;="&amp;$A649,'Promo Calendar'!$J$6:$J$400,"&gt;="&amp;$A649,'Promo Calendar'!$G$6:$G$400,"&gt;0"),IFERROR(IF(INDEX('Chain Program'!$M$6:$M$120,MATCH($C649,'Chain Program'!$A$6:$A$120,0))="","Not set",INDEX('Chain Program'!$M$6:$M$120,MATCH($C649,'Chain Program'!$A$6:$A$120,0))),"Not set"))))</f>
        <v/>
      </c>
      <c r="I649" s="61" t="n"/>
      <c r="J649" s="45">
        <f>IF($I649="","",IF(NOT(ISNUMBER($H649)),"No plan price",IF(ABS($I649-$H649)&lt;0.005,"Match",IF($I649&gt;$H649,"Over plan","Under plan"))))</f>
        <v/>
      </c>
      <c r="K649" s="60" t="n"/>
      <c r="L649" s="60" t="n"/>
      <c r="M649" s="60" t="n"/>
      <c r="N649" s="60" t="n"/>
      <c r="O649" s="60" t="n"/>
      <c r="P649" s="62" t="n"/>
      <c r="Q649" s="62" t="n"/>
      <c r="R649" s="60" t="n"/>
      <c r="S649" s="59" t="n"/>
      <c r="T649" s="60" t="n"/>
      <c r="U649" s="59" t="n"/>
      <c r="V649" s="45">
        <f>IF(OR($A649="",$T649="",$T649="No Issue"),"",IF($T649="Resolved",IF($U649="","",$U649-$A649),TODAY()-$A649))</f>
        <v/>
      </c>
      <c r="W649" s="47">
        <f>IF(AND($C649&lt;&gt;"",$C649='Store History'!$C$4,OR('Store History'!$C$5="",$F649='Store History'!$C$5)),1,0)</f>
        <v/>
      </c>
      <c r="X649" s="47">
        <f>IF($W649=1,SUM($W649:$W$1005),"")</f>
        <v/>
      </c>
    </row>
    <row r="650">
      <c r="A650" s="59" t="n"/>
      <c r="B650" s="60" t="n"/>
      <c r="C650" s="60" t="n"/>
      <c r="D650" s="45">
        <f>IF($C650="","",IFERROR(INDEX('Chain Program'!$B$6:$B$120,MATCH($C650,'Chain Program'!$A$6:$A$120,0)),"Unknown ID"))</f>
        <v/>
      </c>
      <c r="E650" s="45">
        <f>IF($C650="","",IFERROR(INDEX('Chain Program'!$D$6:$D$120,MATCH($C650,'Chain Program'!$A$6:$A$120,0)),"Unknown ID"))</f>
        <v/>
      </c>
      <c r="F650" s="60" t="n"/>
      <c r="G650" s="60" t="n"/>
      <c r="H650" s="56">
        <f>IF(OR($C650="",$A650=""),"",IF(COUNTIFS('Promo Calendar'!$A$6:$A$400,$C650,'Promo Calendar'!$D$6:$D$400,IF($G650="","All",$G650),'Promo Calendar'!$I$6:$I$400,"&lt;="&amp;$A650,'Promo Calendar'!$J$6:$J$400,"&gt;="&amp;$A650,'Promo Calendar'!$G$6:$G$400,"&gt;0")&gt;0,_xlfn.MINIFS('Promo Calendar'!$G$6:$G$400,'Promo Calendar'!$A$6:$A$400,$C650,'Promo Calendar'!$D$6:$D$400,IF($G650="","All",$G650),'Promo Calendar'!$I$6:$I$400,"&lt;="&amp;$A650,'Promo Calendar'!$J$6:$J$400,"&gt;="&amp;$A650,'Promo Calendar'!$G$6:$G$400,"&gt;0"),IF(COUNTIFS('Promo Calendar'!$A$6:$A$400,$C650,'Promo Calendar'!$D$6:$D$400,"All",'Promo Calendar'!$I$6:$I$400,"&lt;="&amp;$A650,'Promo Calendar'!$J$6:$J$400,"&gt;="&amp;$A650,'Promo Calendar'!$G$6:$G$400,"&gt;0")&gt;0,_xlfn.MINIFS('Promo Calendar'!$G$6:$G$400,'Promo Calendar'!$A$6:$A$400,$C650,'Promo Calendar'!$D$6:$D$400,"All",'Promo Calendar'!$I$6:$I$400,"&lt;="&amp;$A650,'Promo Calendar'!$J$6:$J$400,"&gt;="&amp;$A650,'Promo Calendar'!$G$6:$G$400,"&gt;0"),IFERROR(IF(INDEX('Chain Program'!$M$6:$M$120,MATCH($C650,'Chain Program'!$A$6:$A$120,0))="","Not set",INDEX('Chain Program'!$M$6:$M$120,MATCH($C650,'Chain Program'!$A$6:$A$120,0))),"Not set"))))</f>
        <v/>
      </c>
      <c r="I650" s="61" t="n"/>
      <c r="J650" s="45">
        <f>IF($I650="","",IF(NOT(ISNUMBER($H650)),"No plan price",IF(ABS($I650-$H650)&lt;0.005,"Match",IF($I650&gt;$H650,"Over plan","Under plan"))))</f>
        <v/>
      </c>
      <c r="K650" s="60" t="n"/>
      <c r="L650" s="60" t="n"/>
      <c r="M650" s="60" t="n"/>
      <c r="N650" s="60" t="n"/>
      <c r="O650" s="60" t="n"/>
      <c r="P650" s="62" t="n"/>
      <c r="Q650" s="62" t="n"/>
      <c r="R650" s="60" t="n"/>
      <c r="S650" s="59" t="n"/>
      <c r="T650" s="60" t="n"/>
      <c r="U650" s="59" t="n"/>
      <c r="V650" s="45">
        <f>IF(OR($A650="",$T650="",$T650="No Issue"),"",IF($T650="Resolved",IF($U650="","",$U650-$A650),TODAY()-$A650))</f>
        <v/>
      </c>
      <c r="W650" s="47">
        <f>IF(AND($C650&lt;&gt;"",$C650='Store History'!$C$4,OR('Store History'!$C$5="",$F650='Store History'!$C$5)),1,0)</f>
        <v/>
      </c>
      <c r="X650" s="47">
        <f>IF($W650=1,SUM($W650:$W$1005),"")</f>
        <v/>
      </c>
    </row>
    <row r="651">
      <c r="A651" s="59" t="n"/>
      <c r="B651" s="60" t="n"/>
      <c r="C651" s="60" t="n"/>
      <c r="D651" s="45">
        <f>IF($C651="","",IFERROR(INDEX('Chain Program'!$B$6:$B$120,MATCH($C651,'Chain Program'!$A$6:$A$120,0)),"Unknown ID"))</f>
        <v/>
      </c>
      <c r="E651" s="45">
        <f>IF($C651="","",IFERROR(INDEX('Chain Program'!$D$6:$D$120,MATCH($C651,'Chain Program'!$A$6:$A$120,0)),"Unknown ID"))</f>
        <v/>
      </c>
      <c r="F651" s="60" t="n"/>
      <c r="G651" s="60" t="n"/>
      <c r="H651" s="56">
        <f>IF(OR($C651="",$A651=""),"",IF(COUNTIFS('Promo Calendar'!$A$6:$A$400,$C651,'Promo Calendar'!$D$6:$D$400,IF($G651="","All",$G651),'Promo Calendar'!$I$6:$I$400,"&lt;="&amp;$A651,'Promo Calendar'!$J$6:$J$400,"&gt;="&amp;$A651,'Promo Calendar'!$G$6:$G$400,"&gt;0")&gt;0,_xlfn.MINIFS('Promo Calendar'!$G$6:$G$400,'Promo Calendar'!$A$6:$A$400,$C651,'Promo Calendar'!$D$6:$D$400,IF($G651="","All",$G651),'Promo Calendar'!$I$6:$I$400,"&lt;="&amp;$A651,'Promo Calendar'!$J$6:$J$400,"&gt;="&amp;$A651,'Promo Calendar'!$G$6:$G$400,"&gt;0"),IF(COUNTIFS('Promo Calendar'!$A$6:$A$400,$C651,'Promo Calendar'!$D$6:$D$400,"All",'Promo Calendar'!$I$6:$I$400,"&lt;="&amp;$A651,'Promo Calendar'!$J$6:$J$400,"&gt;="&amp;$A651,'Promo Calendar'!$G$6:$G$400,"&gt;0")&gt;0,_xlfn.MINIFS('Promo Calendar'!$G$6:$G$400,'Promo Calendar'!$A$6:$A$400,$C651,'Promo Calendar'!$D$6:$D$400,"All",'Promo Calendar'!$I$6:$I$400,"&lt;="&amp;$A651,'Promo Calendar'!$J$6:$J$400,"&gt;="&amp;$A651,'Promo Calendar'!$G$6:$G$400,"&gt;0"),IFERROR(IF(INDEX('Chain Program'!$M$6:$M$120,MATCH($C651,'Chain Program'!$A$6:$A$120,0))="","Not set",INDEX('Chain Program'!$M$6:$M$120,MATCH($C651,'Chain Program'!$A$6:$A$120,0))),"Not set"))))</f>
        <v/>
      </c>
      <c r="I651" s="61" t="n"/>
      <c r="J651" s="45">
        <f>IF($I651="","",IF(NOT(ISNUMBER($H651)),"No plan price",IF(ABS($I651-$H651)&lt;0.005,"Match",IF($I651&gt;$H651,"Over plan","Under plan"))))</f>
        <v/>
      </c>
      <c r="K651" s="60" t="n"/>
      <c r="L651" s="60" t="n"/>
      <c r="M651" s="60" t="n"/>
      <c r="N651" s="60" t="n"/>
      <c r="O651" s="60" t="n"/>
      <c r="P651" s="62" t="n"/>
      <c r="Q651" s="62" t="n"/>
      <c r="R651" s="60" t="n"/>
      <c r="S651" s="59" t="n"/>
      <c r="T651" s="60" t="n"/>
      <c r="U651" s="59" t="n"/>
      <c r="V651" s="45">
        <f>IF(OR($A651="",$T651="",$T651="No Issue"),"",IF($T651="Resolved",IF($U651="","",$U651-$A651),TODAY()-$A651))</f>
        <v/>
      </c>
      <c r="W651" s="47">
        <f>IF(AND($C651&lt;&gt;"",$C651='Store History'!$C$4,OR('Store History'!$C$5="",$F651='Store History'!$C$5)),1,0)</f>
        <v/>
      </c>
      <c r="X651" s="47">
        <f>IF($W651=1,SUM($W651:$W$1005),"")</f>
        <v/>
      </c>
    </row>
    <row r="652">
      <c r="A652" s="59" t="n"/>
      <c r="B652" s="60" t="n"/>
      <c r="C652" s="60" t="n"/>
      <c r="D652" s="45">
        <f>IF($C652="","",IFERROR(INDEX('Chain Program'!$B$6:$B$120,MATCH($C652,'Chain Program'!$A$6:$A$120,0)),"Unknown ID"))</f>
        <v/>
      </c>
      <c r="E652" s="45">
        <f>IF($C652="","",IFERROR(INDEX('Chain Program'!$D$6:$D$120,MATCH($C652,'Chain Program'!$A$6:$A$120,0)),"Unknown ID"))</f>
        <v/>
      </c>
      <c r="F652" s="60" t="n"/>
      <c r="G652" s="60" t="n"/>
      <c r="H652" s="56">
        <f>IF(OR($C652="",$A652=""),"",IF(COUNTIFS('Promo Calendar'!$A$6:$A$400,$C652,'Promo Calendar'!$D$6:$D$400,IF($G652="","All",$G652),'Promo Calendar'!$I$6:$I$400,"&lt;="&amp;$A652,'Promo Calendar'!$J$6:$J$400,"&gt;="&amp;$A652,'Promo Calendar'!$G$6:$G$400,"&gt;0")&gt;0,_xlfn.MINIFS('Promo Calendar'!$G$6:$G$400,'Promo Calendar'!$A$6:$A$400,$C652,'Promo Calendar'!$D$6:$D$400,IF($G652="","All",$G652),'Promo Calendar'!$I$6:$I$400,"&lt;="&amp;$A652,'Promo Calendar'!$J$6:$J$400,"&gt;="&amp;$A652,'Promo Calendar'!$G$6:$G$400,"&gt;0"),IF(COUNTIFS('Promo Calendar'!$A$6:$A$400,$C652,'Promo Calendar'!$D$6:$D$400,"All",'Promo Calendar'!$I$6:$I$400,"&lt;="&amp;$A652,'Promo Calendar'!$J$6:$J$400,"&gt;="&amp;$A652,'Promo Calendar'!$G$6:$G$400,"&gt;0")&gt;0,_xlfn.MINIFS('Promo Calendar'!$G$6:$G$400,'Promo Calendar'!$A$6:$A$400,$C652,'Promo Calendar'!$D$6:$D$400,"All",'Promo Calendar'!$I$6:$I$400,"&lt;="&amp;$A652,'Promo Calendar'!$J$6:$J$400,"&gt;="&amp;$A652,'Promo Calendar'!$G$6:$G$400,"&gt;0"),IFERROR(IF(INDEX('Chain Program'!$M$6:$M$120,MATCH($C652,'Chain Program'!$A$6:$A$120,0))="","Not set",INDEX('Chain Program'!$M$6:$M$120,MATCH($C652,'Chain Program'!$A$6:$A$120,0))),"Not set"))))</f>
        <v/>
      </c>
      <c r="I652" s="61" t="n"/>
      <c r="J652" s="45">
        <f>IF($I652="","",IF(NOT(ISNUMBER($H652)),"No plan price",IF(ABS($I652-$H652)&lt;0.005,"Match",IF($I652&gt;$H652,"Over plan","Under plan"))))</f>
        <v/>
      </c>
      <c r="K652" s="60" t="n"/>
      <c r="L652" s="60" t="n"/>
      <c r="M652" s="60" t="n"/>
      <c r="N652" s="60" t="n"/>
      <c r="O652" s="60" t="n"/>
      <c r="P652" s="62" t="n"/>
      <c r="Q652" s="62" t="n"/>
      <c r="R652" s="60" t="n"/>
      <c r="S652" s="59" t="n"/>
      <c r="T652" s="60" t="n"/>
      <c r="U652" s="59" t="n"/>
      <c r="V652" s="45">
        <f>IF(OR($A652="",$T652="",$T652="No Issue"),"",IF($T652="Resolved",IF($U652="","",$U652-$A652),TODAY()-$A652))</f>
        <v/>
      </c>
      <c r="W652" s="47">
        <f>IF(AND($C652&lt;&gt;"",$C652='Store History'!$C$4,OR('Store History'!$C$5="",$F652='Store History'!$C$5)),1,0)</f>
        <v/>
      </c>
      <c r="X652" s="47">
        <f>IF($W652=1,SUM($W652:$W$1005),"")</f>
        <v/>
      </c>
    </row>
    <row r="653">
      <c r="A653" s="59" t="n"/>
      <c r="B653" s="60" t="n"/>
      <c r="C653" s="60" t="n"/>
      <c r="D653" s="45">
        <f>IF($C653="","",IFERROR(INDEX('Chain Program'!$B$6:$B$120,MATCH($C653,'Chain Program'!$A$6:$A$120,0)),"Unknown ID"))</f>
        <v/>
      </c>
      <c r="E653" s="45">
        <f>IF($C653="","",IFERROR(INDEX('Chain Program'!$D$6:$D$120,MATCH($C653,'Chain Program'!$A$6:$A$120,0)),"Unknown ID"))</f>
        <v/>
      </c>
      <c r="F653" s="60" t="n"/>
      <c r="G653" s="60" t="n"/>
      <c r="H653" s="56">
        <f>IF(OR($C653="",$A653=""),"",IF(COUNTIFS('Promo Calendar'!$A$6:$A$400,$C653,'Promo Calendar'!$D$6:$D$400,IF($G653="","All",$G653),'Promo Calendar'!$I$6:$I$400,"&lt;="&amp;$A653,'Promo Calendar'!$J$6:$J$400,"&gt;="&amp;$A653,'Promo Calendar'!$G$6:$G$400,"&gt;0")&gt;0,_xlfn.MINIFS('Promo Calendar'!$G$6:$G$400,'Promo Calendar'!$A$6:$A$400,$C653,'Promo Calendar'!$D$6:$D$400,IF($G653="","All",$G653),'Promo Calendar'!$I$6:$I$400,"&lt;="&amp;$A653,'Promo Calendar'!$J$6:$J$400,"&gt;="&amp;$A653,'Promo Calendar'!$G$6:$G$400,"&gt;0"),IF(COUNTIFS('Promo Calendar'!$A$6:$A$400,$C653,'Promo Calendar'!$D$6:$D$400,"All",'Promo Calendar'!$I$6:$I$400,"&lt;="&amp;$A653,'Promo Calendar'!$J$6:$J$400,"&gt;="&amp;$A653,'Promo Calendar'!$G$6:$G$400,"&gt;0")&gt;0,_xlfn.MINIFS('Promo Calendar'!$G$6:$G$400,'Promo Calendar'!$A$6:$A$400,$C653,'Promo Calendar'!$D$6:$D$400,"All",'Promo Calendar'!$I$6:$I$400,"&lt;="&amp;$A653,'Promo Calendar'!$J$6:$J$400,"&gt;="&amp;$A653,'Promo Calendar'!$G$6:$G$400,"&gt;0"),IFERROR(IF(INDEX('Chain Program'!$M$6:$M$120,MATCH($C653,'Chain Program'!$A$6:$A$120,0))="","Not set",INDEX('Chain Program'!$M$6:$M$120,MATCH($C653,'Chain Program'!$A$6:$A$120,0))),"Not set"))))</f>
        <v/>
      </c>
      <c r="I653" s="61" t="n"/>
      <c r="J653" s="45">
        <f>IF($I653="","",IF(NOT(ISNUMBER($H653)),"No plan price",IF(ABS($I653-$H653)&lt;0.005,"Match",IF($I653&gt;$H653,"Over plan","Under plan"))))</f>
        <v/>
      </c>
      <c r="K653" s="60" t="n"/>
      <c r="L653" s="60" t="n"/>
      <c r="M653" s="60" t="n"/>
      <c r="N653" s="60" t="n"/>
      <c r="O653" s="60" t="n"/>
      <c r="P653" s="62" t="n"/>
      <c r="Q653" s="62" t="n"/>
      <c r="R653" s="60" t="n"/>
      <c r="S653" s="59" t="n"/>
      <c r="T653" s="60" t="n"/>
      <c r="U653" s="59" t="n"/>
      <c r="V653" s="45">
        <f>IF(OR($A653="",$T653="",$T653="No Issue"),"",IF($T653="Resolved",IF($U653="","",$U653-$A653),TODAY()-$A653))</f>
        <v/>
      </c>
      <c r="W653" s="47">
        <f>IF(AND($C653&lt;&gt;"",$C653='Store History'!$C$4,OR('Store History'!$C$5="",$F653='Store History'!$C$5)),1,0)</f>
        <v/>
      </c>
      <c r="X653" s="47">
        <f>IF($W653=1,SUM($W653:$W$1005),"")</f>
        <v/>
      </c>
    </row>
    <row r="654">
      <c r="A654" s="59" t="n"/>
      <c r="B654" s="60" t="n"/>
      <c r="C654" s="60" t="n"/>
      <c r="D654" s="45">
        <f>IF($C654="","",IFERROR(INDEX('Chain Program'!$B$6:$B$120,MATCH($C654,'Chain Program'!$A$6:$A$120,0)),"Unknown ID"))</f>
        <v/>
      </c>
      <c r="E654" s="45">
        <f>IF($C654="","",IFERROR(INDEX('Chain Program'!$D$6:$D$120,MATCH($C654,'Chain Program'!$A$6:$A$120,0)),"Unknown ID"))</f>
        <v/>
      </c>
      <c r="F654" s="60" t="n"/>
      <c r="G654" s="60" t="n"/>
      <c r="H654" s="56">
        <f>IF(OR($C654="",$A654=""),"",IF(COUNTIFS('Promo Calendar'!$A$6:$A$400,$C654,'Promo Calendar'!$D$6:$D$400,IF($G654="","All",$G654),'Promo Calendar'!$I$6:$I$400,"&lt;="&amp;$A654,'Promo Calendar'!$J$6:$J$400,"&gt;="&amp;$A654,'Promo Calendar'!$G$6:$G$400,"&gt;0")&gt;0,_xlfn.MINIFS('Promo Calendar'!$G$6:$G$400,'Promo Calendar'!$A$6:$A$400,$C654,'Promo Calendar'!$D$6:$D$400,IF($G654="","All",$G654),'Promo Calendar'!$I$6:$I$400,"&lt;="&amp;$A654,'Promo Calendar'!$J$6:$J$400,"&gt;="&amp;$A654,'Promo Calendar'!$G$6:$G$400,"&gt;0"),IF(COUNTIFS('Promo Calendar'!$A$6:$A$400,$C654,'Promo Calendar'!$D$6:$D$400,"All",'Promo Calendar'!$I$6:$I$400,"&lt;="&amp;$A654,'Promo Calendar'!$J$6:$J$400,"&gt;="&amp;$A654,'Promo Calendar'!$G$6:$G$400,"&gt;0")&gt;0,_xlfn.MINIFS('Promo Calendar'!$G$6:$G$400,'Promo Calendar'!$A$6:$A$400,$C654,'Promo Calendar'!$D$6:$D$400,"All",'Promo Calendar'!$I$6:$I$400,"&lt;="&amp;$A654,'Promo Calendar'!$J$6:$J$400,"&gt;="&amp;$A654,'Promo Calendar'!$G$6:$G$400,"&gt;0"),IFERROR(IF(INDEX('Chain Program'!$M$6:$M$120,MATCH($C654,'Chain Program'!$A$6:$A$120,0))="","Not set",INDEX('Chain Program'!$M$6:$M$120,MATCH($C654,'Chain Program'!$A$6:$A$120,0))),"Not set"))))</f>
        <v/>
      </c>
      <c r="I654" s="61" t="n"/>
      <c r="J654" s="45">
        <f>IF($I654="","",IF(NOT(ISNUMBER($H654)),"No plan price",IF(ABS($I654-$H654)&lt;0.005,"Match",IF($I654&gt;$H654,"Over plan","Under plan"))))</f>
        <v/>
      </c>
      <c r="K654" s="60" t="n"/>
      <c r="L654" s="60" t="n"/>
      <c r="M654" s="60" t="n"/>
      <c r="N654" s="60" t="n"/>
      <c r="O654" s="60" t="n"/>
      <c r="P654" s="62" t="n"/>
      <c r="Q654" s="62" t="n"/>
      <c r="R654" s="60" t="n"/>
      <c r="S654" s="59" t="n"/>
      <c r="T654" s="60" t="n"/>
      <c r="U654" s="59" t="n"/>
      <c r="V654" s="45">
        <f>IF(OR($A654="",$T654="",$T654="No Issue"),"",IF($T654="Resolved",IF($U654="","",$U654-$A654),TODAY()-$A654))</f>
        <v/>
      </c>
      <c r="W654" s="47">
        <f>IF(AND($C654&lt;&gt;"",$C654='Store History'!$C$4,OR('Store History'!$C$5="",$F654='Store History'!$C$5)),1,0)</f>
        <v/>
      </c>
      <c r="X654" s="47">
        <f>IF($W654=1,SUM($W654:$W$1005),"")</f>
        <v/>
      </c>
    </row>
    <row r="655">
      <c r="A655" s="59" t="n"/>
      <c r="B655" s="60" t="n"/>
      <c r="C655" s="60" t="n"/>
      <c r="D655" s="45">
        <f>IF($C655="","",IFERROR(INDEX('Chain Program'!$B$6:$B$120,MATCH($C655,'Chain Program'!$A$6:$A$120,0)),"Unknown ID"))</f>
        <v/>
      </c>
      <c r="E655" s="45">
        <f>IF($C655="","",IFERROR(INDEX('Chain Program'!$D$6:$D$120,MATCH($C655,'Chain Program'!$A$6:$A$120,0)),"Unknown ID"))</f>
        <v/>
      </c>
      <c r="F655" s="60" t="n"/>
      <c r="G655" s="60" t="n"/>
      <c r="H655" s="56">
        <f>IF(OR($C655="",$A655=""),"",IF(COUNTIFS('Promo Calendar'!$A$6:$A$400,$C655,'Promo Calendar'!$D$6:$D$400,IF($G655="","All",$G655),'Promo Calendar'!$I$6:$I$400,"&lt;="&amp;$A655,'Promo Calendar'!$J$6:$J$400,"&gt;="&amp;$A655,'Promo Calendar'!$G$6:$G$400,"&gt;0")&gt;0,_xlfn.MINIFS('Promo Calendar'!$G$6:$G$400,'Promo Calendar'!$A$6:$A$400,$C655,'Promo Calendar'!$D$6:$D$400,IF($G655="","All",$G655),'Promo Calendar'!$I$6:$I$400,"&lt;="&amp;$A655,'Promo Calendar'!$J$6:$J$400,"&gt;="&amp;$A655,'Promo Calendar'!$G$6:$G$400,"&gt;0"),IF(COUNTIFS('Promo Calendar'!$A$6:$A$400,$C655,'Promo Calendar'!$D$6:$D$400,"All",'Promo Calendar'!$I$6:$I$400,"&lt;="&amp;$A655,'Promo Calendar'!$J$6:$J$400,"&gt;="&amp;$A655,'Promo Calendar'!$G$6:$G$400,"&gt;0")&gt;0,_xlfn.MINIFS('Promo Calendar'!$G$6:$G$400,'Promo Calendar'!$A$6:$A$400,$C655,'Promo Calendar'!$D$6:$D$400,"All",'Promo Calendar'!$I$6:$I$400,"&lt;="&amp;$A655,'Promo Calendar'!$J$6:$J$400,"&gt;="&amp;$A655,'Promo Calendar'!$G$6:$G$400,"&gt;0"),IFERROR(IF(INDEX('Chain Program'!$M$6:$M$120,MATCH($C655,'Chain Program'!$A$6:$A$120,0))="","Not set",INDEX('Chain Program'!$M$6:$M$120,MATCH($C655,'Chain Program'!$A$6:$A$120,0))),"Not set"))))</f>
        <v/>
      </c>
      <c r="I655" s="61" t="n"/>
      <c r="J655" s="45">
        <f>IF($I655="","",IF(NOT(ISNUMBER($H655)),"No plan price",IF(ABS($I655-$H655)&lt;0.005,"Match",IF($I655&gt;$H655,"Over plan","Under plan"))))</f>
        <v/>
      </c>
      <c r="K655" s="60" t="n"/>
      <c r="L655" s="60" t="n"/>
      <c r="M655" s="60" t="n"/>
      <c r="N655" s="60" t="n"/>
      <c r="O655" s="60" t="n"/>
      <c r="P655" s="62" t="n"/>
      <c r="Q655" s="62" t="n"/>
      <c r="R655" s="60" t="n"/>
      <c r="S655" s="59" t="n"/>
      <c r="T655" s="60" t="n"/>
      <c r="U655" s="59" t="n"/>
      <c r="V655" s="45">
        <f>IF(OR($A655="",$T655="",$T655="No Issue"),"",IF($T655="Resolved",IF($U655="","",$U655-$A655),TODAY()-$A655))</f>
        <v/>
      </c>
      <c r="W655" s="47">
        <f>IF(AND($C655&lt;&gt;"",$C655='Store History'!$C$4,OR('Store History'!$C$5="",$F655='Store History'!$C$5)),1,0)</f>
        <v/>
      </c>
      <c r="X655" s="47">
        <f>IF($W655=1,SUM($W655:$W$1005),"")</f>
        <v/>
      </c>
    </row>
    <row r="656">
      <c r="A656" s="59" t="n"/>
      <c r="B656" s="60" t="n"/>
      <c r="C656" s="60" t="n"/>
      <c r="D656" s="45">
        <f>IF($C656="","",IFERROR(INDEX('Chain Program'!$B$6:$B$120,MATCH($C656,'Chain Program'!$A$6:$A$120,0)),"Unknown ID"))</f>
        <v/>
      </c>
      <c r="E656" s="45">
        <f>IF($C656="","",IFERROR(INDEX('Chain Program'!$D$6:$D$120,MATCH($C656,'Chain Program'!$A$6:$A$120,0)),"Unknown ID"))</f>
        <v/>
      </c>
      <c r="F656" s="60" t="n"/>
      <c r="G656" s="60" t="n"/>
      <c r="H656" s="56">
        <f>IF(OR($C656="",$A656=""),"",IF(COUNTIFS('Promo Calendar'!$A$6:$A$400,$C656,'Promo Calendar'!$D$6:$D$400,IF($G656="","All",$G656),'Promo Calendar'!$I$6:$I$400,"&lt;="&amp;$A656,'Promo Calendar'!$J$6:$J$400,"&gt;="&amp;$A656,'Promo Calendar'!$G$6:$G$400,"&gt;0")&gt;0,_xlfn.MINIFS('Promo Calendar'!$G$6:$G$400,'Promo Calendar'!$A$6:$A$400,$C656,'Promo Calendar'!$D$6:$D$400,IF($G656="","All",$G656),'Promo Calendar'!$I$6:$I$400,"&lt;="&amp;$A656,'Promo Calendar'!$J$6:$J$400,"&gt;="&amp;$A656,'Promo Calendar'!$G$6:$G$400,"&gt;0"),IF(COUNTIFS('Promo Calendar'!$A$6:$A$400,$C656,'Promo Calendar'!$D$6:$D$400,"All",'Promo Calendar'!$I$6:$I$400,"&lt;="&amp;$A656,'Promo Calendar'!$J$6:$J$400,"&gt;="&amp;$A656,'Promo Calendar'!$G$6:$G$400,"&gt;0")&gt;0,_xlfn.MINIFS('Promo Calendar'!$G$6:$G$400,'Promo Calendar'!$A$6:$A$400,$C656,'Promo Calendar'!$D$6:$D$400,"All",'Promo Calendar'!$I$6:$I$400,"&lt;="&amp;$A656,'Promo Calendar'!$J$6:$J$400,"&gt;="&amp;$A656,'Promo Calendar'!$G$6:$G$400,"&gt;0"),IFERROR(IF(INDEX('Chain Program'!$M$6:$M$120,MATCH($C656,'Chain Program'!$A$6:$A$120,0))="","Not set",INDEX('Chain Program'!$M$6:$M$120,MATCH($C656,'Chain Program'!$A$6:$A$120,0))),"Not set"))))</f>
        <v/>
      </c>
      <c r="I656" s="61" t="n"/>
      <c r="J656" s="45">
        <f>IF($I656="","",IF(NOT(ISNUMBER($H656)),"No plan price",IF(ABS($I656-$H656)&lt;0.005,"Match",IF($I656&gt;$H656,"Over plan","Under plan"))))</f>
        <v/>
      </c>
      <c r="K656" s="60" t="n"/>
      <c r="L656" s="60" t="n"/>
      <c r="M656" s="60" t="n"/>
      <c r="N656" s="60" t="n"/>
      <c r="O656" s="60" t="n"/>
      <c r="P656" s="62" t="n"/>
      <c r="Q656" s="62" t="n"/>
      <c r="R656" s="60" t="n"/>
      <c r="S656" s="59" t="n"/>
      <c r="T656" s="60" t="n"/>
      <c r="U656" s="59" t="n"/>
      <c r="V656" s="45">
        <f>IF(OR($A656="",$T656="",$T656="No Issue"),"",IF($T656="Resolved",IF($U656="","",$U656-$A656),TODAY()-$A656))</f>
        <v/>
      </c>
      <c r="W656" s="47">
        <f>IF(AND($C656&lt;&gt;"",$C656='Store History'!$C$4,OR('Store History'!$C$5="",$F656='Store History'!$C$5)),1,0)</f>
        <v/>
      </c>
      <c r="X656" s="47">
        <f>IF($W656=1,SUM($W656:$W$1005),"")</f>
        <v/>
      </c>
    </row>
    <row r="657">
      <c r="A657" s="59" t="n"/>
      <c r="B657" s="60" t="n"/>
      <c r="C657" s="60" t="n"/>
      <c r="D657" s="45">
        <f>IF($C657="","",IFERROR(INDEX('Chain Program'!$B$6:$B$120,MATCH($C657,'Chain Program'!$A$6:$A$120,0)),"Unknown ID"))</f>
        <v/>
      </c>
      <c r="E657" s="45">
        <f>IF($C657="","",IFERROR(INDEX('Chain Program'!$D$6:$D$120,MATCH($C657,'Chain Program'!$A$6:$A$120,0)),"Unknown ID"))</f>
        <v/>
      </c>
      <c r="F657" s="60" t="n"/>
      <c r="G657" s="60" t="n"/>
      <c r="H657" s="56">
        <f>IF(OR($C657="",$A657=""),"",IF(COUNTIFS('Promo Calendar'!$A$6:$A$400,$C657,'Promo Calendar'!$D$6:$D$400,IF($G657="","All",$G657),'Promo Calendar'!$I$6:$I$400,"&lt;="&amp;$A657,'Promo Calendar'!$J$6:$J$400,"&gt;="&amp;$A657,'Promo Calendar'!$G$6:$G$400,"&gt;0")&gt;0,_xlfn.MINIFS('Promo Calendar'!$G$6:$G$400,'Promo Calendar'!$A$6:$A$400,$C657,'Promo Calendar'!$D$6:$D$400,IF($G657="","All",$G657),'Promo Calendar'!$I$6:$I$400,"&lt;="&amp;$A657,'Promo Calendar'!$J$6:$J$400,"&gt;="&amp;$A657,'Promo Calendar'!$G$6:$G$400,"&gt;0"),IF(COUNTIFS('Promo Calendar'!$A$6:$A$400,$C657,'Promo Calendar'!$D$6:$D$400,"All",'Promo Calendar'!$I$6:$I$400,"&lt;="&amp;$A657,'Promo Calendar'!$J$6:$J$400,"&gt;="&amp;$A657,'Promo Calendar'!$G$6:$G$400,"&gt;0")&gt;0,_xlfn.MINIFS('Promo Calendar'!$G$6:$G$400,'Promo Calendar'!$A$6:$A$400,$C657,'Promo Calendar'!$D$6:$D$400,"All",'Promo Calendar'!$I$6:$I$400,"&lt;="&amp;$A657,'Promo Calendar'!$J$6:$J$400,"&gt;="&amp;$A657,'Promo Calendar'!$G$6:$G$400,"&gt;0"),IFERROR(IF(INDEX('Chain Program'!$M$6:$M$120,MATCH($C657,'Chain Program'!$A$6:$A$120,0))="","Not set",INDEX('Chain Program'!$M$6:$M$120,MATCH($C657,'Chain Program'!$A$6:$A$120,0))),"Not set"))))</f>
        <v/>
      </c>
      <c r="I657" s="61" t="n"/>
      <c r="J657" s="45">
        <f>IF($I657="","",IF(NOT(ISNUMBER($H657)),"No plan price",IF(ABS($I657-$H657)&lt;0.005,"Match",IF($I657&gt;$H657,"Over plan","Under plan"))))</f>
        <v/>
      </c>
      <c r="K657" s="60" t="n"/>
      <c r="L657" s="60" t="n"/>
      <c r="M657" s="60" t="n"/>
      <c r="N657" s="60" t="n"/>
      <c r="O657" s="60" t="n"/>
      <c r="P657" s="62" t="n"/>
      <c r="Q657" s="62" t="n"/>
      <c r="R657" s="60" t="n"/>
      <c r="S657" s="59" t="n"/>
      <c r="T657" s="60" t="n"/>
      <c r="U657" s="59" t="n"/>
      <c r="V657" s="45">
        <f>IF(OR($A657="",$T657="",$T657="No Issue"),"",IF($T657="Resolved",IF($U657="","",$U657-$A657),TODAY()-$A657))</f>
        <v/>
      </c>
      <c r="W657" s="47">
        <f>IF(AND($C657&lt;&gt;"",$C657='Store History'!$C$4,OR('Store History'!$C$5="",$F657='Store History'!$C$5)),1,0)</f>
        <v/>
      </c>
      <c r="X657" s="47">
        <f>IF($W657=1,SUM($W657:$W$1005),"")</f>
        <v/>
      </c>
    </row>
    <row r="658">
      <c r="A658" s="59" t="n"/>
      <c r="B658" s="60" t="n"/>
      <c r="C658" s="60" t="n"/>
      <c r="D658" s="45">
        <f>IF($C658="","",IFERROR(INDEX('Chain Program'!$B$6:$B$120,MATCH($C658,'Chain Program'!$A$6:$A$120,0)),"Unknown ID"))</f>
        <v/>
      </c>
      <c r="E658" s="45">
        <f>IF($C658="","",IFERROR(INDEX('Chain Program'!$D$6:$D$120,MATCH($C658,'Chain Program'!$A$6:$A$120,0)),"Unknown ID"))</f>
        <v/>
      </c>
      <c r="F658" s="60" t="n"/>
      <c r="G658" s="60" t="n"/>
      <c r="H658" s="56">
        <f>IF(OR($C658="",$A658=""),"",IF(COUNTIFS('Promo Calendar'!$A$6:$A$400,$C658,'Promo Calendar'!$D$6:$D$400,IF($G658="","All",$G658),'Promo Calendar'!$I$6:$I$400,"&lt;="&amp;$A658,'Promo Calendar'!$J$6:$J$400,"&gt;="&amp;$A658,'Promo Calendar'!$G$6:$G$400,"&gt;0")&gt;0,_xlfn.MINIFS('Promo Calendar'!$G$6:$G$400,'Promo Calendar'!$A$6:$A$400,$C658,'Promo Calendar'!$D$6:$D$400,IF($G658="","All",$G658),'Promo Calendar'!$I$6:$I$400,"&lt;="&amp;$A658,'Promo Calendar'!$J$6:$J$400,"&gt;="&amp;$A658,'Promo Calendar'!$G$6:$G$400,"&gt;0"),IF(COUNTIFS('Promo Calendar'!$A$6:$A$400,$C658,'Promo Calendar'!$D$6:$D$400,"All",'Promo Calendar'!$I$6:$I$400,"&lt;="&amp;$A658,'Promo Calendar'!$J$6:$J$400,"&gt;="&amp;$A658,'Promo Calendar'!$G$6:$G$400,"&gt;0")&gt;0,_xlfn.MINIFS('Promo Calendar'!$G$6:$G$400,'Promo Calendar'!$A$6:$A$400,$C658,'Promo Calendar'!$D$6:$D$400,"All",'Promo Calendar'!$I$6:$I$400,"&lt;="&amp;$A658,'Promo Calendar'!$J$6:$J$400,"&gt;="&amp;$A658,'Promo Calendar'!$G$6:$G$400,"&gt;0"),IFERROR(IF(INDEX('Chain Program'!$M$6:$M$120,MATCH($C658,'Chain Program'!$A$6:$A$120,0))="","Not set",INDEX('Chain Program'!$M$6:$M$120,MATCH($C658,'Chain Program'!$A$6:$A$120,0))),"Not set"))))</f>
        <v/>
      </c>
      <c r="I658" s="61" t="n"/>
      <c r="J658" s="45">
        <f>IF($I658="","",IF(NOT(ISNUMBER($H658)),"No plan price",IF(ABS($I658-$H658)&lt;0.005,"Match",IF($I658&gt;$H658,"Over plan","Under plan"))))</f>
        <v/>
      </c>
      <c r="K658" s="60" t="n"/>
      <c r="L658" s="60" t="n"/>
      <c r="M658" s="60" t="n"/>
      <c r="N658" s="60" t="n"/>
      <c r="O658" s="60" t="n"/>
      <c r="P658" s="62" t="n"/>
      <c r="Q658" s="62" t="n"/>
      <c r="R658" s="60" t="n"/>
      <c r="S658" s="59" t="n"/>
      <c r="T658" s="60" t="n"/>
      <c r="U658" s="59" t="n"/>
      <c r="V658" s="45">
        <f>IF(OR($A658="",$T658="",$T658="No Issue"),"",IF($T658="Resolved",IF($U658="","",$U658-$A658),TODAY()-$A658))</f>
        <v/>
      </c>
      <c r="W658" s="47">
        <f>IF(AND($C658&lt;&gt;"",$C658='Store History'!$C$4,OR('Store History'!$C$5="",$F658='Store History'!$C$5)),1,0)</f>
        <v/>
      </c>
      <c r="X658" s="47">
        <f>IF($W658=1,SUM($W658:$W$1005),"")</f>
        <v/>
      </c>
    </row>
    <row r="659">
      <c r="A659" s="59" t="n"/>
      <c r="B659" s="60" t="n"/>
      <c r="C659" s="60" t="n"/>
      <c r="D659" s="45">
        <f>IF($C659="","",IFERROR(INDEX('Chain Program'!$B$6:$B$120,MATCH($C659,'Chain Program'!$A$6:$A$120,0)),"Unknown ID"))</f>
        <v/>
      </c>
      <c r="E659" s="45">
        <f>IF($C659="","",IFERROR(INDEX('Chain Program'!$D$6:$D$120,MATCH($C659,'Chain Program'!$A$6:$A$120,0)),"Unknown ID"))</f>
        <v/>
      </c>
      <c r="F659" s="60" t="n"/>
      <c r="G659" s="60" t="n"/>
      <c r="H659" s="56">
        <f>IF(OR($C659="",$A659=""),"",IF(COUNTIFS('Promo Calendar'!$A$6:$A$400,$C659,'Promo Calendar'!$D$6:$D$400,IF($G659="","All",$G659),'Promo Calendar'!$I$6:$I$400,"&lt;="&amp;$A659,'Promo Calendar'!$J$6:$J$400,"&gt;="&amp;$A659,'Promo Calendar'!$G$6:$G$400,"&gt;0")&gt;0,_xlfn.MINIFS('Promo Calendar'!$G$6:$G$400,'Promo Calendar'!$A$6:$A$400,$C659,'Promo Calendar'!$D$6:$D$400,IF($G659="","All",$G659),'Promo Calendar'!$I$6:$I$400,"&lt;="&amp;$A659,'Promo Calendar'!$J$6:$J$400,"&gt;="&amp;$A659,'Promo Calendar'!$G$6:$G$400,"&gt;0"),IF(COUNTIFS('Promo Calendar'!$A$6:$A$400,$C659,'Promo Calendar'!$D$6:$D$400,"All",'Promo Calendar'!$I$6:$I$400,"&lt;="&amp;$A659,'Promo Calendar'!$J$6:$J$400,"&gt;="&amp;$A659,'Promo Calendar'!$G$6:$G$400,"&gt;0")&gt;0,_xlfn.MINIFS('Promo Calendar'!$G$6:$G$400,'Promo Calendar'!$A$6:$A$400,$C659,'Promo Calendar'!$D$6:$D$400,"All",'Promo Calendar'!$I$6:$I$400,"&lt;="&amp;$A659,'Promo Calendar'!$J$6:$J$400,"&gt;="&amp;$A659,'Promo Calendar'!$G$6:$G$400,"&gt;0"),IFERROR(IF(INDEX('Chain Program'!$M$6:$M$120,MATCH($C659,'Chain Program'!$A$6:$A$120,0))="","Not set",INDEX('Chain Program'!$M$6:$M$120,MATCH($C659,'Chain Program'!$A$6:$A$120,0))),"Not set"))))</f>
        <v/>
      </c>
      <c r="I659" s="61" t="n"/>
      <c r="J659" s="45">
        <f>IF($I659="","",IF(NOT(ISNUMBER($H659)),"No plan price",IF(ABS($I659-$H659)&lt;0.005,"Match",IF($I659&gt;$H659,"Over plan","Under plan"))))</f>
        <v/>
      </c>
      <c r="K659" s="60" t="n"/>
      <c r="L659" s="60" t="n"/>
      <c r="M659" s="60" t="n"/>
      <c r="N659" s="60" t="n"/>
      <c r="O659" s="60" t="n"/>
      <c r="P659" s="62" t="n"/>
      <c r="Q659" s="62" t="n"/>
      <c r="R659" s="60" t="n"/>
      <c r="S659" s="59" t="n"/>
      <c r="T659" s="60" t="n"/>
      <c r="U659" s="59" t="n"/>
      <c r="V659" s="45">
        <f>IF(OR($A659="",$T659="",$T659="No Issue"),"",IF($T659="Resolved",IF($U659="","",$U659-$A659),TODAY()-$A659))</f>
        <v/>
      </c>
      <c r="W659" s="47">
        <f>IF(AND($C659&lt;&gt;"",$C659='Store History'!$C$4,OR('Store History'!$C$5="",$F659='Store History'!$C$5)),1,0)</f>
        <v/>
      </c>
      <c r="X659" s="47">
        <f>IF($W659=1,SUM($W659:$W$1005),"")</f>
        <v/>
      </c>
    </row>
    <row r="660">
      <c r="A660" s="59" t="n"/>
      <c r="B660" s="60" t="n"/>
      <c r="C660" s="60" t="n"/>
      <c r="D660" s="45">
        <f>IF($C660="","",IFERROR(INDEX('Chain Program'!$B$6:$B$120,MATCH($C660,'Chain Program'!$A$6:$A$120,0)),"Unknown ID"))</f>
        <v/>
      </c>
      <c r="E660" s="45">
        <f>IF($C660="","",IFERROR(INDEX('Chain Program'!$D$6:$D$120,MATCH($C660,'Chain Program'!$A$6:$A$120,0)),"Unknown ID"))</f>
        <v/>
      </c>
      <c r="F660" s="60" t="n"/>
      <c r="G660" s="60" t="n"/>
      <c r="H660" s="56">
        <f>IF(OR($C660="",$A660=""),"",IF(COUNTIFS('Promo Calendar'!$A$6:$A$400,$C660,'Promo Calendar'!$D$6:$D$400,IF($G660="","All",$G660),'Promo Calendar'!$I$6:$I$400,"&lt;="&amp;$A660,'Promo Calendar'!$J$6:$J$400,"&gt;="&amp;$A660,'Promo Calendar'!$G$6:$G$400,"&gt;0")&gt;0,_xlfn.MINIFS('Promo Calendar'!$G$6:$G$400,'Promo Calendar'!$A$6:$A$400,$C660,'Promo Calendar'!$D$6:$D$400,IF($G660="","All",$G660),'Promo Calendar'!$I$6:$I$400,"&lt;="&amp;$A660,'Promo Calendar'!$J$6:$J$400,"&gt;="&amp;$A660,'Promo Calendar'!$G$6:$G$400,"&gt;0"),IF(COUNTIFS('Promo Calendar'!$A$6:$A$400,$C660,'Promo Calendar'!$D$6:$D$400,"All",'Promo Calendar'!$I$6:$I$400,"&lt;="&amp;$A660,'Promo Calendar'!$J$6:$J$400,"&gt;="&amp;$A660,'Promo Calendar'!$G$6:$G$400,"&gt;0")&gt;0,_xlfn.MINIFS('Promo Calendar'!$G$6:$G$400,'Promo Calendar'!$A$6:$A$400,$C660,'Promo Calendar'!$D$6:$D$400,"All",'Promo Calendar'!$I$6:$I$400,"&lt;="&amp;$A660,'Promo Calendar'!$J$6:$J$400,"&gt;="&amp;$A660,'Promo Calendar'!$G$6:$G$400,"&gt;0"),IFERROR(IF(INDEX('Chain Program'!$M$6:$M$120,MATCH($C660,'Chain Program'!$A$6:$A$120,0))="","Not set",INDEX('Chain Program'!$M$6:$M$120,MATCH($C660,'Chain Program'!$A$6:$A$120,0))),"Not set"))))</f>
        <v/>
      </c>
      <c r="I660" s="61" t="n"/>
      <c r="J660" s="45">
        <f>IF($I660="","",IF(NOT(ISNUMBER($H660)),"No plan price",IF(ABS($I660-$H660)&lt;0.005,"Match",IF($I660&gt;$H660,"Over plan","Under plan"))))</f>
        <v/>
      </c>
      <c r="K660" s="60" t="n"/>
      <c r="L660" s="60" t="n"/>
      <c r="M660" s="60" t="n"/>
      <c r="N660" s="60" t="n"/>
      <c r="O660" s="60" t="n"/>
      <c r="P660" s="62" t="n"/>
      <c r="Q660" s="62" t="n"/>
      <c r="R660" s="60" t="n"/>
      <c r="S660" s="59" t="n"/>
      <c r="T660" s="60" t="n"/>
      <c r="U660" s="59" t="n"/>
      <c r="V660" s="45">
        <f>IF(OR($A660="",$T660="",$T660="No Issue"),"",IF($T660="Resolved",IF($U660="","",$U660-$A660),TODAY()-$A660))</f>
        <v/>
      </c>
      <c r="W660" s="47">
        <f>IF(AND($C660&lt;&gt;"",$C660='Store History'!$C$4,OR('Store History'!$C$5="",$F660='Store History'!$C$5)),1,0)</f>
        <v/>
      </c>
      <c r="X660" s="47">
        <f>IF($W660=1,SUM($W660:$W$1005),"")</f>
        <v/>
      </c>
    </row>
    <row r="661">
      <c r="A661" s="59" t="n"/>
      <c r="B661" s="60" t="n"/>
      <c r="C661" s="60" t="n"/>
      <c r="D661" s="45">
        <f>IF($C661="","",IFERROR(INDEX('Chain Program'!$B$6:$B$120,MATCH($C661,'Chain Program'!$A$6:$A$120,0)),"Unknown ID"))</f>
        <v/>
      </c>
      <c r="E661" s="45">
        <f>IF($C661="","",IFERROR(INDEX('Chain Program'!$D$6:$D$120,MATCH($C661,'Chain Program'!$A$6:$A$120,0)),"Unknown ID"))</f>
        <v/>
      </c>
      <c r="F661" s="60" t="n"/>
      <c r="G661" s="60" t="n"/>
      <c r="H661" s="56">
        <f>IF(OR($C661="",$A661=""),"",IF(COUNTIFS('Promo Calendar'!$A$6:$A$400,$C661,'Promo Calendar'!$D$6:$D$400,IF($G661="","All",$G661),'Promo Calendar'!$I$6:$I$400,"&lt;="&amp;$A661,'Promo Calendar'!$J$6:$J$400,"&gt;="&amp;$A661,'Promo Calendar'!$G$6:$G$400,"&gt;0")&gt;0,_xlfn.MINIFS('Promo Calendar'!$G$6:$G$400,'Promo Calendar'!$A$6:$A$400,$C661,'Promo Calendar'!$D$6:$D$400,IF($G661="","All",$G661),'Promo Calendar'!$I$6:$I$400,"&lt;="&amp;$A661,'Promo Calendar'!$J$6:$J$400,"&gt;="&amp;$A661,'Promo Calendar'!$G$6:$G$400,"&gt;0"),IF(COUNTIFS('Promo Calendar'!$A$6:$A$400,$C661,'Promo Calendar'!$D$6:$D$400,"All",'Promo Calendar'!$I$6:$I$400,"&lt;="&amp;$A661,'Promo Calendar'!$J$6:$J$400,"&gt;="&amp;$A661,'Promo Calendar'!$G$6:$G$400,"&gt;0")&gt;0,_xlfn.MINIFS('Promo Calendar'!$G$6:$G$400,'Promo Calendar'!$A$6:$A$400,$C661,'Promo Calendar'!$D$6:$D$400,"All",'Promo Calendar'!$I$6:$I$400,"&lt;="&amp;$A661,'Promo Calendar'!$J$6:$J$400,"&gt;="&amp;$A661,'Promo Calendar'!$G$6:$G$400,"&gt;0"),IFERROR(IF(INDEX('Chain Program'!$M$6:$M$120,MATCH($C661,'Chain Program'!$A$6:$A$120,0))="","Not set",INDEX('Chain Program'!$M$6:$M$120,MATCH($C661,'Chain Program'!$A$6:$A$120,0))),"Not set"))))</f>
        <v/>
      </c>
      <c r="I661" s="61" t="n"/>
      <c r="J661" s="45">
        <f>IF($I661="","",IF(NOT(ISNUMBER($H661)),"No plan price",IF(ABS($I661-$H661)&lt;0.005,"Match",IF($I661&gt;$H661,"Over plan","Under plan"))))</f>
        <v/>
      </c>
      <c r="K661" s="60" t="n"/>
      <c r="L661" s="60" t="n"/>
      <c r="M661" s="60" t="n"/>
      <c r="N661" s="60" t="n"/>
      <c r="O661" s="60" t="n"/>
      <c r="P661" s="62" t="n"/>
      <c r="Q661" s="62" t="n"/>
      <c r="R661" s="60" t="n"/>
      <c r="S661" s="59" t="n"/>
      <c r="T661" s="60" t="n"/>
      <c r="U661" s="59" t="n"/>
      <c r="V661" s="45">
        <f>IF(OR($A661="",$T661="",$T661="No Issue"),"",IF($T661="Resolved",IF($U661="","",$U661-$A661),TODAY()-$A661))</f>
        <v/>
      </c>
      <c r="W661" s="47">
        <f>IF(AND($C661&lt;&gt;"",$C661='Store History'!$C$4,OR('Store History'!$C$5="",$F661='Store History'!$C$5)),1,0)</f>
        <v/>
      </c>
      <c r="X661" s="47">
        <f>IF($W661=1,SUM($W661:$W$1005),"")</f>
        <v/>
      </c>
    </row>
    <row r="662">
      <c r="A662" s="59" t="n"/>
      <c r="B662" s="60" t="n"/>
      <c r="C662" s="60" t="n"/>
      <c r="D662" s="45">
        <f>IF($C662="","",IFERROR(INDEX('Chain Program'!$B$6:$B$120,MATCH($C662,'Chain Program'!$A$6:$A$120,0)),"Unknown ID"))</f>
        <v/>
      </c>
      <c r="E662" s="45">
        <f>IF($C662="","",IFERROR(INDEX('Chain Program'!$D$6:$D$120,MATCH($C662,'Chain Program'!$A$6:$A$120,0)),"Unknown ID"))</f>
        <v/>
      </c>
      <c r="F662" s="60" t="n"/>
      <c r="G662" s="60" t="n"/>
      <c r="H662" s="56">
        <f>IF(OR($C662="",$A662=""),"",IF(COUNTIFS('Promo Calendar'!$A$6:$A$400,$C662,'Promo Calendar'!$D$6:$D$400,IF($G662="","All",$G662),'Promo Calendar'!$I$6:$I$400,"&lt;="&amp;$A662,'Promo Calendar'!$J$6:$J$400,"&gt;="&amp;$A662,'Promo Calendar'!$G$6:$G$400,"&gt;0")&gt;0,_xlfn.MINIFS('Promo Calendar'!$G$6:$G$400,'Promo Calendar'!$A$6:$A$400,$C662,'Promo Calendar'!$D$6:$D$400,IF($G662="","All",$G662),'Promo Calendar'!$I$6:$I$400,"&lt;="&amp;$A662,'Promo Calendar'!$J$6:$J$400,"&gt;="&amp;$A662,'Promo Calendar'!$G$6:$G$400,"&gt;0"),IF(COUNTIFS('Promo Calendar'!$A$6:$A$400,$C662,'Promo Calendar'!$D$6:$D$400,"All",'Promo Calendar'!$I$6:$I$400,"&lt;="&amp;$A662,'Promo Calendar'!$J$6:$J$400,"&gt;="&amp;$A662,'Promo Calendar'!$G$6:$G$400,"&gt;0")&gt;0,_xlfn.MINIFS('Promo Calendar'!$G$6:$G$400,'Promo Calendar'!$A$6:$A$400,$C662,'Promo Calendar'!$D$6:$D$400,"All",'Promo Calendar'!$I$6:$I$400,"&lt;="&amp;$A662,'Promo Calendar'!$J$6:$J$400,"&gt;="&amp;$A662,'Promo Calendar'!$G$6:$G$400,"&gt;0"),IFERROR(IF(INDEX('Chain Program'!$M$6:$M$120,MATCH($C662,'Chain Program'!$A$6:$A$120,0))="","Not set",INDEX('Chain Program'!$M$6:$M$120,MATCH($C662,'Chain Program'!$A$6:$A$120,0))),"Not set"))))</f>
        <v/>
      </c>
      <c r="I662" s="61" t="n"/>
      <c r="J662" s="45">
        <f>IF($I662="","",IF(NOT(ISNUMBER($H662)),"No plan price",IF(ABS($I662-$H662)&lt;0.005,"Match",IF($I662&gt;$H662,"Over plan","Under plan"))))</f>
        <v/>
      </c>
      <c r="K662" s="60" t="n"/>
      <c r="L662" s="60" t="n"/>
      <c r="M662" s="60" t="n"/>
      <c r="N662" s="60" t="n"/>
      <c r="O662" s="60" t="n"/>
      <c r="P662" s="62" t="n"/>
      <c r="Q662" s="62" t="n"/>
      <c r="R662" s="60" t="n"/>
      <c r="S662" s="59" t="n"/>
      <c r="T662" s="60" t="n"/>
      <c r="U662" s="59" t="n"/>
      <c r="V662" s="45">
        <f>IF(OR($A662="",$T662="",$T662="No Issue"),"",IF($T662="Resolved",IF($U662="","",$U662-$A662),TODAY()-$A662))</f>
        <v/>
      </c>
      <c r="W662" s="47">
        <f>IF(AND($C662&lt;&gt;"",$C662='Store History'!$C$4,OR('Store History'!$C$5="",$F662='Store History'!$C$5)),1,0)</f>
        <v/>
      </c>
      <c r="X662" s="47">
        <f>IF($W662=1,SUM($W662:$W$1005),"")</f>
        <v/>
      </c>
    </row>
    <row r="663">
      <c r="A663" s="59" t="n"/>
      <c r="B663" s="60" t="n"/>
      <c r="C663" s="60" t="n"/>
      <c r="D663" s="45">
        <f>IF($C663="","",IFERROR(INDEX('Chain Program'!$B$6:$B$120,MATCH($C663,'Chain Program'!$A$6:$A$120,0)),"Unknown ID"))</f>
        <v/>
      </c>
      <c r="E663" s="45">
        <f>IF($C663="","",IFERROR(INDEX('Chain Program'!$D$6:$D$120,MATCH($C663,'Chain Program'!$A$6:$A$120,0)),"Unknown ID"))</f>
        <v/>
      </c>
      <c r="F663" s="60" t="n"/>
      <c r="G663" s="60" t="n"/>
      <c r="H663" s="56">
        <f>IF(OR($C663="",$A663=""),"",IF(COUNTIFS('Promo Calendar'!$A$6:$A$400,$C663,'Promo Calendar'!$D$6:$D$400,IF($G663="","All",$G663),'Promo Calendar'!$I$6:$I$400,"&lt;="&amp;$A663,'Promo Calendar'!$J$6:$J$400,"&gt;="&amp;$A663,'Promo Calendar'!$G$6:$G$400,"&gt;0")&gt;0,_xlfn.MINIFS('Promo Calendar'!$G$6:$G$400,'Promo Calendar'!$A$6:$A$400,$C663,'Promo Calendar'!$D$6:$D$400,IF($G663="","All",$G663),'Promo Calendar'!$I$6:$I$400,"&lt;="&amp;$A663,'Promo Calendar'!$J$6:$J$400,"&gt;="&amp;$A663,'Promo Calendar'!$G$6:$G$400,"&gt;0"),IF(COUNTIFS('Promo Calendar'!$A$6:$A$400,$C663,'Promo Calendar'!$D$6:$D$400,"All",'Promo Calendar'!$I$6:$I$400,"&lt;="&amp;$A663,'Promo Calendar'!$J$6:$J$400,"&gt;="&amp;$A663,'Promo Calendar'!$G$6:$G$400,"&gt;0")&gt;0,_xlfn.MINIFS('Promo Calendar'!$G$6:$G$400,'Promo Calendar'!$A$6:$A$400,$C663,'Promo Calendar'!$D$6:$D$400,"All",'Promo Calendar'!$I$6:$I$400,"&lt;="&amp;$A663,'Promo Calendar'!$J$6:$J$400,"&gt;="&amp;$A663,'Promo Calendar'!$G$6:$G$400,"&gt;0"),IFERROR(IF(INDEX('Chain Program'!$M$6:$M$120,MATCH($C663,'Chain Program'!$A$6:$A$120,0))="","Not set",INDEX('Chain Program'!$M$6:$M$120,MATCH($C663,'Chain Program'!$A$6:$A$120,0))),"Not set"))))</f>
        <v/>
      </c>
      <c r="I663" s="61" t="n"/>
      <c r="J663" s="45">
        <f>IF($I663="","",IF(NOT(ISNUMBER($H663)),"No plan price",IF(ABS($I663-$H663)&lt;0.005,"Match",IF($I663&gt;$H663,"Over plan","Under plan"))))</f>
        <v/>
      </c>
      <c r="K663" s="60" t="n"/>
      <c r="L663" s="60" t="n"/>
      <c r="M663" s="60" t="n"/>
      <c r="N663" s="60" t="n"/>
      <c r="O663" s="60" t="n"/>
      <c r="P663" s="62" t="n"/>
      <c r="Q663" s="62" t="n"/>
      <c r="R663" s="60" t="n"/>
      <c r="S663" s="59" t="n"/>
      <c r="T663" s="60" t="n"/>
      <c r="U663" s="59" t="n"/>
      <c r="V663" s="45">
        <f>IF(OR($A663="",$T663="",$T663="No Issue"),"",IF($T663="Resolved",IF($U663="","",$U663-$A663),TODAY()-$A663))</f>
        <v/>
      </c>
      <c r="W663" s="47">
        <f>IF(AND($C663&lt;&gt;"",$C663='Store History'!$C$4,OR('Store History'!$C$5="",$F663='Store History'!$C$5)),1,0)</f>
        <v/>
      </c>
      <c r="X663" s="47">
        <f>IF($W663=1,SUM($W663:$W$1005),"")</f>
        <v/>
      </c>
    </row>
    <row r="664">
      <c r="A664" s="59" t="n"/>
      <c r="B664" s="60" t="n"/>
      <c r="C664" s="60" t="n"/>
      <c r="D664" s="45">
        <f>IF($C664="","",IFERROR(INDEX('Chain Program'!$B$6:$B$120,MATCH($C664,'Chain Program'!$A$6:$A$120,0)),"Unknown ID"))</f>
        <v/>
      </c>
      <c r="E664" s="45">
        <f>IF($C664="","",IFERROR(INDEX('Chain Program'!$D$6:$D$120,MATCH($C664,'Chain Program'!$A$6:$A$120,0)),"Unknown ID"))</f>
        <v/>
      </c>
      <c r="F664" s="60" t="n"/>
      <c r="G664" s="60" t="n"/>
      <c r="H664" s="56">
        <f>IF(OR($C664="",$A664=""),"",IF(COUNTIFS('Promo Calendar'!$A$6:$A$400,$C664,'Promo Calendar'!$D$6:$D$400,IF($G664="","All",$G664),'Promo Calendar'!$I$6:$I$400,"&lt;="&amp;$A664,'Promo Calendar'!$J$6:$J$400,"&gt;="&amp;$A664,'Promo Calendar'!$G$6:$G$400,"&gt;0")&gt;0,_xlfn.MINIFS('Promo Calendar'!$G$6:$G$400,'Promo Calendar'!$A$6:$A$400,$C664,'Promo Calendar'!$D$6:$D$400,IF($G664="","All",$G664),'Promo Calendar'!$I$6:$I$400,"&lt;="&amp;$A664,'Promo Calendar'!$J$6:$J$400,"&gt;="&amp;$A664,'Promo Calendar'!$G$6:$G$400,"&gt;0"),IF(COUNTIFS('Promo Calendar'!$A$6:$A$400,$C664,'Promo Calendar'!$D$6:$D$400,"All",'Promo Calendar'!$I$6:$I$400,"&lt;="&amp;$A664,'Promo Calendar'!$J$6:$J$400,"&gt;="&amp;$A664,'Promo Calendar'!$G$6:$G$400,"&gt;0")&gt;0,_xlfn.MINIFS('Promo Calendar'!$G$6:$G$400,'Promo Calendar'!$A$6:$A$400,$C664,'Promo Calendar'!$D$6:$D$400,"All",'Promo Calendar'!$I$6:$I$400,"&lt;="&amp;$A664,'Promo Calendar'!$J$6:$J$400,"&gt;="&amp;$A664,'Promo Calendar'!$G$6:$G$400,"&gt;0"),IFERROR(IF(INDEX('Chain Program'!$M$6:$M$120,MATCH($C664,'Chain Program'!$A$6:$A$120,0))="","Not set",INDEX('Chain Program'!$M$6:$M$120,MATCH($C664,'Chain Program'!$A$6:$A$120,0))),"Not set"))))</f>
        <v/>
      </c>
      <c r="I664" s="61" t="n"/>
      <c r="J664" s="45">
        <f>IF($I664="","",IF(NOT(ISNUMBER($H664)),"No plan price",IF(ABS($I664-$H664)&lt;0.005,"Match",IF($I664&gt;$H664,"Over plan","Under plan"))))</f>
        <v/>
      </c>
      <c r="K664" s="60" t="n"/>
      <c r="L664" s="60" t="n"/>
      <c r="M664" s="60" t="n"/>
      <c r="N664" s="60" t="n"/>
      <c r="O664" s="60" t="n"/>
      <c r="P664" s="62" t="n"/>
      <c r="Q664" s="62" t="n"/>
      <c r="R664" s="60" t="n"/>
      <c r="S664" s="59" t="n"/>
      <c r="T664" s="60" t="n"/>
      <c r="U664" s="59" t="n"/>
      <c r="V664" s="45">
        <f>IF(OR($A664="",$T664="",$T664="No Issue"),"",IF($T664="Resolved",IF($U664="","",$U664-$A664),TODAY()-$A664))</f>
        <v/>
      </c>
      <c r="W664" s="47">
        <f>IF(AND($C664&lt;&gt;"",$C664='Store History'!$C$4,OR('Store History'!$C$5="",$F664='Store History'!$C$5)),1,0)</f>
        <v/>
      </c>
      <c r="X664" s="47">
        <f>IF($W664=1,SUM($W664:$W$1005),"")</f>
        <v/>
      </c>
    </row>
    <row r="665">
      <c r="A665" s="59" t="n"/>
      <c r="B665" s="60" t="n"/>
      <c r="C665" s="60" t="n"/>
      <c r="D665" s="45">
        <f>IF($C665="","",IFERROR(INDEX('Chain Program'!$B$6:$B$120,MATCH($C665,'Chain Program'!$A$6:$A$120,0)),"Unknown ID"))</f>
        <v/>
      </c>
      <c r="E665" s="45">
        <f>IF($C665="","",IFERROR(INDEX('Chain Program'!$D$6:$D$120,MATCH($C665,'Chain Program'!$A$6:$A$120,0)),"Unknown ID"))</f>
        <v/>
      </c>
      <c r="F665" s="60" t="n"/>
      <c r="G665" s="60" t="n"/>
      <c r="H665" s="56">
        <f>IF(OR($C665="",$A665=""),"",IF(COUNTIFS('Promo Calendar'!$A$6:$A$400,$C665,'Promo Calendar'!$D$6:$D$400,IF($G665="","All",$G665),'Promo Calendar'!$I$6:$I$400,"&lt;="&amp;$A665,'Promo Calendar'!$J$6:$J$400,"&gt;="&amp;$A665,'Promo Calendar'!$G$6:$G$400,"&gt;0")&gt;0,_xlfn.MINIFS('Promo Calendar'!$G$6:$G$400,'Promo Calendar'!$A$6:$A$400,$C665,'Promo Calendar'!$D$6:$D$400,IF($G665="","All",$G665),'Promo Calendar'!$I$6:$I$400,"&lt;="&amp;$A665,'Promo Calendar'!$J$6:$J$400,"&gt;="&amp;$A665,'Promo Calendar'!$G$6:$G$400,"&gt;0"),IF(COUNTIFS('Promo Calendar'!$A$6:$A$400,$C665,'Promo Calendar'!$D$6:$D$400,"All",'Promo Calendar'!$I$6:$I$400,"&lt;="&amp;$A665,'Promo Calendar'!$J$6:$J$400,"&gt;="&amp;$A665,'Promo Calendar'!$G$6:$G$400,"&gt;0")&gt;0,_xlfn.MINIFS('Promo Calendar'!$G$6:$G$400,'Promo Calendar'!$A$6:$A$400,$C665,'Promo Calendar'!$D$6:$D$400,"All",'Promo Calendar'!$I$6:$I$400,"&lt;="&amp;$A665,'Promo Calendar'!$J$6:$J$400,"&gt;="&amp;$A665,'Promo Calendar'!$G$6:$G$400,"&gt;0"),IFERROR(IF(INDEX('Chain Program'!$M$6:$M$120,MATCH($C665,'Chain Program'!$A$6:$A$120,0))="","Not set",INDEX('Chain Program'!$M$6:$M$120,MATCH($C665,'Chain Program'!$A$6:$A$120,0))),"Not set"))))</f>
        <v/>
      </c>
      <c r="I665" s="61" t="n"/>
      <c r="J665" s="45">
        <f>IF($I665="","",IF(NOT(ISNUMBER($H665)),"No plan price",IF(ABS($I665-$H665)&lt;0.005,"Match",IF($I665&gt;$H665,"Over plan","Under plan"))))</f>
        <v/>
      </c>
      <c r="K665" s="60" t="n"/>
      <c r="L665" s="60" t="n"/>
      <c r="M665" s="60" t="n"/>
      <c r="N665" s="60" t="n"/>
      <c r="O665" s="60" t="n"/>
      <c r="P665" s="62" t="n"/>
      <c r="Q665" s="62" t="n"/>
      <c r="R665" s="60" t="n"/>
      <c r="S665" s="59" t="n"/>
      <c r="T665" s="60" t="n"/>
      <c r="U665" s="59" t="n"/>
      <c r="V665" s="45">
        <f>IF(OR($A665="",$T665="",$T665="No Issue"),"",IF($T665="Resolved",IF($U665="","",$U665-$A665),TODAY()-$A665))</f>
        <v/>
      </c>
      <c r="W665" s="47">
        <f>IF(AND($C665&lt;&gt;"",$C665='Store History'!$C$4,OR('Store History'!$C$5="",$F665='Store History'!$C$5)),1,0)</f>
        <v/>
      </c>
      <c r="X665" s="47">
        <f>IF($W665=1,SUM($W665:$W$1005),"")</f>
        <v/>
      </c>
    </row>
    <row r="666">
      <c r="A666" s="59" t="n"/>
      <c r="B666" s="60" t="n"/>
      <c r="C666" s="60" t="n"/>
      <c r="D666" s="45">
        <f>IF($C666="","",IFERROR(INDEX('Chain Program'!$B$6:$B$120,MATCH($C666,'Chain Program'!$A$6:$A$120,0)),"Unknown ID"))</f>
        <v/>
      </c>
      <c r="E666" s="45">
        <f>IF($C666="","",IFERROR(INDEX('Chain Program'!$D$6:$D$120,MATCH($C666,'Chain Program'!$A$6:$A$120,0)),"Unknown ID"))</f>
        <v/>
      </c>
      <c r="F666" s="60" t="n"/>
      <c r="G666" s="60" t="n"/>
      <c r="H666" s="56">
        <f>IF(OR($C666="",$A666=""),"",IF(COUNTIFS('Promo Calendar'!$A$6:$A$400,$C666,'Promo Calendar'!$D$6:$D$400,IF($G666="","All",$G666),'Promo Calendar'!$I$6:$I$400,"&lt;="&amp;$A666,'Promo Calendar'!$J$6:$J$400,"&gt;="&amp;$A666,'Promo Calendar'!$G$6:$G$400,"&gt;0")&gt;0,_xlfn.MINIFS('Promo Calendar'!$G$6:$G$400,'Promo Calendar'!$A$6:$A$400,$C666,'Promo Calendar'!$D$6:$D$400,IF($G666="","All",$G666),'Promo Calendar'!$I$6:$I$400,"&lt;="&amp;$A666,'Promo Calendar'!$J$6:$J$400,"&gt;="&amp;$A666,'Promo Calendar'!$G$6:$G$400,"&gt;0"),IF(COUNTIFS('Promo Calendar'!$A$6:$A$400,$C666,'Promo Calendar'!$D$6:$D$400,"All",'Promo Calendar'!$I$6:$I$400,"&lt;="&amp;$A666,'Promo Calendar'!$J$6:$J$400,"&gt;="&amp;$A666,'Promo Calendar'!$G$6:$G$400,"&gt;0")&gt;0,_xlfn.MINIFS('Promo Calendar'!$G$6:$G$400,'Promo Calendar'!$A$6:$A$400,$C666,'Promo Calendar'!$D$6:$D$400,"All",'Promo Calendar'!$I$6:$I$400,"&lt;="&amp;$A666,'Promo Calendar'!$J$6:$J$400,"&gt;="&amp;$A666,'Promo Calendar'!$G$6:$G$400,"&gt;0"),IFERROR(IF(INDEX('Chain Program'!$M$6:$M$120,MATCH($C666,'Chain Program'!$A$6:$A$120,0))="","Not set",INDEX('Chain Program'!$M$6:$M$120,MATCH($C666,'Chain Program'!$A$6:$A$120,0))),"Not set"))))</f>
        <v/>
      </c>
      <c r="I666" s="61" t="n"/>
      <c r="J666" s="45">
        <f>IF($I666="","",IF(NOT(ISNUMBER($H666)),"No plan price",IF(ABS($I666-$H666)&lt;0.005,"Match",IF($I666&gt;$H666,"Over plan","Under plan"))))</f>
        <v/>
      </c>
      <c r="K666" s="60" t="n"/>
      <c r="L666" s="60" t="n"/>
      <c r="M666" s="60" t="n"/>
      <c r="N666" s="60" t="n"/>
      <c r="O666" s="60" t="n"/>
      <c r="P666" s="62" t="n"/>
      <c r="Q666" s="62" t="n"/>
      <c r="R666" s="60" t="n"/>
      <c r="S666" s="59" t="n"/>
      <c r="T666" s="60" t="n"/>
      <c r="U666" s="59" t="n"/>
      <c r="V666" s="45">
        <f>IF(OR($A666="",$T666="",$T666="No Issue"),"",IF($T666="Resolved",IF($U666="","",$U666-$A666),TODAY()-$A666))</f>
        <v/>
      </c>
      <c r="W666" s="47">
        <f>IF(AND($C666&lt;&gt;"",$C666='Store History'!$C$4,OR('Store History'!$C$5="",$F666='Store History'!$C$5)),1,0)</f>
        <v/>
      </c>
      <c r="X666" s="47">
        <f>IF($W666=1,SUM($W666:$W$1005),"")</f>
        <v/>
      </c>
    </row>
    <row r="667">
      <c r="A667" s="59" t="n"/>
      <c r="B667" s="60" t="n"/>
      <c r="C667" s="60" t="n"/>
      <c r="D667" s="45">
        <f>IF($C667="","",IFERROR(INDEX('Chain Program'!$B$6:$B$120,MATCH($C667,'Chain Program'!$A$6:$A$120,0)),"Unknown ID"))</f>
        <v/>
      </c>
      <c r="E667" s="45">
        <f>IF($C667="","",IFERROR(INDEX('Chain Program'!$D$6:$D$120,MATCH($C667,'Chain Program'!$A$6:$A$120,0)),"Unknown ID"))</f>
        <v/>
      </c>
      <c r="F667" s="60" t="n"/>
      <c r="G667" s="60" t="n"/>
      <c r="H667" s="56">
        <f>IF(OR($C667="",$A667=""),"",IF(COUNTIFS('Promo Calendar'!$A$6:$A$400,$C667,'Promo Calendar'!$D$6:$D$400,IF($G667="","All",$G667),'Promo Calendar'!$I$6:$I$400,"&lt;="&amp;$A667,'Promo Calendar'!$J$6:$J$400,"&gt;="&amp;$A667,'Promo Calendar'!$G$6:$G$400,"&gt;0")&gt;0,_xlfn.MINIFS('Promo Calendar'!$G$6:$G$400,'Promo Calendar'!$A$6:$A$400,$C667,'Promo Calendar'!$D$6:$D$400,IF($G667="","All",$G667),'Promo Calendar'!$I$6:$I$400,"&lt;="&amp;$A667,'Promo Calendar'!$J$6:$J$400,"&gt;="&amp;$A667,'Promo Calendar'!$G$6:$G$400,"&gt;0"),IF(COUNTIFS('Promo Calendar'!$A$6:$A$400,$C667,'Promo Calendar'!$D$6:$D$400,"All",'Promo Calendar'!$I$6:$I$400,"&lt;="&amp;$A667,'Promo Calendar'!$J$6:$J$400,"&gt;="&amp;$A667,'Promo Calendar'!$G$6:$G$400,"&gt;0")&gt;0,_xlfn.MINIFS('Promo Calendar'!$G$6:$G$400,'Promo Calendar'!$A$6:$A$400,$C667,'Promo Calendar'!$D$6:$D$400,"All",'Promo Calendar'!$I$6:$I$400,"&lt;="&amp;$A667,'Promo Calendar'!$J$6:$J$400,"&gt;="&amp;$A667,'Promo Calendar'!$G$6:$G$400,"&gt;0"),IFERROR(IF(INDEX('Chain Program'!$M$6:$M$120,MATCH($C667,'Chain Program'!$A$6:$A$120,0))="","Not set",INDEX('Chain Program'!$M$6:$M$120,MATCH($C667,'Chain Program'!$A$6:$A$120,0))),"Not set"))))</f>
        <v/>
      </c>
      <c r="I667" s="61" t="n"/>
      <c r="J667" s="45">
        <f>IF($I667="","",IF(NOT(ISNUMBER($H667)),"No plan price",IF(ABS($I667-$H667)&lt;0.005,"Match",IF($I667&gt;$H667,"Over plan","Under plan"))))</f>
        <v/>
      </c>
      <c r="K667" s="60" t="n"/>
      <c r="L667" s="60" t="n"/>
      <c r="M667" s="60" t="n"/>
      <c r="N667" s="60" t="n"/>
      <c r="O667" s="60" t="n"/>
      <c r="P667" s="62" t="n"/>
      <c r="Q667" s="62" t="n"/>
      <c r="R667" s="60" t="n"/>
      <c r="S667" s="59" t="n"/>
      <c r="T667" s="60" t="n"/>
      <c r="U667" s="59" t="n"/>
      <c r="V667" s="45">
        <f>IF(OR($A667="",$T667="",$T667="No Issue"),"",IF($T667="Resolved",IF($U667="","",$U667-$A667),TODAY()-$A667))</f>
        <v/>
      </c>
      <c r="W667" s="47">
        <f>IF(AND($C667&lt;&gt;"",$C667='Store History'!$C$4,OR('Store History'!$C$5="",$F667='Store History'!$C$5)),1,0)</f>
        <v/>
      </c>
      <c r="X667" s="47">
        <f>IF($W667=1,SUM($W667:$W$1005),"")</f>
        <v/>
      </c>
    </row>
    <row r="668">
      <c r="A668" s="59" t="n"/>
      <c r="B668" s="60" t="n"/>
      <c r="C668" s="60" t="n"/>
      <c r="D668" s="45">
        <f>IF($C668="","",IFERROR(INDEX('Chain Program'!$B$6:$B$120,MATCH($C668,'Chain Program'!$A$6:$A$120,0)),"Unknown ID"))</f>
        <v/>
      </c>
      <c r="E668" s="45">
        <f>IF($C668="","",IFERROR(INDEX('Chain Program'!$D$6:$D$120,MATCH($C668,'Chain Program'!$A$6:$A$120,0)),"Unknown ID"))</f>
        <v/>
      </c>
      <c r="F668" s="60" t="n"/>
      <c r="G668" s="60" t="n"/>
      <c r="H668" s="56">
        <f>IF(OR($C668="",$A668=""),"",IF(COUNTIFS('Promo Calendar'!$A$6:$A$400,$C668,'Promo Calendar'!$D$6:$D$400,IF($G668="","All",$G668),'Promo Calendar'!$I$6:$I$400,"&lt;="&amp;$A668,'Promo Calendar'!$J$6:$J$400,"&gt;="&amp;$A668,'Promo Calendar'!$G$6:$G$400,"&gt;0")&gt;0,_xlfn.MINIFS('Promo Calendar'!$G$6:$G$400,'Promo Calendar'!$A$6:$A$400,$C668,'Promo Calendar'!$D$6:$D$400,IF($G668="","All",$G668),'Promo Calendar'!$I$6:$I$400,"&lt;="&amp;$A668,'Promo Calendar'!$J$6:$J$400,"&gt;="&amp;$A668,'Promo Calendar'!$G$6:$G$400,"&gt;0"),IF(COUNTIFS('Promo Calendar'!$A$6:$A$400,$C668,'Promo Calendar'!$D$6:$D$400,"All",'Promo Calendar'!$I$6:$I$400,"&lt;="&amp;$A668,'Promo Calendar'!$J$6:$J$400,"&gt;="&amp;$A668,'Promo Calendar'!$G$6:$G$400,"&gt;0")&gt;0,_xlfn.MINIFS('Promo Calendar'!$G$6:$G$400,'Promo Calendar'!$A$6:$A$400,$C668,'Promo Calendar'!$D$6:$D$400,"All",'Promo Calendar'!$I$6:$I$400,"&lt;="&amp;$A668,'Promo Calendar'!$J$6:$J$400,"&gt;="&amp;$A668,'Promo Calendar'!$G$6:$G$400,"&gt;0"),IFERROR(IF(INDEX('Chain Program'!$M$6:$M$120,MATCH($C668,'Chain Program'!$A$6:$A$120,0))="","Not set",INDEX('Chain Program'!$M$6:$M$120,MATCH($C668,'Chain Program'!$A$6:$A$120,0))),"Not set"))))</f>
        <v/>
      </c>
      <c r="I668" s="61" t="n"/>
      <c r="J668" s="45">
        <f>IF($I668="","",IF(NOT(ISNUMBER($H668)),"No plan price",IF(ABS($I668-$H668)&lt;0.005,"Match",IF($I668&gt;$H668,"Over plan","Under plan"))))</f>
        <v/>
      </c>
      <c r="K668" s="60" t="n"/>
      <c r="L668" s="60" t="n"/>
      <c r="M668" s="60" t="n"/>
      <c r="N668" s="60" t="n"/>
      <c r="O668" s="60" t="n"/>
      <c r="P668" s="62" t="n"/>
      <c r="Q668" s="62" t="n"/>
      <c r="R668" s="60" t="n"/>
      <c r="S668" s="59" t="n"/>
      <c r="T668" s="60" t="n"/>
      <c r="U668" s="59" t="n"/>
      <c r="V668" s="45">
        <f>IF(OR($A668="",$T668="",$T668="No Issue"),"",IF($T668="Resolved",IF($U668="","",$U668-$A668),TODAY()-$A668))</f>
        <v/>
      </c>
      <c r="W668" s="47">
        <f>IF(AND($C668&lt;&gt;"",$C668='Store History'!$C$4,OR('Store History'!$C$5="",$F668='Store History'!$C$5)),1,0)</f>
        <v/>
      </c>
      <c r="X668" s="47">
        <f>IF($W668=1,SUM($W668:$W$1005),"")</f>
        <v/>
      </c>
    </row>
    <row r="669">
      <c r="A669" s="59" t="n"/>
      <c r="B669" s="60" t="n"/>
      <c r="C669" s="60" t="n"/>
      <c r="D669" s="45">
        <f>IF($C669="","",IFERROR(INDEX('Chain Program'!$B$6:$B$120,MATCH($C669,'Chain Program'!$A$6:$A$120,0)),"Unknown ID"))</f>
        <v/>
      </c>
      <c r="E669" s="45">
        <f>IF($C669="","",IFERROR(INDEX('Chain Program'!$D$6:$D$120,MATCH($C669,'Chain Program'!$A$6:$A$120,0)),"Unknown ID"))</f>
        <v/>
      </c>
      <c r="F669" s="60" t="n"/>
      <c r="G669" s="60" t="n"/>
      <c r="H669" s="56">
        <f>IF(OR($C669="",$A669=""),"",IF(COUNTIFS('Promo Calendar'!$A$6:$A$400,$C669,'Promo Calendar'!$D$6:$D$400,IF($G669="","All",$G669),'Promo Calendar'!$I$6:$I$400,"&lt;="&amp;$A669,'Promo Calendar'!$J$6:$J$400,"&gt;="&amp;$A669,'Promo Calendar'!$G$6:$G$400,"&gt;0")&gt;0,_xlfn.MINIFS('Promo Calendar'!$G$6:$G$400,'Promo Calendar'!$A$6:$A$400,$C669,'Promo Calendar'!$D$6:$D$400,IF($G669="","All",$G669),'Promo Calendar'!$I$6:$I$400,"&lt;="&amp;$A669,'Promo Calendar'!$J$6:$J$400,"&gt;="&amp;$A669,'Promo Calendar'!$G$6:$G$400,"&gt;0"),IF(COUNTIFS('Promo Calendar'!$A$6:$A$400,$C669,'Promo Calendar'!$D$6:$D$400,"All",'Promo Calendar'!$I$6:$I$400,"&lt;="&amp;$A669,'Promo Calendar'!$J$6:$J$400,"&gt;="&amp;$A669,'Promo Calendar'!$G$6:$G$400,"&gt;0")&gt;0,_xlfn.MINIFS('Promo Calendar'!$G$6:$G$400,'Promo Calendar'!$A$6:$A$400,$C669,'Promo Calendar'!$D$6:$D$400,"All",'Promo Calendar'!$I$6:$I$400,"&lt;="&amp;$A669,'Promo Calendar'!$J$6:$J$400,"&gt;="&amp;$A669,'Promo Calendar'!$G$6:$G$400,"&gt;0"),IFERROR(IF(INDEX('Chain Program'!$M$6:$M$120,MATCH($C669,'Chain Program'!$A$6:$A$120,0))="","Not set",INDEX('Chain Program'!$M$6:$M$120,MATCH($C669,'Chain Program'!$A$6:$A$120,0))),"Not set"))))</f>
        <v/>
      </c>
      <c r="I669" s="61" t="n"/>
      <c r="J669" s="45">
        <f>IF($I669="","",IF(NOT(ISNUMBER($H669)),"No plan price",IF(ABS($I669-$H669)&lt;0.005,"Match",IF($I669&gt;$H669,"Over plan","Under plan"))))</f>
        <v/>
      </c>
      <c r="K669" s="60" t="n"/>
      <c r="L669" s="60" t="n"/>
      <c r="M669" s="60" t="n"/>
      <c r="N669" s="60" t="n"/>
      <c r="O669" s="60" t="n"/>
      <c r="P669" s="62" t="n"/>
      <c r="Q669" s="62" t="n"/>
      <c r="R669" s="60" t="n"/>
      <c r="S669" s="59" t="n"/>
      <c r="T669" s="60" t="n"/>
      <c r="U669" s="59" t="n"/>
      <c r="V669" s="45">
        <f>IF(OR($A669="",$T669="",$T669="No Issue"),"",IF($T669="Resolved",IF($U669="","",$U669-$A669),TODAY()-$A669))</f>
        <v/>
      </c>
      <c r="W669" s="47">
        <f>IF(AND($C669&lt;&gt;"",$C669='Store History'!$C$4,OR('Store History'!$C$5="",$F669='Store History'!$C$5)),1,0)</f>
        <v/>
      </c>
      <c r="X669" s="47">
        <f>IF($W669=1,SUM($W669:$W$1005),"")</f>
        <v/>
      </c>
    </row>
    <row r="670">
      <c r="A670" s="59" t="n"/>
      <c r="B670" s="60" t="n"/>
      <c r="C670" s="60" t="n"/>
      <c r="D670" s="45">
        <f>IF($C670="","",IFERROR(INDEX('Chain Program'!$B$6:$B$120,MATCH($C670,'Chain Program'!$A$6:$A$120,0)),"Unknown ID"))</f>
        <v/>
      </c>
      <c r="E670" s="45">
        <f>IF($C670="","",IFERROR(INDEX('Chain Program'!$D$6:$D$120,MATCH($C670,'Chain Program'!$A$6:$A$120,0)),"Unknown ID"))</f>
        <v/>
      </c>
      <c r="F670" s="60" t="n"/>
      <c r="G670" s="60" t="n"/>
      <c r="H670" s="56">
        <f>IF(OR($C670="",$A670=""),"",IF(COUNTIFS('Promo Calendar'!$A$6:$A$400,$C670,'Promo Calendar'!$D$6:$D$400,IF($G670="","All",$G670),'Promo Calendar'!$I$6:$I$400,"&lt;="&amp;$A670,'Promo Calendar'!$J$6:$J$400,"&gt;="&amp;$A670,'Promo Calendar'!$G$6:$G$400,"&gt;0")&gt;0,_xlfn.MINIFS('Promo Calendar'!$G$6:$G$400,'Promo Calendar'!$A$6:$A$400,$C670,'Promo Calendar'!$D$6:$D$400,IF($G670="","All",$G670),'Promo Calendar'!$I$6:$I$400,"&lt;="&amp;$A670,'Promo Calendar'!$J$6:$J$400,"&gt;="&amp;$A670,'Promo Calendar'!$G$6:$G$400,"&gt;0"),IF(COUNTIFS('Promo Calendar'!$A$6:$A$400,$C670,'Promo Calendar'!$D$6:$D$400,"All",'Promo Calendar'!$I$6:$I$400,"&lt;="&amp;$A670,'Promo Calendar'!$J$6:$J$400,"&gt;="&amp;$A670,'Promo Calendar'!$G$6:$G$400,"&gt;0")&gt;0,_xlfn.MINIFS('Promo Calendar'!$G$6:$G$400,'Promo Calendar'!$A$6:$A$400,$C670,'Promo Calendar'!$D$6:$D$400,"All",'Promo Calendar'!$I$6:$I$400,"&lt;="&amp;$A670,'Promo Calendar'!$J$6:$J$400,"&gt;="&amp;$A670,'Promo Calendar'!$G$6:$G$400,"&gt;0"),IFERROR(IF(INDEX('Chain Program'!$M$6:$M$120,MATCH($C670,'Chain Program'!$A$6:$A$120,0))="","Not set",INDEX('Chain Program'!$M$6:$M$120,MATCH($C670,'Chain Program'!$A$6:$A$120,0))),"Not set"))))</f>
        <v/>
      </c>
      <c r="I670" s="61" t="n"/>
      <c r="J670" s="45">
        <f>IF($I670="","",IF(NOT(ISNUMBER($H670)),"No plan price",IF(ABS($I670-$H670)&lt;0.005,"Match",IF($I670&gt;$H670,"Over plan","Under plan"))))</f>
        <v/>
      </c>
      <c r="K670" s="60" t="n"/>
      <c r="L670" s="60" t="n"/>
      <c r="M670" s="60" t="n"/>
      <c r="N670" s="60" t="n"/>
      <c r="O670" s="60" t="n"/>
      <c r="P670" s="62" t="n"/>
      <c r="Q670" s="62" t="n"/>
      <c r="R670" s="60" t="n"/>
      <c r="S670" s="59" t="n"/>
      <c r="T670" s="60" t="n"/>
      <c r="U670" s="59" t="n"/>
      <c r="V670" s="45">
        <f>IF(OR($A670="",$T670="",$T670="No Issue"),"",IF($T670="Resolved",IF($U670="","",$U670-$A670),TODAY()-$A670))</f>
        <v/>
      </c>
      <c r="W670" s="47">
        <f>IF(AND($C670&lt;&gt;"",$C670='Store History'!$C$4,OR('Store History'!$C$5="",$F670='Store History'!$C$5)),1,0)</f>
        <v/>
      </c>
      <c r="X670" s="47">
        <f>IF($W670=1,SUM($W670:$W$1005),"")</f>
        <v/>
      </c>
    </row>
    <row r="671">
      <c r="A671" s="59" t="n"/>
      <c r="B671" s="60" t="n"/>
      <c r="C671" s="60" t="n"/>
      <c r="D671" s="45">
        <f>IF($C671="","",IFERROR(INDEX('Chain Program'!$B$6:$B$120,MATCH($C671,'Chain Program'!$A$6:$A$120,0)),"Unknown ID"))</f>
        <v/>
      </c>
      <c r="E671" s="45">
        <f>IF($C671="","",IFERROR(INDEX('Chain Program'!$D$6:$D$120,MATCH($C671,'Chain Program'!$A$6:$A$120,0)),"Unknown ID"))</f>
        <v/>
      </c>
      <c r="F671" s="60" t="n"/>
      <c r="G671" s="60" t="n"/>
      <c r="H671" s="56">
        <f>IF(OR($C671="",$A671=""),"",IF(COUNTIFS('Promo Calendar'!$A$6:$A$400,$C671,'Promo Calendar'!$D$6:$D$400,IF($G671="","All",$G671),'Promo Calendar'!$I$6:$I$400,"&lt;="&amp;$A671,'Promo Calendar'!$J$6:$J$400,"&gt;="&amp;$A671,'Promo Calendar'!$G$6:$G$400,"&gt;0")&gt;0,_xlfn.MINIFS('Promo Calendar'!$G$6:$G$400,'Promo Calendar'!$A$6:$A$400,$C671,'Promo Calendar'!$D$6:$D$400,IF($G671="","All",$G671),'Promo Calendar'!$I$6:$I$400,"&lt;="&amp;$A671,'Promo Calendar'!$J$6:$J$400,"&gt;="&amp;$A671,'Promo Calendar'!$G$6:$G$400,"&gt;0"),IF(COUNTIFS('Promo Calendar'!$A$6:$A$400,$C671,'Promo Calendar'!$D$6:$D$400,"All",'Promo Calendar'!$I$6:$I$400,"&lt;="&amp;$A671,'Promo Calendar'!$J$6:$J$400,"&gt;="&amp;$A671,'Promo Calendar'!$G$6:$G$400,"&gt;0")&gt;0,_xlfn.MINIFS('Promo Calendar'!$G$6:$G$400,'Promo Calendar'!$A$6:$A$400,$C671,'Promo Calendar'!$D$6:$D$400,"All",'Promo Calendar'!$I$6:$I$400,"&lt;="&amp;$A671,'Promo Calendar'!$J$6:$J$400,"&gt;="&amp;$A671,'Promo Calendar'!$G$6:$G$400,"&gt;0"),IFERROR(IF(INDEX('Chain Program'!$M$6:$M$120,MATCH($C671,'Chain Program'!$A$6:$A$120,0))="","Not set",INDEX('Chain Program'!$M$6:$M$120,MATCH($C671,'Chain Program'!$A$6:$A$120,0))),"Not set"))))</f>
        <v/>
      </c>
      <c r="I671" s="61" t="n"/>
      <c r="J671" s="45">
        <f>IF($I671="","",IF(NOT(ISNUMBER($H671)),"No plan price",IF(ABS($I671-$H671)&lt;0.005,"Match",IF($I671&gt;$H671,"Over plan","Under plan"))))</f>
        <v/>
      </c>
      <c r="K671" s="60" t="n"/>
      <c r="L671" s="60" t="n"/>
      <c r="M671" s="60" t="n"/>
      <c r="N671" s="60" t="n"/>
      <c r="O671" s="60" t="n"/>
      <c r="P671" s="62" t="n"/>
      <c r="Q671" s="62" t="n"/>
      <c r="R671" s="60" t="n"/>
      <c r="S671" s="59" t="n"/>
      <c r="T671" s="60" t="n"/>
      <c r="U671" s="59" t="n"/>
      <c r="V671" s="45">
        <f>IF(OR($A671="",$T671="",$T671="No Issue"),"",IF($T671="Resolved",IF($U671="","",$U671-$A671),TODAY()-$A671))</f>
        <v/>
      </c>
      <c r="W671" s="47">
        <f>IF(AND($C671&lt;&gt;"",$C671='Store History'!$C$4,OR('Store History'!$C$5="",$F671='Store History'!$C$5)),1,0)</f>
        <v/>
      </c>
      <c r="X671" s="47">
        <f>IF($W671=1,SUM($W671:$W$1005),"")</f>
        <v/>
      </c>
    </row>
    <row r="672">
      <c r="A672" s="59" t="n"/>
      <c r="B672" s="60" t="n"/>
      <c r="C672" s="60" t="n"/>
      <c r="D672" s="45">
        <f>IF($C672="","",IFERROR(INDEX('Chain Program'!$B$6:$B$120,MATCH($C672,'Chain Program'!$A$6:$A$120,0)),"Unknown ID"))</f>
        <v/>
      </c>
      <c r="E672" s="45">
        <f>IF($C672="","",IFERROR(INDEX('Chain Program'!$D$6:$D$120,MATCH($C672,'Chain Program'!$A$6:$A$120,0)),"Unknown ID"))</f>
        <v/>
      </c>
      <c r="F672" s="60" t="n"/>
      <c r="G672" s="60" t="n"/>
      <c r="H672" s="56">
        <f>IF(OR($C672="",$A672=""),"",IF(COUNTIFS('Promo Calendar'!$A$6:$A$400,$C672,'Promo Calendar'!$D$6:$D$400,IF($G672="","All",$G672),'Promo Calendar'!$I$6:$I$400,"&lt;="&amp;$A672,'Promo Calendar'!$J$6:$J$400,"&gt;="&amp;$A672,'Promo Calendar'!$G$6:$G$400,"&gt;0")&gt;0,_xlfn.MINIFS('Promo Calendar'!$G$6:$G$400,'Promo Calendar'!$A$6:$A$400,$C672,'Promo Calendar'!$D$6:$D$400,IF($G672="","All",$G672),'Promo Calendar'!$I$6:$I$400,"&lt;="&amp;$A672,'Promo Calendar'!$J$6:$J$400,"&gt;="&amp;$A672,'Promo Calendar'!$G$6:$G$400,"&gt;0"),IF(COUNTIFS('Promo Calendar'!$A$6:$A$400,$C672,'Promo Calendar'!$D$6:$D$400,"All",'Promo Calendar'!$I$6:$I$400,"&lt;="&amp;$A672,'Promo Calendar'!$J$6:$J$400,"&gt;="&amp;$A672,'Promo Calendar'!$G$6:$G$400,"&gt;0")&gt;0,_xlfn.MINIFS('Promo Calendar'!$G$6:$G$400,'Promo Calendar'!$A$6:$A$400,$C672,'Promo Calendar'!$D$6:$D$400,"All",'Promo Calendar'!$I$6:$I$400,"&lt;="&amp;$A672,'Promo Calendar'!$J$6:$J$400,"&gt;="&amp;$A672,'Promo Calendar'!$G$6:$G$400,"&gt;0"),IFERROR(IF(INDEX('Chain Program'!$M$6:$M$120,MATCH($C672,'Chain Program'!$A$6:$A$120,0))="","Not set",INDEX('Chain Program'!$M$6:$M$120,MATCH($C672,'Chain Program'!$A$6:$A$120,0))),"Not set"))))</f>
        <v/>
      </c>
      <c r="I672" s="61" t="n"/>
      <c r="J672" s="45">
        <f>IF($I672="","",IF(NOT(ISNUMBER($H672)),"No plan price",IF(ABS($I672-$H672)&lt;0.005,"Match",IF($I672&gt;$H672,"Over plan","Under plan"))))</f>
        <v/>
      </c>
      <c r="K672" s="60" t="n"/>
      <c r="L672" s="60" t="n"/>
      <c r="M672" s="60" t="n"/>
      <c r="N672" s="60" t="n"/>
      <c r="O672" s="60" t="n"/>
      <c r="P672" s="62" t="n"/>
      <c r="Q672" s="62" t="n"/>
      <c r="R672" s="60" t="n"/>
      <c r="S672" s="59" t="n"/>
      <c r="T672" s="60" t="n"/>
      <c r="U672" s="59" t="n"/>
      <c r="V672" s="45">
        <f>IF(OR($A672="",$T672="",$T672="No Issue"),"",IF($T672="Resolved",IF($U672="","",$U672-$A672),TODAY()-$A672))</f>
        <v/>
      </c>
      <c r="W672" s="47">
        <f>IF(AND($C672&lt;&gt;"",$C672='Store History'!$C$4,OR('Store History'!$C$5="",$F672='Store History'!$C$5)),1,0)</f>
        <v/>
      </c>
      <c r="X672" s="47">
        <f>IF($W672=1,SUM($W672:$W$1005),"")</f>
        <v/>
      </c>
    </row>
    <row r="673">
      <c r="A673" s="59" t="n"/>
      <c r="B673" s="60" t="n"/>
      <c r="C673" s="60" t="n"/>
      <c r="D673" s="45">
        <f>IF($C673="","",IFERROR(INDEX('Chain Program'!$B$6:$B$120,MATCH($C673,'Chain Program'!$A$6:$A$120,0)),"Unknown ID"))</f>
        <v/>
      </c>
      <c r="E673" s="45">
        <f>IF($C673="","",IFERROR(INDEX('Chain Program'!$D$6:$D$120,MATCH($C673,'Chain Program'!$A$6:$A$120,0)),"Unknown ID"))</f>
        <v/>
      </c>
      <c r="F673" s="60" t="n"/>
      <c r="G673" s="60" t="n"/>
      <c r="H673" s="56">
        <f>IF(OR($C673="",$A673=""),"",IF(COUNTIFS('Promo Calendar'!$A$6:$A$400,$C673,'Promo Calendar'!$D$6:$D$400,IF($G673="","All",$G673),'Promo Calendar'!$I$6:$I$400,"&lt;="&amp;$A673,'Promo Calendar'!$J$6:$J$400,"&gt;="&amp;$A673,'Promo Calendar'!$G$6:$G$400,"&gt;0")&gt;0,_xlfn.MINIFS('Promo Calendar'!$G$6:$G$400,'Promo Calendar'!$A$6:$A$400,$C673,'Promo Calendar'!$D$6:$D$400,IF($G673="","All",$G673),'Promo Calendar'!$I$6:$I$400,"&lt;="&amp;$A673,'Promo Calendar'!$J$6:$J$400,"&gt;="&amp;$A673,'Promo Calendar'!$G$6:$G$400,"&gt;0"),IF(COUNTIFS('Promo Calendar'!$A$6:$A$400,$C673,'Promo Calendar'!$D$6:$D$400,"All",'Promo Calendar'!$I$6:$I$400,"&lt;="&amp;$A673,'Promo Calendar'!$J$6:$J$400,"&gt;="&amp;$A673,'Promo Calendar'!$G$6:$G$400,"&gt;0")&gt;0,_xlfn.MINIFS('Promo Calendar'!$G$6:$G$400,'Promo Calendar'!$A$6:$A$400,$C673,'Promo Calendar'!$D$6:$D$400,"All",'Promo Calendar'!$I$6:$I$400,"&lt;="&amp;$A673,'Promo Calendar'!$J$6:$J$400,"&gt;="&amp;$A673,'Promo Calendar'!$G$6:$G$400,"&gt;0"),IFERROR(IF(INDEX('Chain Program'!$M$6:$M$120,MATCH($C673,'Chain Program'!$A$6:$A$120,0))="","Not set",INDEX('Chain Program'!$M$6:$M$120,MATCH($C673,'Chain Program'!$A$6:$A$120,0))),"Not set"))))</f>
        <v/>
      </c>
      <c r="I673" s="61" t="n"/>
      <c r="J673" s="45">
        <f>IF($I673="","",IF(NOT(ISNUMBER($H673)),"No plan price",IF(ABS($I673-$H673)&lt;0.005,"Match",IF($I673&gt;$H673,"Over plan","Under plan"))))</f>
        <v/>
      </c>
      <c r="K673" s="60" t="n"/>
      <c r="L673" s="60" t="n"/>
      <c r="M673" s="60" t="n"/>
      <c r="N673" s="60" t="n"/>
      <c r="O673" s="60" t="n"/>
      <c r="P673" s="62" t="n"/>
      <c r="Q673" s="62" t="n"/>
      <c r="R673" s="60" t="n"/>
      <c r="S673" s="59" t="n"/>
      <c r="T673" s="60" t="n"/>
      <c r="U673" s="59" t="n"/>
      <c r="V673" s="45">
        <f>IF(OR($A673="",$T673="",$T673="No Issue"),"",IF($T673="Resolved",IF($U673="","",$U673-$A673),TODAY()-$A673))</f>
        <v/>
      </c>
      <c r="W673" s="47">
        <f>IF(AND($C673&lt;&gt;"",$C673='Store History'!$C$4,OR('Store History'!$C$5="",$F673='Store History'!$C$5)),1,0)</f>
        <v/>
      </c>
      <c r="X673" s="47">
        <f>IF($W673=1,SUM($W673:$W$1005),"")</f>
        <v/>
      </c>
    </row>
    <row r="674">
      <c r="A674" s="59" t="n"/>
      <c r="B674" s="60" t="n"/>
      <c r="C674" s="60" t="n"/>
      <c r="D674" s="45">
        <f>IF($C674="","",IFERROR(INDEX('Chain Program'!$B$6:$B$120,MATCH($C674,'Chain Program'!$A$6:$A$120,0)),"Unknown ID"))</f>
        <v/>
      </c>
      <c r="E674" s="45">
        <f>IF($C674="","",IFERROR(INDEX('Chain Program'!$D$6:$D$120,MATCH($C674,'Chain Program'!$A$6:$A$120,0)),"Unknown ID"))</f>
        <v/>
      </c>
      <c r="F674" s="60" t="n"/>
      <c r="G674" s="60" t="n"/>
      <c r="H674" s="56">
        <f>IF(OR($C674="",$A674=""),"",IF(COUNTIFS('Promo Calendar'!$A$6:$A$400,$C674,'Promo Calendar'!$D$6:$D$400,IF($G674="","All",$G674),'Promo Calendar'!$I$6:$I$400,"&lt;="&amp;$A674,'Promo Calendar'!$J$6:$J$400,"&gt;="&amp;$A674,'Promo Calendar'!$G$6:$G$400,"&gt;0")&gt;0,_xlfn.MINIFS('Promo Calendar'!$G$6:$G$400,'Promo Calendar'!$A$6:$A$400,$C674,'Promo Calendar'!$D$6:$D$400,IF($G674="","All",$G674),'Promo Calendar'!$I$6:$I$400,"&lt;="&amp;$A674,'Promo Calendar'!$J$6:$J$400,"&gt;="&amp;$A674,'Promo Calendar'!$G$6:$G$400,"&gt;0"),IF(COUNTIFS('Promo Calendar'!$A$6:$A$400,$C674,'Promo Calendar'!$D$6:$D$400,"All",'Promo Calendar'!$I$6:$I$400,"&lt;="&amp;$A674,'Promo Calendar'!$J$6:$J$400,"&gt;="&amp;$A674,'Promo Calendar'!$G$6:$G$400,"&gt;0")&gt;0,_xlfn.MINIFS('Promo Calendar'!$G$6:$G$400,'Promo Calendar'!$A$6:$A$400,$C674,'Promo Calendar'!$D$6:$D$400,"All",'Promo Calendar'!$I$6:$I$400,"&lt;="&amp;$A674,'Promo Calendar'!$J$6:$J$400,"&gt;="&amp;$A674,'Promo Calendar'!$G$6:$G$400,"&gt;0"),IFERROR(IF(INDEX('Chain Program'!$M$6:$M$120,MATCH($C674,'Chain Program'!$A$6:$A$120,0))="","Not set",INDEX('Chain Program'!$M$6:$M$120,MATCH($C674,'Chain Program'!$A$6:$A$120,0))),"Not set"))))</f>
        <v/>
      </c>
      <c r="I674" s="61" t="n"/>
      <c r="J674" s="45">
        <f>IF($I674="","",IF(NOT(ISNUMBER($H674)),"No plan price",IF(ABS($I674-$H674)&lt;0.005,"Match",IF($I674&gt;$H674,"Over plan","Under plan"))))</f>
        <v/>
      </c>
      <c r="K674" s="60" t="n"/>
      <c r="L674" s="60" t="n"/>
      <c r="M674" s="60" t="n"/>
      <c r="N674" s="60" t="n"/>
      <c r="O674" s="60" t="n"/>
      <c r="P674" s="62" t="n"/>
      <c r="Q674" s="62" t="n"/>
      <c r="R674" s="60" t="n"/>
      <c r="S674" s="59" t="n"/>
      <c r="T674" s="60" t="n"/>
      <c r="U674" s="59" t="n"/>
      <c r="V674" s="45">
        <f>IF(OR($A674="",$T674="",$T674="No Issue"),"",IF($T674="Resolved",IF($U674="","",$U674-$A674),TODAY()-$A674))</f>
        <v/>
      </c>
      <c r="W674" s="47">
        <f>IF(AND($C674&lt;&gt;"",$C674='Store History'!$C$4,OR('Store History'!$C$5="",$F674='Store History'!$C$5)),1,0)</f>
        <v/>
      </c>
      <c r="X674" s="47">
        <f>IF($W674=1,SUM($W674:$W$1005),"")</f>
        <v/>
      </c>
    </row>
    <row r="675">
      <c r="A675" s="59" t="n"/>
      <c r="B675" s="60" t="n"/>
      <c r="C675" s="60" t="n"/>
      <c r="D675" s="45">
        <f>IF($C675="","",IFERROR(INDEX('Chain Program'!$B$6:$B$120,MATCH($C675,'Chain Program'!$A$6:$A$120,0)),"Unknown ID"))</f>
        <v/>
      </c>
      <c r="E675" s="45">
        <f>IF($C675="","",IFERROR(INDEX('Chain Program'!$D$6:$D$120,MATCH($C675,'Chain Program'!$A$6:$A$120,0)),"Unknown ID"))</f>
        <v/>
      </c>
      <c r="F675" s="60" t="n"/>
      <c r="G675" s="60" t="n"/>
      <c r="H675" s="56">
        <f>IF(OR($C675="",$A675=""),"",IF(COUNTIFS('Promo Calendar'!$A$6:$A$400,$C675,'Promo Calendar'!$D$6:$D$400,IF($G675="","All",$G675),'Promo Calendar'!$I$6:$I$400,"&lt;="&amp;$A675,'Promo Calendar'!$J$6:$J$400,"&gt;="&amp;$A675,'Promo Calendar'!$G$6:$G$400,"&gt;0")&gt;0,_xlfn.MINIFS('Promo Calendar'!$G$6:$G$400,'Promo Calendar'!$A$6:$A$400,$C675,'Promo Calendar'!$D$6:$D$400,IF($G675="","All",$G675),'Promo Calendar'!$I$6:$I$400,"&lt;="&amp;$A675,'Promo Calendar'!$J$6:$J$400,"&gt;="&amp;$A675,'Promo Calendar'!$G$6:$G$400,"&gt;0"),IF(COUNTIFS('Promo Calendar'!$A$6:$A$400,$C675,'Promo Calendar'!$D$6:$D$400,"All",'Promo Calendar'!$I$6:$I$400,"&lt;="&amp;$A675,'Promo Calendar'!$J$6:$J$400,"&gt;="&amp;$A675,'Promo Calendar'!$G$6:$G$400,"&gt;0")&gt;0,_xlfn.MINIFS('Promo Calendar'!$G$6:$G$400,'Promo Calendar'!$A$6:$A$400,$C675,'Promo Calendar'!$D$6:$D$400,"All",'Promo Calendar'!$I$6:$I$400,"&lt;="&amp;$A675,'Promo Calendar'!$J$6:$J$400,"&gt;="&amp;$A675,'Promo Calendar'!$G$6:$G$400,"&gt;0"),IFERROR(IF(INDEX('Chain Program'!$M$6:$M$120,MATCH($C675,'Chain Program'!$A$6:$A$120,0))="","Not set",INDEX('Chain Program'!$M$6:$M$120,MATCH($C675,'Chain Program'!$A$6:$A$120,0))),"Not set"))))</f>
        <v/>
      </c>
      <c r="I675" s="61" t="n"/>
      <c r="J675" s="45">
        <f>IF($I675="","",IF(NOT(ISNUMBER($H675)),"No plan price",IF(ABS($I675-$H675)&lt;0.005,"Match",IF($I675&gt;$H675,"Over plan","Under plan"))))</f>
        <v/>
      </c>
      <c r="K675" s="60" t="n"/>
      <c r="L675" s="60" t="n"/>
      <c r="M675" s="60" t="n"/>
      <c r="N675" s="60" t="n"/>
      <c r="O675" s="60" t="n"/>
      <c r="P675" s="62" t="n"/>
      <c r="Q675" s="62" t="n"/>
      <c r="R675" s="60" t="n"/>
      <c r="S675" s="59" t="n"/>
      <c r="T675" s="60" t="n"/>
      <c r="U675" s="59" t="n"/>
      <c r="V675" s="45">
        <f>IF(OR($A675="",$T675="",$T675="No Issue"),"",IF($T675="Resolved",IF($U675="","",$U675-$A675),TODAY()-$A675))</f>
        <v/>
      </c>
      <c r="W675" s="47">
        <f>IF(AND($C675&lt;&gt;"",$C675='Store History'!$C$4,OR('Store History'!$C$5="",$F675='Store History'!$C$5)),1,0)</f>
        <v/>
      </c>
      <c r="X675" s="47">
        <f>IF($W675=1,SUM($W675:$W$1005),"")</f>
        <v/>
      </c>
    </row>
    <row r="676">
      <c r="A676" s="59" t="n"/>
      <c r="B676" s="60" t="n"/>
      <c r="C676" s="60" t="n"/>
      <c r="D676" s="45">
        <f>IF($C676="","",IFERROR(INDEX('Chain Program'!$B$6:$B$120,MATCH($C676,'Chain Program'!$A$6:$A$120,0)),"Unknown ID"))</f>
        <v/>
      </c>
      <c r="E676" s="45">
        <f>IF($C676="","",IFERROR(INDEX('Chain Program'!$D$6:$D$120,MATCH($C676,'Chain Program'!$A$6:$A$120,0)),"Unknown ID"))</f>
        <v/>
      </c>
      <c r="F676" s="60" t="n"/>
      <c r="G676" s="60" t="n"/>
      <c r="H676" s="56">
        <f>IF(OR($C676="",$A676=""),"",IF(COUNTIFS('Promo Calendar'!$A$6:$A$400,$C676,'Promo Calendar'!$D$6:$D$400,IF($G676="","All",$G676),'Promo Calendar'!$I$6:$I$400,"&lt;="&amp;$A676,'Promo Calendar'!$J$6:$J$400,"&gt;="&amp;$A676,'Promo Calendar'!$G$6:$G$400,"&gt;0")&gt;0,_xlfn.MINIFS('Promo Calendar'!$G$6:$G$400,'Promo Calendar'!$A$6:$A$400,$C676,'Promo Calendar'!$D$6:$D$400,IF($G676="","All",$G676),'Promo Calendar'!$I$6:$I$400,"&lt;="&amp;$A676,'Promo Calendar'!$J$6:$J$400,"&gt;="&amp;$A676,'Promo Calendar'!$G$6:$G$400,"&gt;0"),IF(COUNTIFS('Promo Calendar'!$A$6:$A$400,$C676,'Promo Calendar'!$D$6:$D$400,"All",'Promo Calendar'!$I$6:$I$400,"&lt;="&amp;$A676,'Promo Calendar'!$J$6:$J$400,"&gt;="&amp;$A676,'Promo Calendar'!$G$6:$G$400,"&gt;0")&gt;0,_xlfn.MINIFS('Promo Calendar'!$G$6:$G$400,'Promo Calendar'!$A$6:$A$400,$C676,'Promo Calendar'!$D$6:$D$400,"All",'Promo Calendar'!$I$6:$I$400,"&lt;="&amp;$A676,'Promo Calendar'!$J$6:$J$400,"&gt;="&amp;$A676,'Promo Calendar'!$G$6:$G$400,"&gt;0"),IFERROR(IF(INDEX('Chain Program'!$M$6:$M$120,MATCH($C676,'Chain Program'!$A$6:$A$120,0))="","Not set",INDEX('Chain Program'!$M$6:$M$120,MATCH($C676,'Chain Program'!$A$6:$A$120,0))),"Not set"))))</f>
        <v/>
      </c>
      <c r="I676" s="61" t="n"/>
      <c r="J676" s="45">
        <f>IF($I676="","",IF(NOT(ISNUMBER($H676)),"No plan price",IF(ABS($I676-$H676)&lt;0.005,"Match",IF($I676&gt;$H676,"Over plan","Under plan"))))</f>
        <v/>
      </c>
      <c r="K676" s="60" t="n"/>
      <c r="L676" s="60" t="n"/>
      <c r="M676" s="60" t="n"/>
      <c r="N676" s="60" t="n"/>
      <c r="O676" s="60" t="n"/>
      <c r="P676" s="62" t="n"/>
      <c r="Q676" s="62" t="n"/>
      <c r="R676" s="60" t="n"/>
      <c r="S676" s="59" t="n"/>
      <c r="T676" s="60" t="n"/>
      <c r="U676" s="59" t="n"/>
      <c r="V676" s="45">
        <f>IF(OR($A676="",$T676="",$T676="No Issue"),"",IF($T676="Resolved",IF($U676="","",$U676-$A676),TODAY()-$A676))</f>
        <v/>
      </c>
      <c r="W676" s="47">
        <f>IF(AND($C676&lt;&gt;"",$C676='Store History'!$C$4,OR('Store History'!$C$5="",$F676='Store History'!$C$5)),1,0)</f>
        <v/>
      </c>
      <c r="X676" s="47">
        <f>IF($W676=1,SUM($W676:$W$1005),"")</f>
        <v/>
      </c>
    </row>
    <row r="677">
      <c r="A677" s="59" t="n"/>
      <c r="B677" s="60" t="n"/>
      <c r="C677" s="60" t="n"/>
      <c r="D677" s="45">
        <f>IF($C677="","",IFERROR(INDEX('Chain Program'!$B$6:$B$120,MATCH($C677,'Chain Program'!$A$6:$A$120,0)),"Unknown ID"))</f>
        <v/>
      </c>
      <c r="E677" s="45">
        <f>IF($C677="","",IFERROR(INDEX('Chain Program'!$D$6:$D$120,MATCH($C677,'Chain Program'!$A$6:$A$120,0)),"Unknown ID"))</f>
        <v/>
      </c>
      <c r="F677" s="60" t="n"/>
      <c r="G677" s="60" t="n"/>
      <c r="H677" s="56">
        <f>IF(OR($C677="",$A677=""),"",IF(COUNTIFS('Promo Calendar'!$A$6:$A$400,$C677,'Promo Calendar'!$D$6:$D$400,IF($G677="","All",$G677),'Promo Calendar'!$I$6:$I$400,"&lt;="&amp;$A677,'Promo Calendar'!$J$6:$J$400,"&gt;="&amp;$A677,'Promo Calendar'!$G$6:$G$400,"&gt;0")&gt;0,_xlfn.MINIFS('Promo Calendar'!$G$6:$G$400,'Promo Calendar'!$A$6:$A$400,$C677,'Promo Calendar'!$D$6:$D$400,IF($G677="","All",$G677),'Promo Calendar'!$I$6:$I$400,"&lt;="&amp;$A677,'Promo Calendar'!$J$6:$J$400,"&gt;="&amp;$A677,'Promo Calendar'!$G$6:$G$400,"&gt;0"),IF(COUNTIFS('Promo Calendar'!$A$6:$A$400,$C677,'Promo Calendar'!$D$6:$D$400,"All",'Promo Calendar'!$I$6:$I$400,"&lt;="&amp;$A677,'Promo Calendar'!$J$6:$J$400,"&gt;="&amp;$A677,'Promo Calendar'!$G$6:$G$400,"&gt;0")&gt;0,_xlfn.MINIFS('Promo Calendar'!$G$6:$G$400,'Promo Calendar'!$A$6:$A$400,$C677,'Promo Calendar'!$D$6:$D$400,"All",'Promo Calendar'!$I$6:$I$400,"&lt;="&amp;$A677,'Promo Calendar'!$J$6:$J$400,"&gt;="&amp;$A677,'Promo Calendar'!$G$6:$G$400,"&gt;0"),IFERROR(IF(INDEX('Chain Program'!$M$6:$M$120,MATCH($C677,'Chain Program'!$A$6:$A$120,0))="","Not set",INDEX('Chain Program'!$M$6:$M$120,MATCH($C677,'Chain Program'!$A$6:$A$120,0))),"Not set"))))</f>
        <v/>
      </c>
      <c r="I677" s="61" t="n"/>
      <c r="J677" s="45">
        <f>IF($I677="","",IF(NOT(ISNUMBER($H677)),"No plan price",IF(ABS($I677-$H677)&lt;0.005,"Match",IF($I677&gt;$H677,"Over plan","Under plan"))))</f>
        <v/>
      </c>
      <c r="K677" s="60" t="n"/>
      <c r="L677" s="60" t="n"/>
      <c r="M677" s="60" t="n"/>
      <c r="N677" s="60" t="n"/>
      <c r="O677" s="60" t="n"/>
      <c r="P677" s="62" t="n"/>
      <c r="Q677" s="62" t="n"/>
      <c r="R677" s="60" t="n"/>
      <c r="S677" s="59" t="n"/>
      <c r="T677" s="60" t="n"/>
      <c r="U677" s="59" t="n"/>
      <c r="V677" s="45">
        <f>IF(OR($A677="",$T677="",$T677="No Issue"),"",IF($T677="Resolved",IF($U677="","",$U677-$A677),TODAY()-$A677))</f>
        <v/>
      </c>
      <c r="W677" s="47">
        <f>IF(AND($C677&lt;&gt;"",$C677='Store History'!$C$4,OR('Store History'!$C$5="",$F677='Store History'!$C$5)),1,0)</f>
        <v/>
      </c>
      <c r="X677" s="47">
        <f>IF($W677=1,SUM($W677:$W$1005),"")</f>
        <v/>
      </c>
    </row>
    <row r="678">
      <c r="A678" s="59" t="n"/>
      <c r="B678" s="60" t="n"/>
      <c r="C678" s="60" t="n"/>
      <c r="D678" s="45">
        <f>IF($C678="","",IFERROR(INDEX('Chain Program'!$B$6:$B$120,MATCH($C678,'Chain Program'!$A$6:$A$120,0)),"Unknown ID"))</f>
        <v/>
      </c>
      <c r="E678" s="45">
        <f>IF($C678="","",IFERROR(INDEX('Chain Program'!$D$6:$D$120,MATCH($C678,'Chain Program'!$A$6:$A$120,0)),"Unknown ID"))</f>
        <v/>
      </c>
      <c r="F678" s="60" t="n"/>
      <c r="G678" s="60" t="n"/>
      <c r="H678" s="56">
        <f>IF(OR($C678="",$A678=""),"",IF(COUNTIFS('Promo Calendar'!$A$6:$A$400,$C678,'Promo Calendar'!$D$6:$D$400,IF($G678="","All",$G678),'Promo Calendar'!$I$6:$I$400,"&lt;="&amp;$A678,'Promo Calendar'!$J$6:$J$400,"&gt;="&amp;$A678,'Promo Calendar'!$G$6:$G$400,"&gt;0")&gt;0,_xlfn.MINIFS('Promo Calendar'!$G$6:$G$400,'Promo Calendar'!$A$6:$A$400,$C678,'Promo Calendar'!$D$6:$D$400,IF($G678="","All",$G678),'Promo Calendar'!$I$6:$I$400,"&lt;="&amp;$A678,'Promo Calendar'!$J$6:$J$400,"&gt;="&amp;$A678,'Promo Calendar'!$G$6:$G$400,"&gt;0"),IF(COUNTIFS('Promo Calendar'!$A$6:$A$400,$C678,'Promo Calendar'!$D$6:$D$400,"All",'Promo Calendar'!$I$6:$I$400,"&lt;="&amp;$A678,'Promo Calendar'!$J$6:$J$400,"&gt;="&amp;$A678,'Promo Calendar'!$G$6:$G$400,"&gt;0")&gt;0,_xlfn.MINIFS('Promo Calendar'!$G$6:$G$400,'Promo Calendar'!$A$6:$A$400,$C678,'Promo Calendar'!$D$6:$D$400,"All",'Promo Calendar'!$I$6:$I$400,"&lt;="&amp;$A678,'Promo Calendar'!$J$6:$J$400,"&gt;="&amp;$A678,'Promo Calendar'!$G$6:$G$400,"&gt;0"),IFERROR(IF(INDEX('Chain Program'!$M$6:$M$120,MATCH($C678,'Chain Program'!$A$6:$A$120,0))="","Not set",INDEX('Chain Program'!$M$6:$M$120,MATCH($C678,'Chain Program'!$A$6:$A$120,0))),"Not set"))))</f>
        <v/>
      </c>
      <c r="I678" s="61" t="n"/>
      <c r="J678" s="45">
        <f>IF($I678="","",IF(NOT(ISNUMBER($H678)),"No plan price",IF(ABS($I678-$H678)&lt;0.005,"Match",IF($I678&gt;$H678,"Over plan","Under plan"))))</f>
        <v/>
      </c>
      <c r="K678" s="60" t="n"/>
      <c r="L678" s="60" t="n"/>
      <c r="M678" s="60" t="n"/>
      <c r="N678" s="60" t="n"/>
      <c r="O678" s="60" t="n"/>
      <c r="P678" s="62" t="n"/>
      <c r="Q678" s="62" t="n"/>
      <c r="R678" s="60" t="n"/>
      <c r="S678" s="59" t="n"/>
      <c r="T678" s="60" t="n"/>
      <c r="U678" s="59" t="n"/>
      <c r="V678" s="45">
        <f>IF(OR($A678="",$T678="",$T678="No Issue"),"",IF($T678="Resolved",IF($U678="","",$U678-$A678),TODAY()-$A678))</f>
        <v/>
      </c>
      <c r="W678" s="47">
        <f>IF(AND($C678&lt;&gt;"",$C678='Store History'!$C$4,OR('Store History'!$C$5="",$F678='Store History'!$C$5)),1,0)</f>
        <v/>
      </c>
      <c r="X678" s="47">
        <f>IF($W678=1,SUM($W678:$W$1005),"")</f>
        <v/>
      </c>
    </row>
    <row r="679">
      <c r="A679" s="59" t="n"/>
      <c r="B679" s="60" t="n"/>
      <c r="C679" s="60" t="n"/>
      <c r="D679" s="45">
        <f>IF($C679="","",IFERROR(INDEX('Chain Program'!$B$6:$B$120,MATCH($C679,'Chain Program'!$A$6:$A$120,0)),"Unknown ID"))</f>
        <v/>
      </c>
      <c r="E679" s="45">
        <f>IF($C679="","",IFERROR(INDEX('Chain Program'!$D$6:$D$120,MATCH($C679,'Chain Program'!$A$6:$A$120,0)),"Unknown ID"))</f>
        <v/>
      </c>
      <c r="F679" s="60" t="n"/>
      <c r="G679" s="60" t="n"/>
      <c r="H679" s="56">
        <f>IF(OR($C679="",$A679=""),"",IF(COUNTIFS('Promo Calendar'!$A$6:$A$400,$C679,'Promo Calendar'!$D$6:$D$400,IF($G679="","All",$G679),'Promo Calendar'!$I$6:$I$400,"&lt;="&amp;$A679,'Promo Calendar'!$J$6:$J$400,"&gt;="&amp;$A679,'Promo Calendar'!$G$6:$G$400,"&gt;0")&gt;0,_xlfn.MINIFS('Promo Calendar'!$G$6:$G$400,'Promo Calendar'!$A$6:$A$400,$C679,'Promo Calendar'!$D$6:$D$400,IF($G679="","All",$G679),'Promo Calendar'!$I$6:$I$400,"&lt;="&amp;$A679,'Promo Calendar'!$J$6:$J$400,"&gt;="&amp;$A679,'Promo Calendar'!$G$6:$G$400,"&gt;0"),IF(COUNTIFS('Promo Calendar'!$A$6:$A$400,$C679,'Promo Calendar'!$D$6:$D$400,"All",'Promo Calendar'!$I$6:$I$400,"&lt;="&amp;$A679,'Promo Calendar'!$J$6:$J$400,"&gt;="&amp;$A679,'Promo Calendar'!$G$6:$G$400,"&gt;0")&gt;0,_xlfn.MINIFS('Promo Calendar'!$G$6:$G$400,'Promo Calendar'!$A$6:$A$400,$C679,'Promo Calendar'!$D$6:$D$400,"All",'Promo Calendar'!$I$6:$I$400,"&lt;="&amp;$A679,'Promo Calendar'!$J$6:$J$400,"&gt;="&amp;$A679,'Promo Calendar'!$G$6:$G$400,"&gt;0"),IFERROR(IF(INDEX('Chain Program'!$M$6:$M$120,MATCH($C679,'Chain Program'!$A$6:$A$120,0))="","Not set",INDEX('Chain Program'!$M$6:$M$120,MATCH($C679,'Chain Program'!$A$6:$A$120,0))),"Not set"))))</f>
        <v/>
      </c>
      <c r="I679" s="61" t="n"/>
      <c r="J679" s="45">
        <f>IF($I679="","",IF(NOT(ISNUMBER($H679)),"No plan price",IF(ABS($I679-$H679)&lt;0.005,"Match",IF($I679&gt;$H679,"Over plan","Under plan"))))</f>
        <v/>
      </c>
      <c r="K679" s="60" t="n"/>
      <c r="L679" s="60" t="n"/>
      <c r="M679" s="60" t="n"/>
      <c r="N679" s="60" t="n"/>
      <c r="O679" s="60" t="n"/>
      <c r="P679" s="62" t="n"/>
      <c r="Q679" s="62" t="n"/>
      <c r="R679" s="60" t="n"/>
      <c r="S679" s="59" t="n"/>
      <c r="T679" s="60" t="n"/>
      <c r="U679" s="59" t="n"/>
      <c r="V679" s="45">
        <f>IF(OR($A679="",$T679="",$T679="No Issue"),"",IF($T679="Resolved",IF($U679="","",$U679-$A679),TODAY()-$A679))</f>
        <v/>
      </c>
      <c r="W679" s="47">
        <f>IF(AND($C679&lt;&gt;"",$C679='Store History'!$C$4,OR('Store History'!$C$5="",$F679='Store History'!$C$5)),1,0)</f>
        <v/>
      </c>
      <c r="X679" s="47">
        <f>IF($W679=1,SUM($W679:$W$1005),"")</f>
        <v/>
      </c>
    </row>
    <row r="680">
      <c r="A680" s="59" t="n"/>
      <c r="B680" s="60" t="n"/>
      <c r="C680" s="60" t="n"/>
      <c r="D680" s="45">
        <f>IF($C680="","",IFERROR(INDEX('Chain Program'!$B$6:$B$120,MATCH($C680,'Chain Program'!$A$6:$A$120,0)),"Unknown ID"))</f>
        <v/>
      </c>
      <c r="E680" s="45">
        <f>IF($C680="","",IFERROR(INDEX('Chain Program'!$D$6:$D$120,MATCH($C680,'Chain Program'!$A$6:$A$120,0)),"Unknown ID"))</f>
        <v/>
      </c>
      <c r="F680" s="60" t="n"/>
      <c r="G680" s="60" t="n"/>
      <c r="H680" s="56">
        <f>IF(OR($C680="",$A680=""),"",IF(COUNTIFS('Promo Calendar'!$A$6:$A$400,$C680,'Promo Calendar'!$D$6:$D$400,IF($G680="","All",$G680),'Promo Calendar'!$I$6:$I$400,"&lt;="&amp;$A680,'Promo Calendar'!$J$6:$J$400,"&gt;="&amp;$A680,'Promo Calendar'!$G$6:$G$400,"&gt;0")&gt;0,_xlfn.MINIFS('Promo Calendar'!$G$6:$G$400,'Promo Calendar'!$A$6:$A$400,$C680,'Promo Calendar'!$D$6:$D$400,IF($G680="","All",$G680),'Promo Calendar'!$I$6:$I$400,"&lt;="&amp;$A680,'Promo Calendar'!$J$6:$J$400,"&gt;="&amp;$A680,'Promo Calendar'!$G$6:$G$400,"&gt;0"),IF(COUNTIFS('Promo Calendar'!$A$6:$A$400,$C680,'Promo Calendar'!$D$6:$D$400,"All",'Promo Calendar'!$I$6:$I$400,"&lt;="&amp;$A680,'Promo Calendar'!$J$6:$J$400,"&gt;="&amp;$A680,'Promo Calendar'!$G$6:$G$400,"&gt;0")&gt;0,_xlfn.MINIFS('Promo Calendar'!$G$6:$G$400,'Promo Calendar'!$A$6:$A$400,$C680,'Promo Calendar'!$D$6:$D$400,"All",'Promo Calendar'!$I$6:$I$400,"&lt;="&amp;$A680,'Promo Calendar'!$J$6:$J$400,"&gt;="&amp;$A680,'Promo Calendar'!$G$6:$G$400,"&gt;0"),IFERROR(IF(INDEX('Chain Program'!$M$6:$M$120,MATCH($C680,'Chain Program'!$A$6:$A$120,0))="","Not set",INDEX('Chain Program'!$M$6:$M$120,MATCH($C680,'Chain Program'!$A$6:$A$120,0))),"Not set"))))</f>
        <v/>
      </c>
      <c r="I680" s="61" t="n"/>
      <c r="J680" s="45">
        <f>IF($I680="","",IF(NOT(ISNUMBER($H680)),"No plan price",IF(ABS($I680-$H680)&lt;0.005,"Match",IF($I680&gt;$H680,"Over plan","Under plan"))))</f>
        <v/>
      </c>
      <c r="K680" s="60" t="n"/>
      <c r="L680" s="60" t="n"/>
      <c r="M680" s="60" t="n"/>
      <c r="N680" s="60" t="n"/>
      <c r="O680" s="60" t="n"/>
      <c r="P680" s="62" t="n"/>
      <c r="Q680" s="62" t="n"/>
      <c r="R680" s="60" t="n"/>
      <c r="S680" s="59" t="n"/>
      <c r="T680" s="60" t="n"/>
      <c r="U680" s="59" t="n"/>
      <c r="V680" s="45">
        <f>IF(OR($A680="",$T680="",$T680="No Issue"),"",IF($T680="Resolved",IF($U680="","",$U680-$A680),TODAY()-$A680))</f>
        <v/>
      </c>
      <c r="W680" s="47">
        <f>IF(AND($C680&lt;&gt;"",$C680='Store History'!$C$4,OR('Store History'!$C$5="",$F680='Store History'!$C$5)),1,0)</f>
        <v/>
      </c>
      <c r="X680" s="47">
        <f>IF($W680=1,SUM($W680:$W$1005),"")</f>
        <v/>
      </c>
    </row>
    <row r="681">
      <c r="A681" s="59" t="n"/>
      <c r="B681" s="60" t="n"/>
      <c r="C681" s="60" t="n"/>
      <c r="D681" s="45">
        <f>IF($C681="","",IFERROR(INDEX('Chain Program'!$B$6:$B$120,MATCH($C681,'Chain Program'!$A$6:$A$120,0)),"Unknown ID"))</f>
        <v/>
      </c>
      <c r="E681" s="45">
        <f>IF($C681="","",IFERROR(INDEX('Chain Program'!$D$6:$D$120,MATCH($C681,'Chain Program'!$A$6:$A$120,0)),"Unknown ID"))</f>
        <v/>
      </c>
      <c r="F681" s="60" t="n"/>
      <c r="G681" s="60" t="n"/>
      <c r="H681" s="56">
        <f>IF(OR($C681="",$A681=""),"",IF(COUNTIFS('Promo Calendar'!$A$6:$A$400,$C681,'Promo Calendar'!$D$6:$D$400,IF($G681="","All",$G681),'Promo Calendar'!$I$6:$I$400,"&lt;="&amp;$A681,'Promo Calendar'!$J$6:$J$400,"&gt;="&amp;$A681,'Promo Calendar'!$G$6:$G$400,"&gt;0")&gt;0,_xlfn.MINIFS('Promo Calendar'!$G$6:$G$400,'Promo Calendar'!$A$6:$A$400,$C681,'Promo Calendar'!$D$6:$D$400,IF($G681="","All",$G681),'Promo Calendar'!$I$6:$I$400,"&lt;="&amp;$A681,'Promo Calendar'!$J$6:$J$400,"&gt;="&amp;$A681,'Promo Calendar'!$G$6:$G$400,"&gt;0"),IF(COUNTIFS('Promo Calendar'!$A$6:$A$400,$C681,'Promo Calendar'!$D$6:$D$400,"All",'Promo Calendar'!$I$6:$I$400,"&lt;="&amp;$A681,'Promo Calendar'!$J$6:$J$400,"&gt;="&amp;$A681,'Promo Calendar'!$G$6:$G$400,"&gt;0")&gt;0,_xlfn.MINIFS('Promo Calendar'!$G$6:$G$400,'Promo Calendar'!$A$6:$A$400,$C681,'Promo Calendar'!$D$6:$D$400,"All",'Promo Calendar'!$I$6:$I$400,"&lt;="&amp;$A681,'Promo Calendar'!$J$6:$J$400,"&gt;="&amp;$A681,'Promo Calendar'!$G$6:$G$400,"&gt;0"),IFERROR(IF(INDEX('Chain Program'!$M$6:$M$120,MATCH($C681,'Chain Program'!$A$6:$A$120,0))="","Not set",INDEX('Chain Program'!$M$6:$M$120,MATCH($C681,'Chain Program'!$A$6:$A$120,0))),"Not set"))))</f>
        <v/>
      </c>
      <c r="I681" s="61" t="n"/>
      <c r="J681" s="45">
        <f>IF($I681="","",IF(NOT(ISNUMBER($H681)),"No plan price",IF(ABS($I681-$H681)&lt;0.005,"Match",IF($I681&gt;$H681,"Over plan","Under plan"))))</f>
        <v/>
      </c>
      <c r="K681" s="60" t="n"/>
      <c r="L681" s="60" t="n"/>
      <c r="M681" s="60" t="n"/>
      <c r="N681" s="60" t="n"/>
      <c r="O681" s="60" t="n"/>
      <c r="P681" s="62" t="n"/>
      <c r="Q681" s="62" t="n"/>
      <c r="R681" s="60" t="n"/>
      <c r="S681" s="59" t="n"/>
      <c r="T681" s="60" t="n"/>
      <c r="U681" s="59" t="n"/>
      <c r="V681" s="45">
        <f>IF(OR($A681="",$T681="",$T681="No Issue"),"",IF($T681="Resolved",IF($U681="","",$U681-$A681),TODAY()-$A681))</f>
        <v/>
      </c>
      <c r="W681" s="47">
        <f>IF(AND($C681&lt;&gt;"",$C681='Store History'!$C$4,OR('Store History'!$C$5="",$F681='Store History'!$C$5)),1,0)</f>
        <v/>
      </c>
      <c r="X681" s="47">
        <f>IF($W681=1,SUM($W681:$W$1005),"")</f>
        <v/>
      </c>
    </row>
    <row r="682">
      <c r="A682" s="59" t="n"/>
      <c r="B682" s="60" t="n"/>
      <c r="C682" s="60" t="n"/>
      <c r="D682" s="45">
        <f>IF($C682="","",IFERROR(INDEX('Chain Program'!$B$6:$B$120,MATCH($C682,'Chain Program'!$A$6:$A$120,0)),"Unknown ID"))</f>
        <v/>
      </c>
      <c r="E682" s="45">
        <f>IF($C682="","",IFERROR(INDEX('Chain Program'!$D$6:$D$120,MATCH($C682,'Chain Program'!$A$6:$A$120,0)),"Unknown ID"))</f>
        <v/>
      </c>
      <c r="F682" s="60" t="n"/>
      <c r="G682" s="60" t="n"/>
      <c r="H682" s="56">
        <f>IF(OR($C682="",$A682=""),"",IF(COUNTIFS('Promo Calendar'!$A$6:$A$400,$C682,'Promo Calendar'!$D$6:$D$400,IF($G682="","All",$G682),'Promo Calendar'!$I$6:$I$400,"&lt;="&amp;$A682,'Promo Calendar'!$J$6:$J$400,"&gt;="&amp;$A682,'Promo Calendar'!$G$6:$G$400,"&gt;0")&gt;0,_xlfn.MINIFS('Promo Calendar'!$G$6:$G$400,'Promo Calendar'!$A$6:$A$400,$C682,'Promo Calendar'!$D$6:$D$400,IF($G682="","All",$G682),'Promo Calendar'!$I$6:$I$400,"&lt;="&amp;$A682,'Promo Calendar'!$J$6:$J$400,"&gt;="&amp;$A682,'Promo Calendar'!$G$6:$G$400,"&gt;0"),IF(COUNTIFS('Promo Calendar'!$A$6:$A$400,$C682,'Promo Calendar'!$D$6:$D$400,"All",'Promo Calendar'!$I$6:$I$400,"&lt;="&amp;$A682,'Promo Calendar'!$J$6:$J$400,"&gt;="&amp;$A682,'Promo Calendar'!$G$6:$G$400,"&gt;0")&gt;0,_xlfn.MINIFS('Promo Calendar'!$G$6:$G$400,'Promo Calendar'!$A$6:$A$400,$C682,'Promo Calendar'!$D$6:$D$400,"All",'Promo Calendar'!$I$6:$I$400,"&lt;="&amp;$A682,'Promo Calendar'!$J$6:$J$400,"&gt;="&amp;$A682,'Promo Calendar'!$G$6:$G$400,"&gt;0"),IFERROR(IF(INDEX('Chain Program'!$M$6:$M$120,MATCH($C682,'Chain Program'!$A$6:$A$120,0))="","Not set",INDEX('Chain Program'!$M$6:$M$120,MATCH($C682,'Chain Program'!$A$6:$A$120,0))),"Not set"))))</f>
        <v/>
      </c>
      <c r="I682" s="61" t="n"/>
      <c r="J682" s="45">
        <f>IF($I682="","",IF(NOT(ISNUMBER($H682)),"No plan price",IF(ABS($I682-$H682)&lt;0.005,"Match",IF($I682&gt;$H682,"Over plan","Under plan"))))</f>
        <v/>
      </c>
      <c r="K682" s="60" t="n"/>
      <c r="L682" s="60" t="n"/>
      <c r="M682" s="60" t="n"/>
      <c r="N682" s="60" t="n"/>
      <c r="O682" s="60" t="n"/>
      <c r="P682" s="62" t="n"/>
      <c r="Q682" s="62" t="n"/>
      <c r="R682" s="60" t="n"/>
      <c r="S682" s="59" t="n"/>
      <c r="T682" s="60" t="n"/>
      <c r="U682" s="59" t="n"/>
      <c r="V682" s="45">
        <f>IF(OR($A682="",$T682="",$T682="No Issue"),"",IF($T682="Resolved",IF($U682="","",$U682-$A682),TODAY()-$A682))</f>
        <v/>
      </c>
      <c r="W682" s="47">
        <f>IF(AND($C682&lt;&gt;"",$C682='Store History'!$C$4,OR('Store History'!$C$5="",$F682='Store History'!$C$5)),1,0)</f>
        <v/>
      </c>
      <c r="X682" s="47">
        <f>IF($W682=1,SUM($W682:$W$1005),"")</f>
        <v/>
      </c>
    </row>
    <row r="683">
      <c r="A683" s="59" t="n"/>
      <c r="B683" s="60" t="n"/>
      <c r="C683" s="60" t="n"/>
      <c r="D683" s="45">
        <f>IF($C683="","",IFERROR(INDEX('Chain Program'!$B$6:$B$120,MATCH($C683,'Chain Program'!$A$6:$A$120,0)),"Unknown ID"))</f>
        <v/>
      </c>
      <c r="E683" s="45">
        <f>IF($C683="","",IFERROR(INDEX('Chain Program'!$D$6:$D$120,MATCH($C683,'Chain Program'!$A$6:$A$120,0)),"Unknown ID"))</f>
        <v/>
      </c>
      <c r="F683" s="60" t="n"/>
      <c r="G683" s="60" t="n"/>
      <c r="H683" s="56">
        <f>IF(OR($C683="",$A683=""),"",IF(COUNTIFS('Promo Calendar'!$A$6:$A$400,$C683,'Promo Calendar'!$D$6:$D$400,IF($G683="","All",$G683),'Promo Calendar'!$I$6:$I$400,"&lt;="&amp;$A683,'Promo Calendar'!$J$6:$J$400,"&gt;="&amp;$A683,'Promo Calendar'!$G$6:$G$400,"&gt;0")&gt;0,_xlfn.MINIFS('Promo Calendar'!$G$6:$G$400,'Promo Calendar'!$A$6:$A$400,$C683,'Promo Calendar'!$D$6:$D$400,IF($G683="","All",$G683),'Promo Calendar'!$I$6:$I$400,"&lt;="&amp;$A683,'Promo Calendar'!$J$6:$J$400,"&gt;="&amp;$A683,'Promo Calendar'!$G$6:$G$400,"&gt;0"),IF(COUNTIFS('Promo Calendar'!$A$6:$A$400,$C683,'Promo Calendar'!$D$6:$D$400,"All",'Promo Calendar'!$I$6:$I$400,"&lt;="&amp;$A683,'Promo Calendar'!$J$6:$J$400,"&gt;="&amp;$A683,'Promo Calendar'!$G$6:$G$400,"&gt;0")&gt;0,_xlfn.MINIFS('Promo Calendar'!$G$6:$G$400,'Promo Calendar'!$A$6:$A$400,$C683,'Promo Calendar'!$D$6:$D$400,"All",'Promo Calendar'!$I$6:$I$400,"&lt;="&amp;$A683,'Promo Calendar'!$J$6:$J$400,"&gt;="&amp;$A683,'Promo Calendar'!$G$6:$G$400,"&gt;0"),IFERROR(IF(INDEX('Chain Program'!$M$6:$M$120,MATCH($C683,'Chain Program'!$A$6:$A$120,0))="","Not set",INDEX('Chain Program'!$M$6:$M$120,MATCH($C683,'Chain Program'!$A$6:$A$120,0))),"Not set"))))</f>
        <v/>
      </c>
      <c r="I683" s="61" t="n"/>
      <c r="J683" s="45">
        <f>IF($I683="","",IF(NOT(ISNUMBER($H683)),"No plan price",IF(ABS($I683-$H683)&lt;0.005,"Match",IF($I683&gt;$H683,"Over plan","Under plan"))))</f>
        <v/>
      </c>
      <c r="K683" s="60" t="n"/>
      <c r="L683" s="60" t="n"/>
      <c r="M683" s="60" t="n"/>
      <c r="N683" s="60" t="n"/>
      <c r="O683" s="60" t="n"/>
      <c r="P683" s="62" t="n"/>
      <c r="Q683" s="62" t="n"/>
      <c r="R683" s="60" t="n"/>
      <c r="S683" s="59" t="n"/>
      <c r="T683" s="60" t="n"/>
      <c r="U683" s="59" t="n"/>
      <c r="V683" s="45">
        <f>IF(OR($A683="",$T683="",$T683="No Issue"),"",IF($T683="Resolved",IF($U683="","",$U683-$A683),TODAY()-$A683))</f>
        <v/>
      </c>
      <c r="W683" s="47">
        <f>IF(AND($C683&lt;&gt;"",$C683='Store History'!$C$4,OR('Store History'!$C$5="",$F683='Store History'!$C$5)),1,0)</f>
        <v/>
      </c>
      <c r="X683" s="47">
        <f>IF($W683=1,SUM($W683:$W$1005),"")</f>
        <v/>
      </c>
    </row>
    <row r="684">
      <c r="A684" s="59" t="n"/>
      <c r="B684" s="60" t="n"/>
      <c r="C684" s="60" t="n"/>
      <c r="D684" s="45">
        <f>IF($C684="","",IFERROR(INDEX('Chain Program'!$B$6:$B$120,MATCH($C684,'Chain Program'!$A$6:$A$120,0)),"Unknown ID"))</f>
        <v/>
      </c>
      <c r="E684" s="45">
        <f>IF($C684="","",IFERROR(INDEX('Chain Program'!$D$6:$D$120,MATCH($C684,'Chain Program'!$A$6:$A$120,0)),"Unknown ID"))</f>
        <v/>
      </c>
      <c r="F684" s="60" t="n"/>
      <c r="G684" s="60" t="n"/>
      <c r="H684" s="56">
        <f>IF(OR($C684="",$A684=""),"",IF(COUNTIFS('Promo Calendar'!$A$6:$A$400,$C684,'Promo Calendar'!$D$6:$D$400,IF($G684="","All",$G684),'Promo Calendar'!$I$6:$I$400,"&lt;="&amp;$A684,'Promo Calendar'!$J$6:$J$400,"&gt;="&amp;$A684,'Promo Calendar'!$G$6:$G$400,"&gt;0")&gt;0,_xlfn.MINIFS('Promo Calendar'!$G$6:$G$400,'Promo Calendar'!$A$6:$A$400,$C684,'Promo Calendar'!$D$6:$D$400,IF($G684="","All",$G684),'Promo Calendar'!$I$6:$I$400,"&lt;="&amp;$A684,'Promo Calendar'!$J$6:$J$400,"&gt;="&amp;$A684,'Promo Calendar'!$G$6:$G$400,"&gt;0"),IF(COUNTIFS('Promo Calendar'!$A$6:$A$400,$C684,'Promo Calendar'!$D$6:$D$400,"All",'Promo Calendar'!$I$6:$I$400,"&lt;="&amp;$A684,'Promo Calendar'!$J$6:$J$400,"&gt;="&amp;$A684,'Promo Calendar'!$G$6:$G$400,"&gt;0")&gt;0,_xlfn.MINIFS('Promo Calendar'!$G$6:$G$400,'Promo Calendar'!$A$6:$A$400,$C684,'Promo Calendar'!$D$6:$D$400,"All",'Promo Calendar'!$I$6:$I$400,"&lt;="&amp;$A684,'Promo Calendar'!$J$6:$J$400,"&gt;="&amp;$A684,'Promo Calendar'!$G$6:$G$400,"&gt;0"),IFERROR(IF(INDEX('Chain Program'!$M$6:$M$120,MATCH($C684,'Chain Program'!$A$6:$A$120,0))="","Not set",INDEX('Chain Program'!$M$6:$M$120,MATCH($C684,'Chain Program'!$A$6:$A$120,0))),"Not set"))))</f>
        <v/>
      </c>
      <c r="I684" s="61" t="n"/>
      <c r="J684" s="45">
        <f>IF($I684="","",IF(NOT(ISNUMBER($H684)),"No plan price",IF(ABS($I684-$H684)&lt;0.005,"Match",IF($I684&gt;$H684,"Over plan","Under plan"))))</f>
        <v/>
      </c>
      <c r="K684" s="60" t="n"/>
      <c r="L684" s="60" t="n"/>
      <c r="M684" s="60" t="n"/>
      <c r="N684" s="60" t="n"/>
      <c r="O684" s="60" t="n"/>
      <c r="P684" s="62" t="n"/>
      <c r="Q684" s="62" t="n"/>
      <c r="R684" s="60" t="n"/>
      <c r="S684" s="59" t="n"/>
      <c r="T684" s="60" t="n"/>
      <c r="U684" s="59" t="n"/>
      <c r="V684" s="45">
        <f>IF(OR($A684="",$T684="",$T684="No Issue"),"",IF($T684="Resolved",IF($U684="","",$U684-$A684),TODAY()-$A684))</f>
        <v/>
      </c>
      <c r="W684" s="47">
        <f>IF(AND($C684&lt;&gt;"",$C684='Store History'!$C$4,OR('Store History'!$C$5="",$F684='Store History'!$C$5)),1,0)</f>
        <v/>
      </c>
      <c r="X684" s="47">
        <f>IF($W684=1,SUM($W684:$W$1005),"")</f>
        <v/>
      </c>
    </row>
    <row r="685">
      <c r="A685" s="59" t="n"/>
      <c r="B685" s="60" t="n"/>
      <c r="C685" s="60" t="n"/>
      <c r="D685" s="45">
        <f>IF($C685="","",IFERROR(INDEX('Chain Program'!$B$6:$B$120,MATCH($C685,'Chain Program'!$A$6:$A$120,0)),"Unknown ID"))</f>
        <v/>
      </c>
      <c r="E685" s="45">
        <f>IF($C685="","",IFERROR(INDEX('Chain Program'!$D$6:$D$120,MATCH($C685,'Chain Program'!$A$6:$A$120,0)),"Unknown ID"))</f>
        <v/>
      </c>
      <c r="F685" s="60" t="n"/>
      <c r="G685" s="60" t="n"/>
      <c r="H685" s="56">
        <f>IF(OR($C685="",$A685=""),"",IF(COUNTIFS('Promo Calendar'!$A$6:$A$400,$C685,'Promo Calendar'!$D$6:$D$400,IF($G685="","All",$G685),'Promo Calendar'!$I$6:$I$400,"&lt;="&amp;$A685,'Promo Calendar'!$J$6:$J$400,"&gt;="&amp;$A685,'Promo Calendar'!$G$6:$G$400,"&gt;0")&gt;0,_xlfn.MINIFS('Promo Calendar'!$G$6:$G$400,'Promo Calendar'!$A$6:$A$400,$C685,'Promo Calendar'!$D$6:$D$400,IF($G685="","All",$G685),'Promo Calendar'!$I$6:$I$400,"&lt;="&amp;$A685,'Promo Calendar'!$J$6:$J$400,"&gt;="&amp;$A685,'Promo Calendar'!$G$6:$G$400,"&gt;0"),IF(COUNTIFS('Promo Calendar'!$A$6:$A$400,$C685,'Promo Calendar'!$D$6:$D$400,"All",'Promo Calendar'!$I$6:$I$400,"&lt;="&amp;$A685,'Promo Calendar'!$J$6:$J$400,"&gt;="&amp;$A685,'Promo Calendar'!$G$6:$G$400,"&gt;0")&gt;0,_xlfn.MINIFS('Promo Calendar'!$G$6:$G$400,'Promo Calendar'!$A$6:$A$400,$C685,'Promo Calendar'!$D$6:$D$400,"All",'Promo Calendar'!$I$6:$I$400,"&lt;="&amp;$A685,'Promo Calendar'!$J$6:$J$400,"&gt;="&amp;$A685,'Promo Calendar'!$G$6:$G$400,"&gt;0"),IFERROR(IF(INDEX('Chain Program'!$M$6:$M$120,MATCH($C685,'Chain Program'!$A$6:$A$120,0))="","Not set",INDEX('Chain Program'!$M$6:$M$120,MATCH($C685,'Chain Program'!$A$6:$A$120,0))),"Not set"))))</f>
        <v/>
      </c>
      <c r="I685" s="61" t="n"/>
      <c r="J685" s="45">
        <f>IF($I685="","",IF(NOT(ISNUMBER($H685)),"No plan price",IF(ABS($I685-$H685)&lt;0.005,"Match",IF($I685&gt;$H685,"Over plan","Under plan"))))</f>
        <v/>
      </c>
      <c r="K685" s="60" t="n"/>
      <c r="L685" s="60" t="n"/>
      <c r="M685" s="60" t="n"/>
      <c r="N685" s="60" t="n"/>
      <c r="O685" s="60" t="n"/>
      <c r="P685" s="62" t="n"/>
      <c r="Q685" s="62" t="n"/>
      <c r="R685" s="60" t="n"/>
      <c r="S685" s="59" t="n"/>
      <c r="T685" s="60" t="n"/>
      <c r="U685" s="59" t="n"/>
      <c r="V685" s="45">
        <f>IF(OR($A685="",$T685="",$T685="No Issue"),"",IF($T685="Resolved",IF($U685="","",$U685-$A685),TODAY()-$A685))</f>
        <v/>
      </c>
      <c r="W685" s="47">
        <f>IF(AND($C685&lt;&gt;"",$C685='Store History'!$C$4,OR('Store History'!$C$5="",$F685='Store History'!$C$5)),1,0)</f>
        <v/>
      </c>
      <c r="X685" s="47">
        <f>IF($W685=1,SUM($W685:$W$1005),"")</f>
        <v/>
      </c>
    </row>
    <row r="686">
      <c r="A686" s="59" t="n"/>
      <c r="B686" s="60" t="n"/>
      <c r="C686" s="60" t="n"/>
      <c r="D686" s="45">
        <f>IF($C686="","",IFERROR(INDEX('Chain Program'!$B$6:$B$120,MATCH($C686,'Chain Program'!$A$6:$A$120,0)),"Unknown ID"))</f>
        <v/>
      </c>
      <c r="E686" s="45">
        <f>IF($C686="","",IFERROR(INDEX('Chain Program'!$D$6:$D$120,MATCH($C686,'Chain Program'!$A$6:$A$120,0)),"Unknown ID"))</f>
        <v/>
      </c>
      <c r="F686" s="60" t="n"/>
      <c r="G686" s="60" t="n"/>
      <c r="H686" s="56">
        <f>IF(OR($C686="",$A686=""),"",IF(COUNTIFS('Promo Calendar'!$A$6:$A$400,$C686,'Promo Calendar'!$D$6:$D$400,IF($G686="","All",$G686),'Promo Calendar'!$I$6:$I$400,"&lt;="&amp;$A686,'Promo Calendar'!$J$6:$J$400,"&gt;="&amp;$A686,'Promo Calendar'!$G$6:$G$400,"&gt;0")&gt;0,_xlfn.MINIFS('Promo Calendar'!$G$6:$G$400,'Promo Calendar'!$A$6:$A$400,$C686,'Promo Calendar'!$D$6:$D$400,IF($G686="","All",$G686),'Promo Calendar'!$I$6:$I$400,"&lt;="&amp;$A686,'Promo Calendar'!$J$6:$J$400,"&gt;="&amp;$A686,'Promo Calendar'!$G$6:$G$400,"&gt;0"),IF(COUNTIFS('Promo Calendar'!$A$6:$A$400,$C686,'Promo Calendar'!$D$6:$D$400,"All",'Promo Calendar'!$I$6:$I$400,"&lt;="&amp;$A686,'Promo Calendar'!$J$6:$J$400,"&gt;="&amp;$A686,'Promo Calendar'!$G$6:$G$400,"&gt;0")&gt;0,_xlfn.MINIFS('Promo Calendar'!$G$6:$G$400,'Promo Calendar'!$A$6:$A$400,$C686,'Promo Calendar'!$D$6:$D$400,"All",'Promo Calendar'!$I$6:$I$400,"&lt;="&amp;$A686,'Promo Calendar'!$J$6:$J$400,"&gt;="&amp;$A686,'Promo Calendar'!$G$6:$G$400,"&gt;0"),IFERROR(IF(INDEX('Chain Program'!$M$6:$M$120,MATCH($C686,'Chain Program'!$A$6:$A$120,0))="","Not set",INDEX('Chain Program'!$M$6:$M$120,MATCH($C686,'Chain Program'!$A$6:$A$120,0))),"Not set"))))</f>
        <v/>
      </c>
      <c r="I686" s="61" t="n"/>
      <c r="J686" s="45">
        <f>IF($I686="","",IF(NOT(ISNUMBER($H686)),"No plan price",IF(ABS($I686-$H686)&lt;0.005,"Match",IF($I686&gt;$H686,"Over plan","Under plan"))))</f>
        <v/>
      </c>
      <c r="K686" s="60" t="n"/>
      <c r="L686" s="60" t="n"/>
      <c r="M686" s="60" t="n"/>
      <c r="N686" s="60" t="n"/>
      <c r="O686" s="60" t="n"/>
      <c r="P686" s="62" t="n"/>
      <c r="Q686" s="62" t="n"/>
      <c r="R686" s="60" t="n"/>
      <c r="S686" s="59" t="n"/>
      <c r="T686" s="60" t="n"/>
      <c r="U686" s="59" t="n"/>
      <c r="V686" s="45">
        <f>IF(OR($A686="",$T686="",$T686="No Issue"),"",IF($T686="Resolved",IF($U686="","",$U686-$A686),TODAY()-$A686))</f>
        <v/>
      </c>
      <c r="W686" s="47">
        <f>IF(AND($C686&lt;&gt;"",$C686='Store History'!$C$4,OR('Store History'!$C$5="",$F686='Store History'!$C$5)),1,0)</f>
        <v/>
      </c>
      <c r="X686" s="47">
        <f>IF($W686=1,SUM($W686:$W$1005),"")</f>
        <v/>
      </c>
    </row>
    <row r="687">
      <c r="A687" s="59" t="n"/>
      <c r="B687" s="60" t="n"/>
      <c r="C687" s="60" t="n"/>
      <c r="D687" s="45">
        <f>IF($C687="","",IFERROR(INDEX('Chain Program'!$B$6:$B$120,MATCH($C687,'Chain Program'!$A$6:$A$120,0)),"Unknown ID"))</f>
        <v/>
      </c>
      <c r="E687" s="45">
        <f>IF($C687="","",IFERROR(INDEX('Chain Program'!$D$6:$D$120,MATCH($C687,'Chain Program'!$A$6:$A$120,0)),"Unknown ID"))</f>
        <v/>
      </c>
      <c r="F687" s="60" t="n"/>
      <c r="G687" s="60" t="n"/>
      <c r="H687" s="56">
        <f>IF(OR($C687="",$A687=""),"",IF(COUNTIFS('Promo Calendar'!$A$6:$A$400,$C687,'Promo Calendar'!$D$6:$D$400,IF($G687="","All",$G687),'Promo Calendar'!$I$6:$I$400,"&lt;="&amp;$A687,'Promo Calendar'!$J$6:$J$400,"&gt;="&amp;$A687,'Promo Calendar'!$G$6:$G$400,"&gt;0")&gt;0,_xlfn.MINIFS('Promo Calendar'!$G$6:$G$400,'Promo Calendar'!$A$6:$A$400,$C687,'Promo Calendar'!$D$6:$D$400,IF($G687="","All",$G687),'Promo Calendar'!$I$6:$I$400,"&lt;="&amp;$A687,'Promo Calendar'!$J$6:$J$400,"&gt;="&amp;$A687,'Promo Calendar'!$G$6:$G$400,"&gt;0"),IF(COUNTIFS('Promo Calendar'!$A$6:$A$400,$C687,'Promo Calendar'!$D$6:$D$400,"All",'Promo Calendar'!$I$6:$I$400,"&lt;="&amp;$A687,'Promo Calendar'!$J$6:$J$400,"&gt;="&amp;$A687,'Promo Calendar'!$G$6:$G$400,"&gt;0")&gt;0,_xlfn.MINIFS('Promo Calendar'!$G$6:$G$400,'Promo Calendar'!$A$6:$A$400,$C687,'Promo Calendar'!$D$6:$D$400,"All",'Promo Calendar'!$I$6:$I$400,"&lt;="&amp;$A687,'Promo Calendar'!$J$6:$J$400,"&gt;="&amp;$A687,'Promo Calendar'!$G$6:$G$400,"&gt;0"),IFERROR(IF(INDEX('Chain Program'!$M$6:$M$120,MATCH($C687,'Chain Program'!$A$6:$A$120,0))="","Not set",INDEX('Chain Program'!$M$6:$M$120,MATCH($C687,'Chain Program'!$A$6:$A$120,0))),"Not set"))))</f>
        <v/>
      </c>
      <c r="I687" s="61" t="n"/>
      <c r="J687" s="45">
        <f>IF($I687="","",IF(NOT(ISNUMBER($H687)),"No plan price",IF(ABS($I687-$H687)&lt;0.005,"Match",IF($I687&gt;$H687,"Over plan","Under plan"))))</f>
        <v/>
      </c>
      <c r="K687" s="60" t="n"/>
      <c r="L687" s="60" t="n"/>
      <c r="M687" s="60" t="n"/>
      <c r="N687" s="60" t="n"/>
      <c r="O687" s="60" t="n"/>
      <c r="P687" s="62" t="n"/>
      <c r="Q687" s="62" t="n"/>
      <c r="R687" s="60" t="n"/>
      <c r="S687" s="59" t="n"/>
      <c r="T687" s="60" t="n"/>
      <c r="U687" s="59" t="n"/>
      <c r="V687" s="45">
        <f>IF(OR($A687="",$T687="",$T687="No Issue"),"",IF($T687="Resolved",IF($U687="","",$U687-$A687),TODAY()-$A687))</f>
        <v/>
      </c>
      <c r="W687" s="47">
        <f>IF(AND($C687&lt;&gt;"",$C687='Store History'!$C$4,OR('Store History'!$C$5="",$F687='Store History'!$C$5)),1,0)</f>
        <v/>
      </c>
      <c r="X687" s="47">
        <f>IF($W687=1,SUM($W687:$W$1005),"")</f>
        <v/>
      </c>
    </row>
    <row r="688">
      <c r="A688" s="59" t="n"/>
      <c r="B688" s="60" t="n"/>
      <c r="C688" s="60" t="n"/>
      <c r="D688" s="45">
        <f>IF($C688="","",IFERROR(INDEX('Chain Program'!$B$6:$B$120,MATCH($C688,'Chain Program'!$A$6:$A$120,0)),"Unknown ID"))</f>
        <v/>
      </c>
      <c r="E688" s="45">
        <f>IF($C688="","",IFERROR(INDEX('Chain Program'!$D$6:$D$120,MATCH($C688,'Chain Program'!$A$6:$A$120,0)),"Unknown ID"))</f>
        <v/>
      </c>
      <c r="F688" s="60" t="n"/>
      <c r="G688" s="60" t="n"/>
      <c r="H688" s="56">
        <f>IF(OR($C688="",$A688=""),"",IF(COUNTIFS('Promo Calendar'!$A$6:$A$400,$C688,'Promo Calendar'!$D$6:$D$400,IF($G688="","All",$G688),'Promo Calendar'!$I$6:$I$400,"&lt;="&amp;$A688,'Promo Calendar'!$J$6:$J$400,"&gt;="&amp;$A688,'Promo Calendar'!$G$6:$G$400,"&gt;0")&gt;0,_xlfn.MINIFS('Promo Calendar'!$G$6:$G$400,'Promo Calendar'!$A$6:$A$400,$C688,'Promo Calendar'!$D$6:$D$400,IF($G688="","All",$G688),'Promo Calendar'!$I$6:$I$400,"&lt;="&amp;$A688,'Promo Calendar'!$J$6:$J$400,"&gt;="&amp;$A688,'Promo Calendar'!$G$6:$G$400,"&gt;0"),IF(COUNTIFS('Promo Calendar'!$A$6:$A$400,$C688,'Promo Calendar'!$D$6:$D$400,"All",'Promo Calendar'!$I$6:$I$400,"&lt;="&amp;$A688,'Promo Calendar'!$J$6:$J$400,"&gt;="&amp;$A688,'Promo Calendar'!$G$6:$G$400,"&gt;0")&gt;0,_xlfn.MINIFS('Promo Calendar'!$G$6:$G$400,'Promo Calendar'!$A$6:$A$400,$C688,'Promo Calendar'!$D$6:$D$400,"All",'Promo Calendar'!$I$6:$I$400,"&lt;="&amp;$A688,'Promo Calendar'!$J$6:$J$400,"&gt;="&amp;$A688,'Promo Calendar'!$G$6:$G$400,"&gt;0"),IFERROR(IF(INDEX('Chain Program'!$M$6:$M$120,MATCH($C688,'Chain Program'!$A$6:$A$120,0))="","Not set",INDEX('Chain Program'!$M$6:$M$120,MATCH($C688,'Chain Program'!$A$6:$A$120,0))),"Not set"))))</f>
        <v/>
      </c>
      <c r="I688" s="61" t="n"/>
      <c r="J688" s="45">
        <f>IF($I688="","",IF(NOT(ISNUMBER($H688)),"No plan price",IF(ABS($I688-$H688)&lt;0.005,"Match",IF($I688&gt;$H688,"Over plan","Under plan"))))</f>
        <v/>
      </c>
      <c r="K688" s="60" t="n"/>
      <c r="L688" s="60" t="n"/>
      <c r="M688" s="60" t="n"/>
      <c r="N688" s="60" t="n"/>
      <c r="O688" s="60" t="n"/>
      <c r="P688" s="62" t="n"/>
      <c r="Q688" s="62" t="n"/>
      <c r="R688" s="60" t="n"/>
      <c r="S688" s="59" t="n"/>
      <c r="T688" s="60" t="n"/>
      <c r="U688" s="59" t="n"/>
      <c r="V688" s="45">
        <f>IF(OR($A688="",$T688="",$T688="No Issue"),"",IF($T688="Resolved",IF($U688="","",$U688-$A688),TODAY()-$A688))</f>
        <v/>
      </c>
      <c r="W688" s="47">
        <f>IF(AND($C688&lt;&gt;"",$C688='Store History'!$C$4,OR('Store History'!$C$5="",$F688='Store History'!$C$5)),1,0)</f>
        <v/>
      </c>
      <c r="X688" s="47">
        <f>IF($W688=1,SUM($W688:$W$1005),"")</f>
        <v/>
      </c>
    </row>
    <row r="689">
      <c r="A689" s="59" t="n"/>
      <c r="B689" s="60" t="n"/>
      <c r="C689" s="60" t="n"/>
      <c r="D689" s="45">
        <f>IF($C689="","",IFERROR(INDEX('Chain Program'!$B$6:$B$120,MATCH($C689,'Chain Program'!$A$6:$A$120,0)),"Unknown ID"))</f>
        <v/>
      </c>
      <c r="E689" s="45">
        <f>IF($C689="","",IFERROR(INDEX('Chain Program'!$D$6:$D$120,MATCH($C689,'Chain Program'!$A$6:$A$120,0)),"Unknown ID"))</f>
        <v/>
      </c>
      <c r="F689" s="60" t="n"/>
      <c r="G689" s="60" t="n"/>
      <c r="H689" s="56">
        <f>IF(OR($C689="",$A689=""),"",IF(COUNTIFS('Promo Calendar'!$A$6:$A$400,$C689,'Promo Calendar'!$D$6:$D$400,IF($G689="","All",$G689),'Promo Calendar'!$I$6:$I$400,"&lt;="&amp;$A689,'Promo Calendar'!$J$6:$J$400,"&gt;="&amp;$A689,'Promo Calendar'!$G$6:$G$400,"&gt;0")&gt;0,_xlfn.MINIFS('Promo Calendar'!$G$6:$G$400,'Promo Calendar'!$A$6:$A$400,$C689,'Promo Calendar'!$D$6:$D$400,IF($G689="","All",$G689),'Promo Calendar'!$I$6:$I$400,"&lt;="&amp;$A689,'Promo Calendar'!$J$6:$J$400,"&gt;="&amp;$A689,'Promo Calendar'!$G$6:$G$400,"&gt;0"),IF(COUNTIFS('Promo Calendar'!$A$6:$A$400,$C689,'Promo Calendar'!$D$6:$D$400,"All",'Promo Calendar'!$I$6:$I$400,"&lt;="&amp;$A689,'Promo Calendar'!$J$6:$J$400,"&gt;="&amp;$A689,'Promo Calendar'!$G$6:$G$400,"&gt;0")&gt;0,_xlfn.MINIFS('Promo Calendar'!$G$6:$G$400,'Promo Calendar'!$A$6:$A$400,$C689,'Promo Calendar'!$D$6:$D$400,"All",'Promo Calendar'!$I$6:$I$400,"&lt;="&amp;$A689,'Promo Calendar'!$J$6:$J$400,"&gt;="&amp;$A689,'Promo Calendar'!$G$6:$G$400,"&gt;0"),IFERROR(IF(INDEX('Chain Program'!$M$6:$M$120,MATCH($C689,'Chain Program'!$A$6:$A$120,0))="","Not set",INDEX('Chain Program'!$M$6:$M$120,MATCH($C689,'Chain Program'!$A$6:$A$120,0))),"Not set"))))</f>
        <v/>
      </c>
      <c r="I689" s="61" t="n"/>
      <c r="J689" s="45">
        <f>IF($I689="","",IF(NOT(ISNUMBER($H689)),"No plan price",IF(ABS($I689-$H689)&lt;0.005,"Match",IF($I689&gt;$H689,"Over plan","Under plan"))))</f>
        <v/>
      </c>
      <c r="K689" s="60" t="n"/>
      <c r="L689" s="60" t="n"/>
      <c r="M689" s="60" t="n"/>
      <c r="N689" s="60" t="n"/>
      <c r="O689" s="60" t="n"/>
      <c r="P689" s="62" t="n"/>
      <c r="Q689" s="62" t="n"/>
      <c r="R689" s="60" t="n"/>
      <c r="S689" s="59" t="n"/>
      <c r="T689" s="60" t="n"/>
      <c r="U689" s="59" t="n"/>
      <c r="V689" s="45">
        <f>IF(OR($A689="",$T689="",$T689="No Issue"),"",IF($T689="Resolved",IF($U689="","",$U689-$A689),TODAY()-$A689))</f>
        <v/>
      </c>
      <c r="W689" s="47">
        <f>IF(AND($C689&lt;&gt;"",$C689='Store History'!$C$4,OR('Store History'!$C$5="",$F689='Store History'!$C$5)),1,0)</f>
        <v/>
      </c>
      <c r="X689" s="47">
        <f>IF($W689=1,SUM($W689:$W$1005),"")</f>
        <v/>
      </c>
    </row>
    <row r="690">
      <c r="A690" s="59" t="n"/>
      <c r="B690" s="60" t="n"/>
      <c r="C690" s="60" t="n"/>
      <c r="D690" s="45">
        <f>IF($C690="","",IFERROR(INDEX('Chain Program'!$B$6:$B$120,MATCH($C690,'Chain Program'!$A$6:$A$120,0)),"Unknown ID"))</f>
        <v/>
      </c>
      <c r="E690" s="45">
        <f>IF($C690="","",IFERROR(INDEX('Chain Program'!$D$6:$D$120,MATCH($C690,'Chain Program'!$A$6:$A$120,0)),"Unknown ID"))</f>
        <v/>
      </c>
      <c r="F690" s="60" t="n"/>
      <c r="G690" s="60" t="n"/>
      <c r="H690" s="56">
        <f>IF(OR($C690="",$A690=""),"",IF(COUNTIFS('Promo Calendar'!$A$6:$A$400,$C690,'Promo Calendar'!$D$6:$D$400,IF($G690="","All",$G690),'Promo Calendar'!$I$6:$I$400,"&lt;="&amp;$A690,'Promo Calendar'!$J$6:$J$400,"&gt;="&amp;$A690,'Promo Calendar'!$G$6:$G$400,"&gt;0")&gt;0,_xlfn.MINIFS('Promo Calendar'!$G$6:$G$400,'Promo Calendar'!$A$6:$A$400,$C690,'Promo Calendar'!$D$6:$D$400,IF($G690="","All",$G690),'Promo Calendar'!$I$6:$I$400,"&lt;="&amp;$A690,'Promo Calendar'!$J$6:$J$400,"&gt;="&amp;$A690,'Promo Calendar'!$G$6:$G$400,"&gt;0"),IF(COUNTIFS('Promo Calendar'!$A$6:$A$400,$C690,'Promo Calendar'!$D$6:$D$400,"All",'Promo Calendar'!$I$6:$I$400,"&lt;="&amp;$A690,'Promo Calendar'!$J$6:$J$400,"&gt;="&amp;$A690,'Promo Calendar'!$G$6:$G$400,"&gt;0")&gt;0,_xlfn.MINIFS('Promo Calendar'!$G$6:$G$400,'Promo Calendar'!$A$6:$A$400,$C690,'Promo Calendar'!$D$6:$D$400,"All",'Promo Calendar'!$I$6:$I$400,"&lt;="&amp;$A690,'Promo Calendar'!$J$6:$J$400,"&gt;="&amp;$A690,'Promo Calendar'!$G$6:$G$400,"&gt;0"),IFERROR(IF(INDEX('Chain Program'!$M$6:$M$120,MATCH($C690,'Chain Program'!$A$6:$A$120,0))="","Not set",INDEX('Chain Program'!$M$6:$M$120,MATCH($C690,'Chain Program'!$A$6:$A$120,0))),"Not set"))))</f>
        <v/>
      </c>
      <c r="I690" s="61" t="n"/>
      <c r="J690" s="45">
        <f>IF($I690="","",IF(NOT(ISNUMBER($H690)),"No plan price",IF(ABS($I690-$H690)&lt;0.005,"Match",IF($I690&gt;$H690,"Over plan","Under plan"))))</f>
        <v/>
      </c>
      <c r="K690" s="60" t="n"/>
      <c r="L690" s="60" t="n"/>
      <c r="M690" s="60" t="n"/>
      <c r="N690" s="60" t="n"/>
      <c r="O690" s="60" t="n"/>
      <c r="P690" s="62" t="n"/>
      <c r="Q690" s="62" t="n"/>
      <c r="R690" s="60" t="n"/>
      <c r="S690" s="59" t="n"/>
      <c r="T690" s="60" t="n"/>
      <c r="U690" s="59" t="n"/>
      <c r="V690" s="45">
        <f>IF(OR($A690="",$T690="",$T690="No Issue"),"",IF($T690="Resolved",IF($U690="","",$U690-$A690),TODAY()-$A690))</f>
        <v/>
      </c>
      <c r="W690" s="47">
        <f>IF(AND($C690&lt;&gt;"",$C690='Store History'!$C$4,OR('Store History'!$C$5="",$F690='Store History'!$C$5)),1,0)</f>
        <v/>
      </c>
      <c r="X690" s="47">
        <f>IF($W690=1,SUM($W690:$W$1005),"")</f>
        <v/>
      </c>
    </row>
    <row r="691">
      <c r="A691" s="59" t="n"/>
      <c r="B691" s="60" t="n"/>
      <c r="C691" s="60" t="n"/>
      <c r="D691" s="45">
        <f>IF($C691="","",IFERROR(INDEX('Chain Program'!$B$6:$B$120,MATCH($C691,'Chain Program'!$A$6:$A$120,0)),"Unknown ID"))</f>
        <v/>
      </c>
      <c r="E691" s="45">
        <f>IF($C691="","",IFERROR(INDEX('Chain Program'!$D$6:$D$120,MATCH($C691,'Chain Program'!$A$6:$A$120,0)),"Unknown ID"))</f>
        <v/>
      </c>
      <c r="F691" s="60" t="n"/>
      <c r="G691" s="60" t="n"/>
      <c r="H691" s="56">
        <f>IF(OR($C691="",$A691=""),"",IF(COUNTIFS('Promo Calendar'!$A$6:$A$400,$C691,'Promo Calendar'!$D$6:$D$400,IF($G691="","All",$G691),'Promo Calendar'!$I$6:$I$400,"&lt;="&amp;$A691,'Promo Calendar'!$J$6:$J$400,"&gt;="&amp;$A691,'Promo Calendar'!$G$6:$G$400,"&gt;0")&gt;0,_xlfn.MINIFS('Promo Calendar'!$G$6:$G$400,'Promo Calendar'!$A$6:$A$400,$C691,'Promo Calendar'!$D$6:$D$400,IF($G691="","All",$G691),'Promo Calendar'!$I$6:$I$400,"&lt;="&amp;$A691,'Promo Calendar'!$J$6:$J$400,"&gt;="&amp;$A691,'Promo Calendar'!$G$6:$G$400,"&gt;0"),IF(COUNTIFS('Promo Calendar'!$A$6:$A$400,$C691,'Promo Calendar'!$D$6:$D$400,"All",'Promo Calendar'!$I$6:$I$400,"&lt;="&amp;$A691,'Promo Calendar'!$J$6:$J$400,"&gt;="&amp;$A691,'Promo Calendar'!$G$6:$G$400,"&gt;0")&gt;0,_xlfn.MINIFS('Promo Calendar'!$G$6:$G$400,'Promo Calendar'!$A$6:$A$400,$C691,'Promo Calendar'!$D$6:$D$400,"All",'Promo Calendar'!$I$6:$I$400,"&lt;="&amp;$A691,'Promo Calendar'!$J$6:$J$400,"&gt;="&amp;$A691,'Promo Calendar'!$G$6:$G$400,"&gt;0"),IFERROR(IF(INDEX('Chain Program'!$M$6:$M$120,MATCH($C691,'Chain Program'!$A$6:$A$120,0))="","Not set",INDEX('Chain Program'!$M$6:$M$120,MATCH($C691,'Chain Program'!$A$6:$A$120,0))),"Not set"))))</f>
        <v/>
      </c>
      <c r="I691" s="61" t="n"/>
      <c r="J691" s="45">
        <f>IF($I691="","",IF(NOT(ISNUMBER($H691)),"No plan price",IF(ABS($I691-$H691)&lt;0.005,"Match",IF($I691&gt;$H691,"Over plan","Under plan"))))</f>
        <v/>
      </c>
      <c r="K691" s="60" t="n"/>
      <c r="L691" s="60" t="n"/>
      <c r="M691" s="60" t="n"/>
      <c r="N691" s="60" t="n"/>
      <c r="O691" s="60" t="n"/>
      <c r="P691" s="62" t="n"/>
      <c r="Q691" s="62" t="n"/>
      <c r="R691" s="60" t="n"/>
      <c r="S691" s="59" t="n"/>
      <c r="T691" s="60" t="n"/>
      <c r="U691" s="59" t="n"/>
      <c r="V691" s="45">
        <f>IF(OR($A691="",$T691="",$T691="No Issue"),"",IF($T691="Resolved",IF($U691="","",$U691-$A691),TODAY()-$A691))</f>
        <v/>
      </c>
      <c r="W691" s="47">
        <f>IF(AND($C691&lt;&gt;"",$C691='Store History'!$C$4,OR('Store History'!$C$5="",$F691='Store History'!$C$5)),1,0)</f>
        <v/>
      </c>
      <c r="X691" s="47">
        <f>IF($W691=1,SUM($W691:$W$1005),"")</f>
        <v/>
      </c>
    </row>
    <row r="692">
      <c r="A692" s="59" t="n"/>
      <c r="B692" s="60" t="n"/>
      <c r="C692" s="60" t="n"/>
      <c r="D692" s="45">
        <f>IF($C692="","",IFERROR(INDEX('Chain Program'!$B$6:$B$120,MATCH($C692,'Chain Program'!$A$6:$A$120,0)),"Unknown ID"))</f>
        <v/>
      </c>
      <c r="E692" s="45">
        <f>IF($C692="","",IFERROR(INDEX('Chain Program'!$D$6:$D$120,MATCH($C692,'Chain Program'!$A$6:$A$120,0)),"Unknown ID"))</f>
        <v/>
      </c>
      <c r="F692" s="60" t="n"/>
      <c r="G692" s="60" t="n"/>
      <c r="H692" s="56">
        <f>IF(OR($C692="",$A692=""),"",IF(COUNTIFS('Promo Calendar'!$A$6:$A$400,$C692,'Promo Calendar'!$D$6:$D$400,IF($G692="","All",$G692),'Promo Calendar'!$I$6:$I$400,"&lt;="&amp;$A692,'Promo Calendar'!$J$6:$J$400,"&gt;="&amp;$A692,'Promo Calendar'!$G$6:$G$400,"&gt;0")&gt;0,_xlfn.MINIFS('Promo Calendar'!$G$6:$G$400,'Promo Calendar'!$A$6:$A$400,$C692,'Promo Calendar'!$D$6:$D$400,IF($G692="","All",$G692),'Promo Calendar'!$I$6:$I$400,"&lt;="&amp;$A692,'Promo Calendar'!$J$6:$J$400,"&gt;="&amp;$A692,'Promo Calendar'!$G$6:$G$400,"&gt;0"),IF(COUNTIFS('Promo Calendar'!$A$6:$A$400,$C692,'Promo Calendar'!$D$6:$D$400,"All",'Promo Calendar'!$I$6:$I$400,"&lt;="&amp;$A692,'Promo Calendar'!$J$6:$J$400,"&gt;="&amp;$A692,'Promo Calendar'!$G$6:$G$400,"&gt;0")&gt;0,_xlfn.MINIFS('Promo Calendar'!$G$6:$G$400,'Promo Calendar'!$A$6:$A$400,$C692,'Promo Calendar'!$D$6:$D$400,"All",'Promo Calendar'!$I$6:$I$400,"&lt;="&amp;$A692,'Promo Calendar'!$J$6:$J$400,"&gt;="&amp;$A692,'Promo Calendar'!$G$6:$G$400,"&gt;0"),IFERROR(IF(INDEX('Chain Program'!$M$6:$M$120,MATCH($C692,'Chain Program'!$A$6:$A$120,0))="","Not set",INDEX('Chain Program'!$M$6:$M$120,MATCH($C692,'Chain Program'!$A$6:$A$120,0))),"Not set"))))</f>
        <v/>
      </c>
      <c r="I692" s="61" t="n"/>
      <c r="J692" s="45">
        <f>IF($I692="","",IF(NOT(ISNUMBER($H692)),"No plan price",IF(ABS($I692-$H692)&lt;0.005,"Match",IF($I692&gt;$H692,"Over plan","Under plan"))))</f>
        <v/>
      </c>
      <c r="K692" s="60" t="n"/>
      <c r="L692" s="60" t="n"/>
      <c r="M692" s="60" t="n"/>
      <c r="N692" s="60" t="n"/>
      <c r="O692" s="60" t="n"/>
      <c r="P692" s="62" t="n"/>
      <c r="Q692" s="62" t="n"/>
      <c r="R692" s="60" t="n"/>
      <c r="S692" s="59" t="n"/>
      <c r="T692" s="60" t="n"/>
      <c r="U692" s="59" t="n"/>
      <c r="V692" s="45">
        <f>IF(OR($A692="",$T692="",$T692="No Issue"),"",IF($T692="Resolved",IF($U692="","",$U692-$A692),TODAY()-$A692))</f>
        <v/>
      </c>
      <c r="W692" s="47">
        <f>IF(AND($C692&lt;&gt;"",$C692='Store History'!$C$4,OR('Store History'!$C$5="",$F692='Store History'!$C$5)),1,0)</f>
        <v/>
      </c>
      <c r="X692" s="47">
        <f>IF($W692=1,SUM($W692:$W$1005),"")</f>
        <v/>
      </c>
    </row>
    <row r="693">
      <c r="A693" s="59" t="n"/>
      <c r="B693" s="60" t="n"/>
      <c r="C693" s="60" t="n"/>
      <c r="D693" s="45">
        <f>IF($C693="","",IFERROR(INDEX('Chain Program'!$B$6:$B$120,MATCH($C693,'Chain Program'!$A$6:$A$120,0)),"Unknown ID"))</f>
        <v/>
      </c>
      <c r="E693" s="45">
        <f>IF($C693="","",IFERROR(INDEX('Chain Program'!$D$6:$D$120,MATCH($C693,'Chain Program'!$A$6:$A$120,0)),"Unknown ID"))</f>
        <v/>
      </c>
      <c r="F693" s="60" t="n"/>
      <c r="G693" s="60" t="n"/>
      <c r="H693" s="56">
        <f>IF(OR($C693="",$A693=""),"",IF(COUNTIFS('Promo Calendar'!$A$6:$A$400,$C693,'Promo Calendar'!$D$6:$D$400,IF($G693="","All",$G693),'Promo Calendar'!$I$6:$I$400,"&lt;="&amp;$A693,'Promo Calendar'!$J$6:$J$400,"&gt;="&amp;$A693,'Promo Calendar'!$G$6:$G$400,"&gt;0")&gt;0,_xlfn.MINIFS('Promo Calendar'!$G$6:$G$400,'Promo Calendar'!$A$6:$A$400,$C693,'Promo Calendar'!$D$6:$D$400,IF($G693="","All",$G693),'Promo Calendar'!$I$6:$I$400,"&lt;="&amp;$A693,'Promo Calendar'!$J$6:$J$400,"&gt;="&amp;$A693,'Promo Calendar'!$G$6:$G$400,"&gt;0"),IF(COUNTIFS('Promo Calendar'!$A$6:$A$400,$C693,'Promo Calendar'!$D$6:$D$400,"All",'Promo Calendar'!$I$6:$I$400,"&lt;="&amp;$A693,'Promo Calendar'!$J$6:$J$400,"&gt;="&amp;$A693,'Promo Calendar'!$G$6:$G$400,"&gt;0")&gt;0,_xlfn.MINIFS('Promo Calendar'!$G$6:$G$400,'Promo Calendar'!$A$6:$A$400,$C693,'Promo Calendar'!$D$6:$D$400,"All",'Promo Calendar'!$I$6:$I$400,"&lt;="&amp;$A693,'Promo Calendar'!$J$6:$J$400,"&gt;="&amp;$A693,'Promo Calendar'!$G$6:$G$400,"&gt;0"),IFERROR(IF(INDEX('Chain Program'!$M$6:$M$120,MATCH($C693,'Chain Program'!$A$6:$A$120,0))="","Not set",INDEX('Chain Program'!$M$6:$M$120,MATCH($C693,'Chain Program'!$A$6:$A$120,0))),"Not set"))))</f>
        <v/>
      </c>
      <c r="I693" s="61" t="n"/>
      <c r="J693" s="45">
        <f>IF($I693="","",IF(NOT(ISNUMBER($H693)),"No plan price",IF(ABS($I693-$H693)&lt;0.005,"Match",IF($I693&gt;$H693,"Over plan","Under plan"))))</f>
        <v/>
      </c>
      <c r="K693" s="60" t="n"/>
      <c r="L693" s="60" t="n"/>
      <c r="M693" s="60" t="n"/>
      <c r="N693" s="60" t="n"/>
      <c r="O693" s="60" t="n"/>
      <c r="P693" s="62" t="n"/>
      <c r="Q693" s="62" t="n"/>
      <c r="R693" s="60" t="n"/>
      <c r="S693" s="59" t="n"/>
      <c r="T693" s="60" t="n"/>
      <c r="U693" s="59" t="n"/>
      <c r="V693" s="45">
        <f>IF(OR($A693="",$T693="",$T693="No Issue"),"",IF($T693="Resolved",IF($U693="","",$U693-$A693),TODAY()-$A693))</f>
        <v/>
      </c>
      <c r="W693" s="47">
        <f>IF(AND($C693&lt;&gt;"",$C693='Store History'!$C$4,OR('Store History'!$C$5="",$F693='Store History'!$C$5)),1,0)</f>
        <v/>
      </c>
      <c r="X693" s="47">
        <f>IF($W693=1,SUM($W693:$W$1005),"")</f>
        <v/>
      </c>
    </row>
    <row r="694">
      <c r="A694" s="59" t="n"/>
      <c r="B694" s="60" t="n"/>
      <c r="C694" s="60" t="n"/>
      <c r="D694" s="45">
        <f>IF($C694="","",IFERROR(INDEX('Chain Program'!$B$6:$B$120,MATCH($C694,'Chain Program'!$A$6:$A$120,0)),"Unknown ID"))</f>
        <v/>
      </c>
      <c r="E694" s="45">
        <f>IF($C694="","",IFERROR(INDEX('Chain Program'!$D$6:$D$120,MATCH($C694,'Chain Program'!$A$6:$A$120,0)),"Unknown ID"))</f>
        <v/>
      </c>
      <c r="F694" s="60" t="n"/>
      <c r="G694" s="60" t="n"/>
      <c r="H694" s="56">
        <f>IF(OR($C694="",$A694=""),"",IF(COUNTIFS('Promo Calendar'!$A$6:$A$400,$C694,'Promo Calendar'!$D$6:$D$400,IF($G694="","All",$G694),'Promo Calendar'!$I$6:$I$400,"&lt;="&amp;$A694,'Promo Calendar'!$J$6:$J$400,"&gt;="&amp;$A694,'Promo Calendar'!$G$6:$G$400,"&gt;0")&gt;0,_xlfn.MINIFS('Promo Calendar'!$G$6:$G$400,'Promo Calendar'!$A$6:$A$400,$C694,'Promo Calendar'!$D$6:$D$400,IF($G694="","All",$G694),'Promo Calendar'!$I$6:$I$400,"&lt;="&amp;$A694,'Promo Calendar'!$J$6:$J$400,"&gt;="&amp;$A694,'Promo Calendar'!$G$6:$G$400,"&gt;0"),IF(COUNTIFS('Promo Calendar'!$A$6:$A$400,$C694,'Promo Calendar'!$D$6:$D$400,"All",'Promo Calendar'!$I$6:$I$400,"&lt;="&amp;$A694,'Promo Calendar'!$J$6:$J$400,"&gt;="&amp;$A694,'Promo Calendar'!$G$6:$G$400,"&gt;0")&gt;0,_xlfn.MINIFS('Promo Calendar'!$G$6:$G$400,'Promo Calendar'!$A$6:$A$400,$C694,'Promo Calendar'!$D$6:$D$400,"All",'Promo Calendar'!$I$6:$I$400,"&lt;="&amp;$A694,'Promo Calendar'!$J$6:$J$400,"&gt;="&amp;$A694,'Promo Calendar'!$G$6:$G$400,"&gt;0"),IFERROR(IF(INDEX('Chain Program'!$M$6:$M$120,MATCH($C694,'Chain Program'!$A$6:$A$120,0))="","Not set",INDEX('Chain Program'!$M$6:$M$120,MATCH($C694,'Chain Program'!$A$6:$A$120,0))),"Not set"))))</f>
        <v/>
      </c>
      <c r="I694" s="61" t="n"/>
      <c r="J694" s="45">
        <f>IF($I694="","",IF(NOT(ISNUMBER($H694)),"No plan price",IF(ABS($I694-$H694)&lt;0.005,"Match",IF($I694&gt;$H694,"Over plan","Under plan"))))</f>
        <v/>
      </c>
      <c r="K694" s="60" t="n"/>
      <c r="L694" s="60" t="n"/>
      <c r="M694" s="60" t="n"/>
      <c r="N694" s="60" t="n"/>
      <c r="O694" s="60" t="n"/>
      <c r="P694" s="62" t="n"/>
      <c r="Q694" s="62" t="n"/>
      <c r="R694" s="60" t="n"/>
      <c r="S694" s="59" t="n"/>
      <c r="T694" s="60" t="n"/>
      <c r="U694" s="59" t="n"/>
      <c r="V694" s="45">
        <f>IF(OR($A694="",$T694="",$T694="No Issue"),"",IF($T694="Resolved",IF($U694="","",$U694-$A694),TODAY()-$A694))</f>
        <v/>
      </c>
      <c r="W694" s="47">
        <f>IF(AND($C694&lt;&gt;"",$C694='Store History'!$C$4,OR('Store History'!$C$5="",$F694='Store History'!$C$5)),1,0)</f>
        <v/>
      </c>
      <c r="X694" s="47">
        <f>IF($W694=1,SUM($W694:$W$1005),"")</f>
        <v/>
      </c>
    </row>
    <row r="695">
      <c r="A695" s="59" t="n"/>
      <c r="B695" s="60" t="n"/>
      <c r="C695" s="60" t="n"/>
      <c r="D695" s="45">
        <f>IF($C695="","",IFERROR(INDEX('Chain Program'!$B$6:$B$120,MATCH($C695,'Chain Program'!$A$6:$A$120,0)),"Unknown ID"))</f>
        <v/>
      </c>
      <c r="E695" s="45">
        <f>IF($C695="","",IFERROR(INDEX('Chain Program'!$D$6:$D$120,MATCH($C695,'Chain Program'!$A$6:$A$120,0)),"Unknown ID"))</f>
        <v/>
      </c>
      <c r="F695" s="60" t="n"/>
      <c r="G695" s="60" t="n"/>
      <c r="H695" s="56">
        <f>IF(OR($C695="",$A695=""),"",IF(COUNTIFS('Promo Calendar'!$A$6:$A$400,$C695,'Promo Calendar'!$D$6:$D$400,IF($G695="","All",$G695),'Promo Calendar'!$I$6:$I$400,"&lt;="&amp;$A695,'Promo Calendar'!$J$6:$J$400,"&gt;="&amp;$A695,'Promo Calendar'!$G$6:$G$400,"&gt;0")&gt;0,_xlfn.MINIFS('Promo Calendar'!$G$6:$G$400,'Promo Calendar'!$A$6:$A$400,$C695,'Promo Calendar'!$D$6:$D$400,IF($G695="","All",$G695),'Promo Calendar'!$I$6:$I$400,"&lt;="&amp;$A695,'Promo Calendar'!$J$6:$J$400,"&gt;="&amp;$A695,'Promo Calendar'!$G$6:$G$400,"&gt;0"),IF(COUNTIFS('Promo Calendar'!$A$6:$A$400,$C695,'Promo Calendar'!$D$6:$D$400,"All",'Promo Calendar'!$I$6:$I$400,"&lt;="&amp;$A695,'Promo Calendar'!$J$6:$J$400,"&gt;="&amp;$A695,'Promo Calendar'!$G$6:$G$400,"&gt;0")&gt;0,_xlfn.MINIFS('Promo Calendar'!$G$6:$G$400,'Promo Calendar'!$A$6:$A$400,$C695,'Promo Calendar'!$D$6:$D$400,"All",'Promo Calendar'!$I$6:$I$400,"&lt;="&amp;$A695,'Promo Calendar'!$J$6:$J$400,"&gt;="&amp;$A695,'Promo Calendar'!$G$6:$G$400,"&gt;0"),IFERROR(IF(INDEX('Chain Program'!$M$6:$M$120,MATCH($C695,'Chain Program'!$A$6:$A$120,0))="","Not set",INDEX('Chain Program'!$M$6:$M$120,MATCH($C695,'Chain Program'!$A$6:$A$120,0))),"Not set"))))</f>
        <v/>
      </c>
      <c r="I695" s="61" t="n"/>
      <c r="J695" s="45">
        <f>IF($I695="","",IF(NOT(ISNUMBER($H695)),"No plan price",IF(ABS($I695-$H695)&lt;0.005,"Match",IF($I695&gt;$H695,"Over plan","Under plan"))))</f>
        <v/>
      </c>
      <c r="K695" s="60" t="n"/>
      <c r="L695" s="60" t="n"/>
      <c r="M695" s="60" t="n"/>
      <c r="N695" s="60" t="n"/>
      <c r="O695" s="60" t="n"/>
      <c r="P695" s="62" t="n"/>
      <c r="Q695" s="62" t="n"/>
      <c r="R695" s="60" t="n"/>
      <c r="S695" s="59" t="n"/>
      <c r="T695" s="60" t="n"/>
      <c r="U695" s="59" t="n"/>
      <c r="V695" s="45">
        <f>IF(OR($A695="",$T695="",$T695="No Issue"),"",IF($T695="Resolved",IF($U695="","",$U695-$A695),TODAY()-$A695))</f>
        <v/>
      </c>
      <c r="W695" s="47">
        <f>IF(AND($C695&lt;&gt;"",$C695='Store History'!$C$4,OR('Store History'!$C$5="",$F695='Store History'!$C$5)),1,0)</f>
        <v/>
      </c>
      <c r="X695" s="47">
        <f>IF($W695=1,SUM($W695:$W$1005),"")</f>
        <v/>
      </c>
    </row>
    <row r="696">
      <c r="A696" s="59" t="n"/>
      <c r="B696" s="60" t="n"/>
      <c r="C696" s="60" t="n"/>
      <c r="D696" s="45">
        <f>IF($C696="","",IFERROR(INDEX('Chain Program'!$B$6:$B$120,MATCH($C696,'Chain Program'!$A$6:$A$120,0)),"Unknown ID"))</f>
        <v/>
      </c>
      <c r="E696" s="45">
        <f>IF($C696="","",IFERROR(INDEX('Chain Program'!$D$6:$D$120,MATCH($C696,'Chain Program'!$A$6:$A$120,0)),"Unknown ID"))</f>
        <v/>
      </c>
      <c r="F696" s="60" t="n"/>
      <c r="G696" s="60" t="n"/>
      <c r="H696" s="56">
        <f>IF(OR($C696="",$A696=""),"",IF(COUNTIFS('Promo Calendar'!$A$6:$A$400,$C696,'Promo Calendar'!$D$6:$D$400,IF($G696="","All",$G696),'Promo Calendar'!$I$6:$I$400,"&lt;="&amp;$A696,'Promo Calendar'!$J$6:$J$400,"&gt;="&amp;$A696,'Promo Calendar'!$G$6:$G$400,"&gt;0")&gt;0,_xlfn.MINIFS('Promo Calendar'!$G$6:$G$400,'Promo Calendar'!$A$6:$A$400,$C696,'Promo Calendar'!$D$6:$D$400,IF($G696="","All",$G696),'Promo Calendar'!$I$6:$I$400,"&lt;="&amp;$A696,'Promo Calendar'!$J$6:$J$400,"&gt;="&amp;$A696,'Promo Calendar'!$G$6:$G$400,"&gt;0"),IF(COUNTIFS('Promo Calendar'!$A$6:$A$400,$C696,'Promo Calendar'!$D$6:$D$400,"All",'Promo Calendar'!$I$6:$I$400,"&lt;="&amp;$A696,'Promo Calendar'!$J$6:$J$400,"&gt;="&amp;$A696,'Promo Calendar'!$G$6:$G$400,"&gt;0")&gt;0,_xlfn.MINIFS('Promo Calendar'!$G$6:$G$400,'Promo Calendar'!$A$6:$A$400,$C696,'Promo Calendar'!$D$6:$D$400,"All",'Promo Calendar'!$I$6:$I$400,"&lt;="&amp;$A696,'Promo Calendar'!$J$6:$J$400,"&gt;="&amp;$A696,'Promo Calendar'!$G$6:$G$400,"&gt;0"),IFERROR(IF(INDEX('Chain Program'!$M$6:$M$120,MATCH($C696,'Chain Program'!$A$6:$A$120,0))="","Not set",INDEX('Chain Program'!$M$6:$M$120,MATCH($C696,'Chain Program'!$A$6:$A$120,0))),"Not set"))))</f>
        <v/>
      </c>
      <c r="I696" s="61" t="n"/>
      <c r="J696" s="45">
        <f>IF($I696="","",IF(NOT(ISNUMBER($H696)),"No plan price",IF(ABS($I696-$H696)&lt;0.005,"Match",IF($I696&gt;$H696,"Over plan","Under plan"))))</f>
        <v/>
      </c>
      <c r="K696" s="60" t="n"/>
      <c r="L696" s="60" t="n"/>
      <c r="M696" s="60" t="n"/>
      <c r="N696" s="60" t="n"/>
      <c r="O696" s="60" t="n"/>
      <c r="P696" s="62" t="n"/>
      <c r="Q696" s="62" t="n"/>
      <c r="R696" s="60" t="n"/>
      <c r="S696" s="59" t="n"/>
      <c r="T696" s="60" t="n"/>
      <c r="U696" s="59" t="n"/>
      <c r="V696" s="45">
        <f>IF(OR($A696="",$T696="",$T696="No Issue"),"",IF($T696="Resolved",IF($U696="","",$U696-$A696),TODAY()-$A696))</f>
        <v/>
      </c>
      <c r="W696" s="47">
        <f>IF(AND($C696&lt;&gt;"",$C696='Store History'!$C$4,OR('Store History'!$C$5="",$F696='Store History'!$C$5)),1,0)</f>
        <v/>
      </c>
      <c r="X696" s="47">
        <f>IF($W696=1,SUM($W696:$W$1005),"")</f>
        <v/>
      </c>
    </row>
    <row r="697">
      <c r="A697" s="59" t="n"/>
      <c r="B697" s="60" t="n"/>
      <c r="C697" s="60" t="n"/>
      <c r="D697" s="45">
        <f>IF($C697="","",IFERROR(INDEX('Chain Program'!$B$6:$B$120,MATCH($C697,'Chain Program'!$A$6:$A$120,0)),"Unknown ID"))</f>
        <v/>
      </c>
      <c r="E697" s="45">
        <f>IF($C697="","",IFERROR(INDEX('Chain Program'!$D$6:$D$120,MATCH($C697,'Chain Program'!$A$6:$A$120,0)),"Unknown ID"))</f>
        <v/>
      </c>
      <c r="F697" s="60" t="n"/>
      <c r="G697" s="60" t="n"/>
      <c r="H697" s="56">
        <f>IF(OR($C697="",$A697=""),"",IF(COUNTIFS('Promo Calendar'!$A$6:$A$400,$C697,'Promo Calendar'!$D$6:$D$400,IF($G697="","All",$G697),'Promo Calendar'!$I$6:$I$400,"&lt;="&amp;$A697,'Promo Calendar'!$J$6:$J$400,"&gt;="&amp;$A697,'Promo Calendar'!$G$6:$G$400,"&gt;0")&gt;0,_xlfn.MINIFS('Promo Calendar'!$G$6:$G$400,'Promo Calendar'!$A$6:$A$400,$C697,'Promo Calendar'!$D$6:$D$400,IF($G697="","All",$G697),'Promo Calendar'!$I$6:$I$400,"&lt;="&amp;$A697,'Promo Calendar'!$J$6:$J$400,"&gt;="&amp;$A697,'Promo Calendar'!$G$6:$G$400,"&gt;0"),IF(COUNTIFS('Promo Calendar'!$A$6:$A$400,$C697,'Promo Calendar'!$D$6:$D$400,"All",'Promo Calendar'!$I$6:$I$400,"&lt;="&amp;$A697,'Promo Calendar'!$J$6:$J$400,"&gt;="&amp;$A697,'Promo Calendar'!$G$6:$G$400,"&gt;0")&gt;0,_xlfn.MINIFS('Promo Calendar'!$G$6:$G$400,'Promo Calendar'!$A$6:$A$400,$C697,'Promo Calendar'!$D$6:$D$400,"All",'Promo Calendar'!$I$6:$I$400,"&lt;="&amp;$A697,'Promo Calendar'!$J$6:$J$400,"&gt;="&amp;$A697,'Promo Calendar'!$G$6:$G$400,"&gt;0"),IFERROR(IF(INDEX('Chain Program'!$M$6:$M$120,MATCH($C697,'Chain Program'!$A$6:$A$120,0))="","Not set",INDEX('Chain Program'!$M$6:$M$120,MATCH($C697,'Chain Program'!$A$6:$A$120,0))),"Not set"))))</f>
        <v/>
      </c>
      <c r="I697" s="61" t="n"/>
      <c r="J697" s="45">
        <f>IF($I697="","",IF(NOT(ISNUMBER($H697)),"No plan price",IF(ABS($I697-$H697)&lt;0.005,"Match",IF($I697&gt;$H697,"Over plan","Under plan"))))</f>
        <v/>
      </c>
      <c r="K697" s="60" t="n"/>
      <c r="L697" s="60" t="n"/>
      <c r="M697" s="60" t="n"/>
      <c r="N697" s="60" t="n"/>
      <c r="O697" s="60" t="n"/>
      <c r="P697" s="62" t="n"/>
      <c r="Q697" s="62" t="n"/>
      <c r="R697" s="60" t="n"/>
      <c r="S697" s="59" t="n"/>
      <c r="T697" s="60" t="n"/>
      <c r="U697" s="59" t="n"/>
      <c r="V697" s="45">
        <f>IF(OR($A697="",$T697="",$T697="No Issue"),"",IF($T697="Resolved",IF($U697="","",$U697-$A697),TODAY()-$A697))</f>
        <v/>
      </c>
      <c r="W697" s="47">
        <f>IF(AND($C697&lt;&gt;"",$C697='Store History'!$C$4,OR('Store History'!$C$5="",$F697='Store History'!$C$5)),1,0)</f>
        <v/>
      </c>
      <c r="X697" s="47">
        <f>IF($W697=1,SUM($W697:$W$1005),"")</f>
        <v/>
      </c>
    </row>
    <row r="698">
      <c r="A698" s="59" t="n"/>
      <c r="B698" s="60" t="n"/>
      <c r="C698" s="60" t="n"/>
      <c r="D698" s="45">
        <f>IF($C698="","",IFERROR(INDEX('Chain Program'!$B$6:$B$120,MATCH($C698,'Chain Program'!$A$6:$A$120,0)),"Unknown ID"))</f>
        <v/>
      </c>
      <c r="E698" s="45">
        <f>IF($C698="","",IFERROR(INDEX('Chain Program'!$D$6:$D$120,MATCH($C698,'Chain Program'!$A$6:$A$120,0)),"Unknown ID"))</f>
        <v/>
      </c>
      <c r="F698" s="60" t="n"/>
      <c r="G698" s="60" t="n"/>
      <c r="H698" s="56">
        <f>IF(OR($C698="",$A698=""),"",IF(COUNTIFS('Promo Calendar'!$A$6:$A$400,$C698,'Promo Calendar'!$D$6:$D$400,IF($G698="","All",$G698),'Promo Calendar'!$I$6:$I$400,"&lt;="&amp;$A698,'Promo Calendar'!$J$6:$J$400,"&gt;="&amp;$A698,'Promo Calendar'!$G$6:$G$400,"&gt;0")&gt;0,_xlfn.MINIFS('Promo Calendar'!$G$6:$G$400,'Promo Calendar'!$A$6:$A$400,$C698,'Promo Calendar'!$D$6:$D$400,IF($G698="","All",$G698),'Promo Calendar'!$I$6:$I$400,"&lt;="&amp;$A698,'Promo Calendar'!$J$6:$J$400,"&gt;="&amp;$A698,'Promo Calendar'!$G$6:$G$400,"&gt;0"),IF(COUNTIFS('Promo Calendar'!$A$6:$A$400,$C698,'Promo Calendar'!$D$6:$D$400,"All",'Promo Calendar'!$I$6:$I$400,"&lt;="&amp;$A698,'Promo Calendar'!$J$6:$J$400,"&gt;="&amp;$A698,'Promo Calendar'!$G$6:$G$400,"&gt;0")&gt;0,_xlfn.MINIFS('Promo Calendar'!$G$6:$G$400,'Promo Calendar'!$A$6:$A$400,$C698,'Promo Calendar'!$D$6:$D$400,"All",'Promo Calendar'!$I$6:$I$400,"&lt;="&amp;$A698,'Promo Calendar'!$J$6:$J$400,"&gt;="&amp;$A698,'Promo Calendar'!$G$6:$G$400,"&gt;0"),IFERROR(IF(INDEX('Chain Program'!$M$6:$M$120,MATCH($C698,'Chain Program'!$A$6:$A$120,0))="","Not set",INDEX('Chain Program'!$M$6:$M$120,MATCH($C698,'Chain Program'!$A$6:$A$120,0))),"Not set"))))</f>
        <v/>
      </c>
      <c r="I698" s="61" t="n"/>
      <c r="J698" s="45">
        <f>IF($I698="","",IF(NOT(ISNUMBER($H698)),"No plan price",IF(ABS($I698-$H698)&lt;0.005,"Match",IF($I698&gt;$H698,"Over plan","Under plan"))))</f>
        <v/>
      </c>
      <c r="K698" s="60" t="n"/>
      <c r="L698" s="60" t="n"/>
      <c r="M698" s="60" t="n"/>
      <c r="N698" s="60" t="n"/>
      <c r="O698" s="60" t="n"/>
      <c r="P698" s="62" t="n"/>
      <c r="Q698" s="62" t="n"/>
      <c r="R698" s="60" t="n"/>
      <c r="S698" s="59" t="n"/>
      <c r="T698" s="60" t="n"/>
      <c r="U698" s="59" t="n"/>
      <c r="V698" s="45">
        <f>IF(OR($A698="",$T698="",$T698="No Issue"),"",IF($T698="Resolved",IF($U698="","",$U698-$A698),TODAY()-$A698))</f>
        <v/>
      </c>
      <c r="W698" s="47">
        <f>IF(AND($C698&lt;&gt;"",$C698='Store History'!$C$4,OR('Store History'!$C$5="",$F698='Store History'!$C$5)),1,0)</f>
        <v/>
      </c>
      <c r="X698" s="47">
        <f>IF($W698=1,SUM($W698:$W$1005),"")</f>
        <v/>
      </c>
    </row>
    <row r="699">
      <c r="A699" s="59" t="n"/>
      <c r="B699" s="60" t="n"/>
      <c r="C699" s="60" t="n"/>
      <c r="D699" s="45">
        <f>IF($C699="","",IFERROR(INDEX('Chain Program'!$B$6:$B$120,MATCH($C699,'Chain Program'!$A$6:$A$120,0)),"Unknown ID"))</f>
        <v/>
      </c>
      <c r="E699" s="45">
        <f>IF($C699="","",IFERROR(INDEX('Chain Program'!$D$6:$D$120,MATCH($C699,'Chain Program'!$A$6:$A$120,0)),"Unknown ID"))</f>
        <v/>
      </c>
      <c r="F699" s="60" t="n"/>
      <c r="G699" s="60" t="n"/>
      <c r="H699" s="56">
        <f>IF(OR($C699="",$A699=""),"",IF(COUNTIFS('Promo Calendar'!$A$6:$A$400,$C699,'Promo Calendar'!$D$6:$D$400,IF($G699="","All",$G699),'Promo Calendar'!$I$6:$I$400,"&lt;="&amp;$A699,'Promo Calendar'!$J$6:$J$400,"&gt;="&amp;$A699,'Promo Calendar'!$G$6:$G$400,"&gt;0")&gt;0,_xlfn.MINIFS('Promo Calendar'!$G$6:$G$400,'Promo Calendar'!$A$6:$A$400,$C699,'Promo Calendar'!$D$6:$D$400,IF($G699="","All",$G699),'Promo Calendar'!$I$6:$I$400,"&lt;="&amp;$A699,'Promo Calendar'!$J$6:$J$400,"&gt;="&amp;$A699,'Promo Calendar'!$G$6:$G$400,"&gt;0"),IF(COUNTIFS('Promo Calendar'!$A$6:$A$400,$C699,'Promo Calendar'!$D$6:$D$400,"All",'Promo Calendar'!$I$6:$I$400,"&lt;="&amp;$A699,'Promo Calendar'!$J$6:$J$400,"&gt;="&amp;$A699,'Promo Calendar'!$G$6:$G$400,"&gt;0")&gt;0,_xlfn.MINIFS('Promo Calendar'!$G$6:$G$400,'Promo Calendar'!$A$6:$A$400,$C699,'Promo Calendar'!$D$6:$D$400,"All",'Promo Calendar'!$I$6:$I$400,"&lt;="&amp;$A699,'Promo Calendar'!$J$6:$J$400,"&gt;="&amp;$A699,'Promo Calendar'!$G$6:$G$400,"&gt;0"),IFERROR(IF(INDEX('Chain Program'!$M$6:$M$120,MATCH($C699,'Chain Program'!$A$6:$A$120,0))="","Not set",INDEX('Chain Program'!$M$6:$M$120,MATCH($C699,'Chain Program'!$A$6:$A$120,0))),"Not set"))))</f>
        <v/>
      </c>
      <c r="I699" s="61" t="n"/>
      <c r="J699" s="45">
        <f>IF($I699="","",IF(NOT(ISNUMBER($H699)),"No plan price",IF(ABS($I699-$H699)&lt;0.005,"Match",IF($I699&gt;$H699,"Over plan","Under plan"))))</f>
        <v/>
      </c>
      <c r="K699" s="60" t="n"/>
      <c r="L699" s="60" t="n"/>
      <c r="M699" s="60" t="n"/>
      <c r="N699" s="60" t="n"/>
      <c r="O699" s="60" t="n"/>
      <c r="P699" s="62" t="n"/>
      <c r="Q699" s="62" t="n"/>
      <c r="R699" s="60" t="n"/>
      <c r="S699" s="59" t="n"/>
      <c r="T699" s="60" t="n"/>
      <c r="U699" s="59" t="n"/>
      <c r="V699" s="45">
        <f>IF(OR($A699="",$T699="",$T699="No Issue"),"",IF($T699="Resolved",IF($U699="","",$U699-$A699),TODAY()-$A699))</f>
        <v/>
      </c>
      <c r="W699" s="47">
        <f>IF(AND($C699&lt;&gt;"",$C699='Store History'!$C$4,OR('Store History'!$C$5="",$F699='Store History'!$C$5)),1,0)</f>
        <v/>
      </c>
      <c r="X699" s="47">
        <f>IF($W699=1,SUM($W699:$W$1005),"")</f>
        <v/>
      </c>
    </row>
    <row r="700">
      <c r="A700" s="59" t="n"/>
      <c r="B700" s="60" t="n"/>
      <c r="C700" s="60" t="n"/>
      <c r="D700" s="45">
        <f>IF($C700="","",IFERROR(INDEX('Chain Program'!$B$6:$B$120,MATCH($C700,'Chain Program'!$A$6:$A$120,0)),"Unknown ID"))</f>
        <v/>
      </c>
      <c r="E700" s="45">
        <f>IF($C700="","",IFERROR(INDEX('Chain Program'!$D$6:$D$120,MATCH($C700,'Chain Program'!$A$6:$A$120,0)),"Unknown ID"))</f>
        <v/>
      </c>
      <c r="F700" s="60" t="n"/>
      <c r="G700" s="60" t="n"/>
      <c r="H700" s="56">
        <f>IF(OR($C700="",$A700=""),"",IF(COUNTIFS('Promo Calendar'!$A$6:$A$400,$C700,'Promo Calendar'!$D$6:$D$400,IF($G700="","All",$G700),'Promo Calendar'!$I$6:$I$400,"&lt;="&amp;$A700,'Promo Calendar'!$J$6:$J$400,"&gt;="&amp;$A700,'Promo Calendar'!$G$6:$G$400,"&gt;0")&gt;0,_xlfn.MINIFS('Promo Calendar'!$G$6:$G$400,'Promo Calendar'!$A$6:$A$400,$C700,'Promo Calendar'!$D$6:$D$400,IF($G700="","All",$G700),'Promo Calendar'!$I$6:$I$400,"&lt;="&amp;$A700,'Promo Calendar'!$J$6:$J$400,"&gt;="&amp;$A700,'Promo Calendar'!$G$6:$G$400,"&gt;0"),IF(COUNTIFS('Promo Calendar'!$A$6:$A$400,$C700,'Promo Calendar'!$D$6:$D$400,"All",'Promo Calendar'!$I$6:$I$400,"&lt;="&amp;$A700,'Promo Calendar'!$J$6:$J$400,"&gt;="&amp;$A700,'Promo Calendar'!$G$6:$G$400,"&gt;0")&gt;0,_xlfn.MINIFS('Promo Calendar'!$G$6:$G$400,'Promo Calendar'!$A$6:$A$400,$C700,'Promo Calendar'!$D$6:$D$400,"All",'Promo Calendar'!$I$6:$I$400,"&lt;="&amp;$A700,'Promo Calendar'!$J$6:$J$400,"&gt;="&amp;$A700,'Promo Calendar'!$G$6:$G$400,"&gt;0"),IFERROR(IF(INDEX('Chain Program'!$M$6:$M$120,MATCH($C700,'Chain Program'!$A$6:$A$120,0))="","Not set",INDEX('Chain Program'!$M$6:$M$120,MATCH($C700,'Chain Program'!$A$6:$A$120,0))),"Not set"))))</f>
        <v/>
      </c>
      <c r="I700" s="61" t="n"/>
      <c r="J700" s="45">
        <f>IF($I700="","",IF(NOT(ISNUMBER($H700)),"No plan price",IF(ABS($I700-$H700)&lt;0.005,"Match",IF($I700&gt;$H700,"Over plan","Under plan"))))</f>
        <v/>
      </c>
      <c r="K700" s="60" t="n"/>
      <c r="L700" s="60" t="n"/>
      <c r="M700" s="60" t="n"/>
      <c r="N700" s="60" t="n"/>
      <c r="O700" s="60" t="n"/>
      <c r="P700" s="62" t="n"/>
      <c r="Q700" s="62" t="n"/>
      <c r="R700" s="60" t="n"/>
      <c r="S700" s="59" t="n"/>
      <c r="T700" s="60" t="n"/>
      <c r="U700" s="59" t="n"/>
      <c r="V700" s="45">
        <f>IF(OR($A700="",$T700="",$T700="No Issue"),"",IF($T700="Resolved",IF($U700="","",$U700-$A700),TODAY()-$A700))</f>
        <v/>
      </c>
      <c r="W700" s="47">
        <f>IF(AND($C700&lt;&gt;"",$C700='Store History'!$C$4,OR('Store History'!$C$5="",$F700='Store History'!$C$5)),1,0)</f>
        <v/>
      </c>
      <c r="X700" s="47">
        <f>IF($W700=1,SUM($W700:$W$1005),"")</f>
        <v/>
      </c>
    </row>
    <row r="701">
      <c r="A701" s="59" t="n"/>
      <c r="B701" s="60" t="n"/>
      <c r="C701" s="60" t="n"/>
      <c r="D701" s="45">
        <f>IF($C701="","",IFERROR(INDEX('Chain Program'!$B$6:$B$120,MATCH($C701,'Chain Program'!$A$6:$A$120,0)),"Unknown ID"))</f>
        <v/>
      </c>
      <c r="E701" s="45">
        <f>IF($C701="","",IFERROR(INDEX('Chain Program'!$D$6:$D$120,MATCH($C701,'Chain Program'!$A$6:$A$120,0)),"Unknown ID"))</f>
        <v/>
      </c>
      <c r="F701" s="60" t="n"/>
      <c r="G701" s="60" t="n"/>
      <c r="H701" s="56">
        <f>IF(OR($C701="",$A701=""),"",IF(COUNTIFS('Promo Calendar'!$A$6:$A$400,$C701,'Promo Calendar'!$D$6:$D$400,IF($G701="","All",$G701),'Promo Calendar'!$I$6:$I$400,"&lt;="&amp;$A701,'Promo Calendar'!$J$6:$J$400,"&gt;="&amp;$A701,'Promo Calendar'!$G$6:$G$400,"&gt;0")&gt;0,_xlfn.MINIFS('Promo Calendar'!$G$6:$G$400,'Promo Calendar'!$A$6:$A$400,$C701,'Promo Calendar'!$D$6:$D$400,IF($G701="","All",$G701),'Promo Calendar'!$I$6:$I$400,"&lt;="&amp;$A701,'Promo Calendar'!$J$6:$J$400,"&gt;="&amp;$A701,'Promo Calendar'!$G$6:$G$400,"&gt;0"),IF(COUNTIFS('Promo Calendar'!$A$6:$A$400,$C701,'Promo Calendar'!$D$6:$D$400,"All",'Promo Calendar'!$I$6:$I$400,"&lt;="&amp;$A701,'Promo Calendar'!$J$6:$J$400,"&gt;="&amp;$A701,'Promo Calendar'!$G$6:$G$400,"&gt;0")&gt;0,_xlfn.MINIFS('Promo Calendar'!$G$6:$G$400,'Promo Calendar'!$A$6:$A$400,$C701,'Promo Calendar'!$D$6:$D$400,"All",'Promo Calendar'!$I$6:$I$400,"&lt;="&amp;$A701,'Promo Calendar'!$J$6:$J$400,"&gt;="&amp;$A701,'Promo Calendar'!$G$6:$G$400,"&gt;0"),IFERROR(IF(INDEX('Chain Program'!$M$6:$M$120,MATCH($C701,'Chain Program'!$A$6:$A$120,0))="","Not set",INDEX('Chain Program'!$M$6:$M$120,MATCH($C701,'Chain Program'!$A$6:$A$120,0))),"Not set"))))</f>
        <v/>
      </c>
      <c r="I701" s="61" t="n"/>
      <c r="J701" s="45">
        <f>IF($I701="","",IF(NOT(ISNUMBER($H701)),"No plan price",IF(ABS($I701-$H701)&lt;0.005,"Match",IF($I701&gt;$H701,"Over plan","Under plan"))))</f>
        <v/>
      </c>
      <c r="K701" s="60" t="n"/>
      <c r="L701" s="60" t="n"/>
      <c r="M701" s="60" t="n"/>
      <c r="N701" s="60" t="n"/>
      <c r="O701" s="60" t="n"/>
      <c r="P701" s="62" t="n"/>
      <c r="Q701" s="62" t="n"/>
      <c r="R701" s="60" t="n"/>
      <c r="S701" s="59" t="n"/>
      <c r="T701" s="60" t="n"/>
      <c r="U701" s="59" t="n"/>
      <c r="V701" s="45">
        <f>IF(OR($A701="",$T701="",$T701="No Issue"),"",IF($T701="Resolved",IF($U701="","",$U701-$A701),TODAY()-$A701))</f>
        <v/>
      </c>
      <c r="W701" s="47">
        <f>IF(AND($C701&lt;&gt;"",$C701='Store History'!$C$4,OR('Store History'!$C$5="",$F701='Store History'!$C$5)),1,0)</f>
        <v/>
      </c>
      <c r="X701" s="47">
        <f>IF($W701=1,SUM($W701:$W$1005),"")</f>
        <v/>
      </c>
    </row>
    <row r="702">
      <c r="A702" s="59" t="n"/>
      <c r="B702" s="60" t="n"/>
      <c r="C702" s="60" t="n"/>
      <c r="D702" s="45">
        <f>IF($C702="","",IFERROR(INDEX('Chain Program'!$B$6:$B$120,MATCH($C702,'Chain Program'!$A$6:$A$120,0)),"Unknown ID"))</f>
        <v/>
      </c>
      <c r="E702" s="45">
        <f>IF($C702="","",IFERROR(INDEX('Chain Program'!$D$6:$D$120,MATCH($C702,'Chain Program'!$A$6:$A$120,0)),"Unknown ID"))</f>
        <v/>
      </c>
      <c r="F702" s="60" t="n"/>
      <c r="G702" s="60" t="n"/>
      <c r="H702" s="56">
        <f>IF(OR($C702="",$A702=""),"",IF(COUNTIFS('Promo Calendar'!$A$6:$A$400,$C702,'Promo Calendar'!$D$6:$D$400,IF($G702="","All",$G702),'Promo Calendar'!$I$6:$I$400,"&lt;="&amp;$A702,'Promo Calendar'!$J$6:$J$400,"&gt;="&amp;$A702,'Promo Calendar'!$G$6:$G$400,"&gt;0")&gt;0,_xlfn.MINIFS('Promo Calendar'!$G$6:$G$400,'Promo Calendar'!$A$6:$A$400,$C702,'Promo Calendar'!$D$6:$D$400,IF($G702="","All",$G702),'Promo Calendar'!$I$6:$I$400,"&lt;="&amp;$A702,'Promo Calendar'!$J$6:$J$400,"&gt;="&amp;$A702,'Promo Calendar'!$G$6:$G$400,"&gt;0"),IF(COUNTIFS('Promo Calendar'!$A$6:$A$400,$C702,'Promo Calendar'!$D$6:$D$400,"All",'Promo Calendar'!$I$6:$I$400,"&lt;="&amp;$A702,'Promo Calendar'!$J$6:$J$400,"&gt;="&amp;$A702,'Promo Calendar'!$G$6:$G$400,"&gt;0")&gt;0,_xlfn.MINIFS('Promo Calendar'!$G$6:$G$400,'Promo Calendar'!$A$6:$A$400,$C702,'Promo Calendar'!$D$6:$D$400,"All",'Promo Calendar'!$I$6:$I$400,"&lt;="&amp;$A702,'Promo Calendar'!$J$6:$J$400,"&gt;="&amp;$A702,'Promo Calendar'!$G$6:$G$400,"&gt;0"),IFERROR(IF(INDEX('Chain Program'!$M$6:$M$120,MATCH($C702,'Chain Program'!$A$6:$A$120,0))="","Not set",INDEX('Chain Program'!$M$6:$M$120,MATCH($C702,'Chain Program'!$A$6:$A$120,0))),"Not set"))))</f>
        <v/>
      </c>
      <c r="I702" s="61" t="n"/>
      <c r="J702" s="45">
        <f>IF($I702="","",IF(NOT(ISNUMBER($H702)),"No plan price",IF(ABS($I702-$H702)&lt;0.005,"Match",IF($I702&gt;$H702,"Over plan","Under plan"))))</f>
        <v/>
      </c>
      <c r="K702" s="60" t="n"/>
      <c r="L702" s="60" t="n"/>
      <c r="M702" s="60" t="n"/>
      <c r="N702" s="60" t="n"/>
      <c r="O702" s="60" t="n"/>
      <c r="P702" s="62" t="n"/>
      <c r="Q702" s="62" t="n"/>
      <c r="R702" s="60" t="n"/>
      <c r="S702" s="59" t="n"/>
      <c r="T702" s="60" t="n"/>
      <c r="U702" s="59" t="n"/>
      <c r="V702" s="45">
        <f>IF(OR($A702="",$T702="",$T702="No Issue"),"",IF($T702="Resolved",IF($U702="","",$U702-$A702),TODAY()-$A702))</f>
        <v/>
      </c>
      <c r="W702" s="47">
        <f>IF(AND($C702&lt;&gt;"",$C702='Store History'!$C$4,OR('Store History'!$C$5="",$F702='Store History'!$C$5)),1,0)</f>
        <v/>
      </c>
      <c r="X702" s="47">
        <f>IF($W702=1,SUM($W702:$W$1005),"")</f>
        <v/>
      </c>
    </row>
    <row r="703">
      <c r="A703" s="59" t="n"/>
      <c r="B703" s="60" t="n"/>
      <c r="C703" s="60" t="n"/>
      <c r="D703" s="45">
        <f>IF($C703="","",IFERROR(INDEX('Chain Program'!$B$6:$B$120,MATCH($C703,'Chain Program'!$A$6:$A$120,0)),"Unknown ID"))</f>
        <v/>
      </c>
      <c r="E703" s="45">
        <f>IF($C703="","",IFERROR(INDEX('Chain Program'!$D$6:$D$120,MATCH($C703,'Chain Program'!$A$6:$A$120,0)),"Unknown ID"))</f>
        <v/>
      </c>
      <c r="F703" s="60" t="n"/>
      <c r="G703" s="60" t="n"/>
      <c r="H703" s="56">
        <f>IF(OR($C703="",$A703=""),"",IF(COUNTIFS('Promo Calendar'!$A$6:$A$400,$C703,'Promo Calendar'!$D$6:$D$400,IF($G703="","All",$G703),'Promo Calendar'!$I$6:$I$400,"&lt;="&amp;$A703,'Promo Calendar'!$J$6:$J$400,"&gt;="&amp;$A703,'Promo Calendar'!$G$6:$G$400,"&gt;0")&gt;0,_xlfn.MINIFS('Promo Calendar'!$G$6:$G$400,'Promo Calendar'!$A$6:$A$400,$C703,'Promo Calendar'!$D$6:$D$400,IF($G703="","All",$G703),'Promo Calendar'!$I$6:$I$400,"&lt;="&amp;$A703,'Promo Calendar'!$J$6:$J$400,"&gt;="&amp;$A703,'Promo Calendar'!$G$6:$G$400,"&gt;0"),IF(COUNTIFS('Promo Calendar'!$A$6:$A$400,$C703,'Promo Calendar'!$D$6:$D$400,"All",'Promo Calendar'!$I$6:$I$400,"&lt;="&amp;$A703,'Promo Calendar'!$J$6:$J$400,"&gt;="&amp;$A703,'Promo Calendar'!$G$6:$G$400,"&gt;0")&gt;0,_xlfn.MINIFS('Promo Calendar'!$G$6:$G$400,'Promo Calendar'!$A$6:$A$400,$C703,'Promo Calendar'!$D$6:$D$400,"All",'Promo Calendar'!$I$6:$I$400,"&lt;="&amp;$A703,'Promo Calendar'!$J$6:$J$400,"&gt;="&amp;$A703,'Promo Calendar'!$G$6:$G$400,"&gt;0"),IFERROR(IF(INDEX('Chain Program'!$M$6:$M$120,MATCH($C703,'Chain Program'!$A$6:$A$120,0))="","Not set",INDEX('Chain Program'!$M$6:$M$120,MATCH($C703,'Chain Program'!$A$6:$A$120,0))),"Not set"))))</f>
        <v/>
      </c>
      <c r="I703" s="61" t="n"/>
      <c r="J703" s="45">
        <f>IF($I703="","",IF(NOT(ISNUMBER($H703)),"No plan price",IF(ABS($I703-$H703)&lt;0.005,"Match",IF($I703&gt;$H703,"Over plan","Under plan"))))</f>
        <v/>
      </c>
      <c r="K703" s="60" t="n"/>
      <c r="L703" s="60" t="n"/>
      <c r="M703" s="60" t="n"/>
      <c r="N703" s="60" t="n"/>
      <c r="O703" s="60" t="n"/>
      <c r="P703" s="62" t="n"/>
      <c r="Q703" s="62" t="n"/>
      <c r="R703" s="60" t="n"/>
      <c r="S703" s="59" t="n"/>
      <c r="T703" s="60" t="n"/>
      <c r="U703" s="59" t="n"/>
      <c r="V703" s="45">
        <f>IF(OR($A703="",$T703="",$T703="No Issue"),"",IF($T703="Resolved",IF($U703="","",$U703-$A703),TODAY()-$A703))</f>
        <v/>
      </c>
      <c r="W703" s="47">
        <f>IF(AND($C703&lt;&gt;"",$C703='Store History'!$C$4,OR('Store History'!$C$5="",$F703='Store History'!$C$5)),1,0)</f>
        <v/>
      </c>
      <c r="X703" s="47">
        <f>IF($W703=1,SUM($W703:$W$1005),"")</f>
        <v/>
      </c>
    </row>
    <row r="704">
      <c r="A704" s="59" t="n"/>
      <c r="B704" s="60" t="n"/>
      <c r="C704" s="60" t="n"/>
      <c r="D704" s="45">
        <f>IF($C704="","",IFERROR(INDEX('Chain Program'!$B$6:$B$120,MATCH($C704,'Chain Program'!$A$6:$A$120,0)),"Unknown ID"))</f>
        <v/>
      </c>
      <c r="E704" s="45">
        <f>IF($C704="","",IFERROR(INDEX('Chain Program'!$D$6:$D$120,MATCH($C704,'Chain Program'!$A$6:$A$120,0)),"Unknown ID"))</f>
        <v/>
      </c>
      <c r="F704" s="60" t="n"/>
      <c r="G704" s="60" t="n"/>
      <c r="H704" s="56">
        <f>IF(OR($C704="",$A704=""),"",IF(COUNTIFS('Promo Calendar'!$A$6:$A$400,$C704,'Promo Calendar'!$D$6:$D$400,IF($G704="","All",$G704),'Promo Calendar'!$I$6:$I$400,"&lt;="&amp;$A704,'Promo Calendar'!$J$6:$J$400,"&gt;="&amp;$A704,'Promo Calendar'!$G$6:$G$400,"&gt;0")&gt;0,_xlfn.MINIFS('Promo Calendar'!$G$6:$G$400,'Promo Calendar'!$A$6:$A$400,$C704,'Promo Calendar'!$D$6:$D$400,IF($G704="","All",$G704),'Promo Calendar'!$I$6:$I$400,"&lt;="&amp;$A704,'Promo Calendar'!$J$6:$J$400,"&gt;="&amp;$A704,'Promo Calendar'!$G$6:$G$400,"&gt;0"),IF(COUNTIFS('Promo Calendar'!$A$6:$A$400,$C704,'Promo Calendar'!$D$6:$D$400,"All",'Promo Calendar'!$I$6:$I$400,"&lt;="&amp;$A704,'Promo Calendar'!$J$6:$J$400,"&gt;="&amp;$A704,'Promo Calendar'!$G$6:$G$400,"&gt;0")&gt;0,_xlfn.MINIFS('Promo Calendar'!$G$6:$G$400,'Promo Calendar'!$A$6:$A$400,$C704,'Promo Calendar'!$D$6:$D$400,"All",'Promo Calendar'!$I$6:$I$400,"&lt;="&amp;$A704,'Promo Calendar'!$J$6:$J$400,"&gt;="&amp;$A704,'Promo Calendar'!$G$6:$G$400,"&gt;0"),IFERROR(IF(INDEX('Chain Program'!$M$6:$M$120,MATCH($C704,'Chain Program'!$A$6:$A$120,0))="","Not set",INDEX('Chain Program'!$M$6:$M$120,MATCH($C704,'Chain Program'!$A$6:$A$120,0))),"Not set"))))</f>
        <v/>
      </c>
      <c r="I704" s="61" t="n"/>
      <c r="J704" s="45">
        <f>IF($I704="","",IF(NOT(ISNUMBER($H704)),"No plan price",IF(ABS($I704-$H704)&lt;0.005,"Match",IF($I704&gt;$H704,"Over plan","Under plan"))))</f>
        <v/>
      </c>
      <c r="K704" s="60" t="n"/>
      <c r="L704" s="60" t="n"/>
      <c r="M704" s="60" t="n"/>
      <c r="N704" s="60" t="n"/>
      <c r="O704" s="60" t="n"/>
      <c r="P704" s="62" t="n"/>
      <c r="Q704" s="62" t="n"/>
      <c r="R704" s="60" t="n"/>
      <c r="S704" s="59" t="n"/>
      <c r="T704" s="60" t="n"/>
      <c r="U704" s="59" t="n"/>
      <c r="V704" s="45">
        <f>IF(OR($A704="",$T704="",$T704="No Issue"),"",IF($T704="Resolved",IF($U704="","",$U704-$A704),TODAY()-$A704))</f>
        <v/>
      </c>
      <c r="W704" s="47">
        <f>IF(AND($C704&lt;&gt;"",$C704='Store History'!$C$4,OR('Store History'!$C$5="",$F704='Store History'!$C$5)),1,0)</f>
        <v/>
      </c>
      <c r="X704" s="47">
        <f>IF($W704=1,SUM($W704:$W$1005),"")</f>
        <v/>
      </c>
    </row>
    <row r="705">
      <c r="A705" s="59" t="n"/>
      <c r="B705" s="60" t="n"/>
      <c r="C705" s="60" t="n"/>
      <c r="D705" s="45">
        <f>IF($C705="","",IFERROR(INDEX('Chain Program'!$B$6:$B$120,MATCH($C705,'Chain Program'!$A$6:$A$120,0)),"Unknown ID"))</f>
        <v/>
      </c>
      <c r="E705" s="45">
        <f>IF($C705="","",IFERROR(INDEX('Chain Program'!$D$6:$D$120,MATCH($C705,'Chain Program'!$A$6:$A$120,0)),"Unknown ID"))</f>
        <v/>
      </c>
      <c r="F705" s="60" t="n"/>
      <c r="G705" s="60" t="n"/>
      <c r="H705" s="56">
        <f>IF(OR($C705="",$A705=""),"",IF(COUNTIFS('Promo Calendar'!$A$6:$A$400,$C705,'Promo Calendar'!$D$6:$D$400,IF($G705="","All",$G705),'Promo Calendar'!$I$6:$I$400,"&lt;="&amp;$A705,'Promo Calendar'!$J$6:$J$400,"&gt;="&amp;$A705,'Promo Calendar'!$G$6:$G$400,"&gt;0")&gt;0,_xlfn.MINIFS('Promo Calendar'!$G$6:$G$400,'Promo Calendar'!$A$6:$A$400,$C705,'Promo Calendar'!$D$6:$D$400,IF($G705="","All",$G705),'Promo Calendar'!$I$6:$I$400,"&lt;="&amp;$A705,'Promo Calendar'!$J$6:$J$400,"&gt;="&amp;$A705,'Promo Calendar'!$G$6:$G$400,"&gt;0"),IF(COUNTIFS('Promo Calendar'!$A$6:$A$400,$C705,'Promo Calendar'!$D$6:$D$400,"All",'Promo Calendar'!$I$6:$I$400,"&lt;="&amp;$A705,'Promo Calendar'!$J$6:$J$400,"&gt;="&amp;$A705,'Promo Calendar'!$G$6:$G$400,"&gt;0")&gt;0,_xlfn.MINIFS('Promo Calendar'!$G$6:$G$400,'Promo Calendar'!$A$6:$A$400,$C705,'Promo Calendar'!$D$6:$D$400,"All",'Promo Calendar'!$I$6:$I$400,"&lt;="&amp;$A705,'Promo Calendar'!$J$6:$J$400,"&gt;="&amp;$A705,'Promo Calendar'!$G$6:$G$400,"&gt;0"),IFERROR(IF(INDEX('Chain Program'!$M$6:$M$120,MATCH($C705,'Chain Program'!$A$6:$A$120,0))="","Not set",INDEX('Chain Program'!$M$6:$M$120,MATCH($C705,'Chain Program'!$A$6:$A$120,0))),"Not set"))))</f>
        <v/>
      </c>
      <c r="I705" s="61" t="n"/>
      <c r="J705" s="45">
        <f>IF($I705="","",IF(NOT(ISNUMBER($H705)),"No plan price",IF(ABS($I705-$H705)&lt;0.005,"Match",IF($I705&gt;$H705,"Over plan","Under plan"))))</f>
        <v/>
      </c>
      <c r="K705" s="60" t="n"/>
      <c r="L705" s="60" t="n"/>
      <c r="M705" s="60" t="n"/>
      <c r="N705" s="60" t="n"/>
      <c r="O705" s="60" t="n"/>
      <c r="P705" s="62" t="n"/>
      <c r="Q705" s="62" t="n"/>
      <c r="R705" s="60" t="n"/>
      <c r="S705" s="59" t="n"/>
      <c r="T705" s="60" t="n"/>
      <c r="U705" s="59" t="n"/>
      <c r="V705" s="45">
        <f>IF(OR($A705="",$T705="",$T705="No Issue"),"",IF($T705="Resolved",IF($U705="","",$U705-$A705),TODAY()-$A705))</f>
        <v/>
      </c>
      <c r="W705" s="47">
        <f>IF(AND($C705&lt;&gt;"",$C705='Store History'!$C$4,OR('Store History'!$C$5="",$F705='Store History'!$C$5)),1,0)</f>
        <v/>
      </c>
      <c r="X705" s="47">
        <f>IF($W705=1,SUM($W705:$W$1005),"")</f>
        <v/>
      </c>
    </row>
    <row r="706">
      <c r="A706" s="59" t="n"/>
      <c r="B706" s="60" t="n"/>
      <c r="C706" s="60" t="n"/>
      <c r="D706" s="45">
        <f>IF($C706="","",IFERROR(INDEX('Chain Program'!$B$6:$B$120,MATCH($C706,'Chain Program'!$A$6:$A$120,0)),"Unknown ID"))</f>
        <v/>
      </c>
      <c r="E706" s="45">
        <f>IF($C706="","",IFERROR(INDEX('Chain Program'!$D$6:$D$120,MATCH($C706,'Chain Program'!$A$6:$A$120,0)),"Unknown ID"))</f>
        <v/>
      </c>
      <c r="F706" s="60" t="n"/>
      <c r="G706" s="60" t="n"/>
      <c r="H706" s="56">
        <f>IF(OR($C706="",$A706=""),"",IF(COUNTIFS('Promo Calendar'!$A$6:$A$400,$C706,'Promo Calendar'!$D$6:$D$400,IF($G706="","All",$G706),'Promo Calendar'!$I$6:$I$400,"&lt;="&amp;$A706,'Promo Calendar'!$J$6:$J$400,"&gt;="&amp;$A706,'Promo Calendar'!$G$6:$G$400,"&gt;0")&gt;0,_xlfn.MINIFS('Promo Calendar'!$G$6:$G$400,'Promo Calendar'!$A$6:$A$400,$C706,'Promo Calendar'!$D$6:$D$400,IF($G706="","All",$G706),'Promo Calendar'!$I$6:$I$400,"&lt;="&amp;$A706,'Promo Calendar'!$J$6:$J$400,"&gt;="&amp;$A706,'Promo Calendar'!$G$6:$G$400,"&gt;0"),IF(COUNTIFS('Promo Calendar'!$A$6:$A$400,$C706,'Promo Calendar'!$D$6:$D$400,"All",'Promo Calendar'!$I$6:$I$400,"&lt;="&amp;$A706,'Promo Calendar'!$J$6:$J$400,"&gt;="&amp;$A706,'Promo Calendar'!$G$6:$G$400,"&gt;0")&gt;0,_xlfn.MINIFS('Promo Calendar'!$G$6:$G$400,'Promo Calendar'!$A$6:$A$400,$C706,'Promo Calendar'!$D$6:$D$400,"All",'Promo Calendar'!$I$6:$I$400,"&lt;="&amp;$A706,'Promo Calendar'!$J$6:$J$400,"&gt;="&amp;$A706,'Promo Calendar'!$G$6:$G$400,"&gt;0"),IFERROR(IF(INDEX('Chain Program'!$M$6:$M$120,MATCH($C706,'Chain Program'!$A$6:$A$120,0))="","Not set",INDEX('Chain Program'!$M$6:$M$120,MATCH($C706,'Chain Program'!$A$6:$A$120,0))),"Not set"))))</f>
        <v/>
      </c>
      <c r="I706" s="61" t="n"/>
      <c r="J706" s="45">
        <f>IF($I706="","",IF(NOT(ISNUMBER($H706)),"No plan price",IF(ABS($I706-$H706)&lt;0.005,"Match",IF($I706&gt;$H706,"Over plan","Under plan"))))</f>
        <v/>
      </c>
      <c r="K706" s="60" t="n"/>
      <c r="L706" s="60" t="n"/>
      <c r="M706" s="60" t="n"/>
      <c r="N706" s="60" t="n"/>
      <c r="O706" s="60" t="n"/>
      <c r="P706" s="62" t="n"/>
      <c r="Q706" s="62" t="n"/>
      <c r="R706" s="60" t="n"/>
      <c r="S706" s="59" t="n"/>
      <c r="T706" s="60" t="n"/>
      <c r="U706" s="59" t="n"/>
      <c r="V706" s="45">
        <f>IF(OR($A706="",$T706="",$T706="No Issue"),"",IF($T706="Resolved",IF($U706="","",$U706-$A706),TODAY()-$A706))</f>
        <v/>
      </c>
      <c r="W706" s="47">
        <f>IF(AND($C706&lt;&gt;"",$C706='Store History'!$C$4,OR('Store History'!$C$5="",$F706='Store History'!$C$5)),1,0)</f>
        <v/>
      </c>
      <c r="X706" s="47">
        <f>IF($W706=1,SUM($W706:$W$1005),"")</f>
        <v/>
      </c>
    </row>
    <row r="707">
      <c r="A707" s="59" t="n"/>
      <c r="B707" s="60" t="n"/>
      <c r="C707" s="60" t="n"/>
      <c r="D707" s="45">
        <f>IF($C707="","",IFERROR(INDEX('Chain Program'!$B$6:$B$120,MATCH($C707,'Chain Program'!$A$6:$A$120,0)),"Unknown ID"))</f>
        <v/>
      </c>
      <c r="E707" s="45">
        <f>IF($C707="","",IFERROR(INDEX('Chain Program'!$D$6:$D$120,MATCH($C707,'Chain Program'!$A$6:$A$120,0)),"Unknown ID"))</f>
        <v/>
      </c>
      <c r="F707" s="60" t="n"/>
      <c r="G707" s="60" t="n"/>
      <c r="H707" s="56">
        <f>IF(OR($C707="",$A707=""),"",IF(COUNTIFS('Promo Calendar'!$A$6:$A$400,$C707,'Promo Calendar'!$D$6:$D$400,IF($G707="","All",$G707),'Promo Calendar'!$I$6:$I$400,"&lt;="&amp;$A707,'Promo Calendar'!$J$6:$J$400,"&gt;="&amp;$A707,'Promo Calendar'!$G$6:$G$400,"&gt;0")&gt;0,_xlfn.MINIFS('Promo Calendar'!$G$6:$G$400,'Promo Calendar'!$A$6:$A$400,$C707,'Promo Calendar'!$D$6:$D$400,IF($G707="","All",$G707),'Promo Calendar'!$I$6:$I$400,"&lt;="&amp;$A707,'Promo Calendar'!$J$6:$J$400,"&gt;="&amp;$A707,'Promo Calendar'!$G$6:$G$400,"&gt;0"),IF(COUNTIFS('Promo Calendar'!$A$6:$A$400,$C707,'Promo Calendar'!$D$6:$D$400,"All",'Promo Calendar'!$I$6:$I$400,"&lt;="&amp;$A707,'Promo Calendar'!$J$6:$J$400,"&gt;="&amp;$A707,'Promo Calendar'!$G$6:$G$400,"&gt;0")&gt;0,_xlfn.MINIFS('Promo Calendar'!$G$6:$G$400,'Promo Calendar'!$A$6:$A$400,$C707,'Promo Calendar'!$D$6:$D$400,"All",'Promo Calendar'!$I$6:$I$400,"&lt;="&amp;$A707,'Promo Calendar'!$J$6:$J$400,"&gt;="&amp;$A707,'Promo Calendar'!$G$6:$G$400,"&gt;0"),IFERROR(IF(INDEX('Chain Program'!$M$6:$M$120,MATCH($C707,'Chain Program'!$A$6:$A$120,0))="","Not set",INDEX('Chain Program'!$M$6:$M$120,MATCH($C707,'Chain Program'!$A$6:$A$120,0))),"Not set"))))</f>
        <v/>
      </c>
      <c r="I707" s="61" t="n"/>
      <c r="J707" s="45">
        <f>IF($I707="","",IF(NOT(ISNUMBER($H707)),"No plan price",IF(ABS($I707-$H707)&lt;0.005,"Match",IF($I707&gt;$H707,"Over plan","Under plan"))))</f>
        <v/>
      </c>
      <c r="K707" s="60" t="n"/>
      <c r="L707" s="60" t="n"/>
      <c r="M707" s="60" t="n"/>
      <c r="N707" s="60" t="n"/>
      <c r="O707" s="60" t="n"/>
      <c r="P707" s="62" t="n"/>
      <c r="Q707" s="62" t="n"/>
      <c r="R707" s="60" t="n"/>
      <c r="S707" s="59" t="n"/>
      <c r="T707" s="60" t="n"/>
      <c r="U707" s="59" t="n"/>
      <c r="V707" s="45">
        <f>IF(OR($A707="",$T707="",$T707="No Issue"),"",IF($T707="Resolved",IF($U707="","",$U707-$A707),TODAY()-$A707))</f>
        <v/>
      </c>
      <c r="W707" s="47">
        <f>IF(AND($C707&lt;&gt;"",$C707='Store History'!$C$4,OR('Store History'!$C$5="",$F707='Store History'!$C$5)),1,0)</f>
        <v/>
      </c>
      <c r="X707" s="47">
        <f>IF($W707=1,SUM($W707:$W$1005),"")</f>
        <v/>
      </c>
    </row>
    <row r="708">
      <c r="A708" s="59" t="n"/>
      <c r="B708" s="60" t="n"/>
      <c r="C708" s="60" t="n"/>
      <c r="D708" s="45">
        <f>IF($C708="","",IFERROR(INDEX('Chain Program'!$B$6:$B$120,MATCH($C708,'Chain Program'!$A$6:$A$120,0)),"Unknown ID"))</f>
        <v/>
      </c>
      <c r="E708" s="45">
        <f>IF($C708="","",IFERROR(INDEX('Chain Program'!$D$6:$D$120,MATCH($C708,'Chain Program'!$A$6:$A$120,0)),"Unknown ID"))</f>
        <v/>
      </c>
      <c r="F708" s="60" t="n"/>
      <c r="G708" s="60" t="n"/>
      <c r="H708" s="56">
        <f>IF(OR($C708="",$A708=""),"",IF(COUNTIFS('Promo Calendar'!$A$6:$A$400,$C708,'Promo Calendar'!$D$6:$D$400,IF($G708="","All",$G708),'Promo Calendar'!$I$6:$I$400,"&lt;="&amp;$A708,'Promo Calendar'!$J$6:$J$400,"&gt;="&amp;$A708,'Promo Calendar'!$G$6:$G$400,"&gt;0")&gt;0,_xlfn.MINIFS('Promo Calendar'!$G$6:$G$400,'Promo Calendar'!$A$6:$A$400,$C708,'Promo Calendar'!$D$6:$D$400,IF($G708="","All",$G708),'Promo Calendar'!$I$6:$I$400,"&lt;="&amp;$A708,'Promo Calendar'!$J$6:$J$400,"&gt;="&amp;$A708,'Promo Calendar'!$G$6:$G$400,"&gt;0"),IF(COUNTIFS('Promo Calendar'!$A$6:$A$400,$C708,'Promo Calendar'!$D$6:$D$400,"All",'Promo Calendar'!$I$6:$I$400,"&lt;="&amp;$A708,'Promo Calendar'!$J$6:$J$400,"&gt;="&amp;$A708,'Promo Calendar'!$G$6:$G$400,"&gt;0")&gt;0,_xlfn.MINIFS('Promo Calendar'!$G$6:$G$400,'Promo Calendar'!$A$6:$A$400,$C708,'Promo Calendar'!$D$6:$D$400,"All",'Promo Calendar'!$I$6:$I$400,"&lt;="&amp;$A708,'Promo Calendar'!$J$6:$J$400,"&gt;="&amp;$A708,'Promo Calendar'!$G$6:$G$400,"&gt;0"),IFERROR(IF(INDEX('Chain Program'!$M$6:$M$120,MATCH($C708,'Chain Program'!$A$6:$A$120,0))="","Not set",INDEX('Chain Program'!$M$6:$M$120,MATCH($C708,'Chain Program'!$A$6:$A$120,0))),"Not set"))))</f>
        <v/>
      </c>
      <c r="I708" s="61" t="n"/>
      <c r="J708" s="45">
        <f>IF($I708="","",IF(NOT(ISNUMBER($H708)),"No plan price",IF(ABS($I708-$H708)&lt;0.005,"Match",IF($I708&gt;$H708,"Over plan","Under plan"))))</f>
        <v/>
      </c>
      <c r="K708" s="60" t="n"/>
      <c r="L708" s="60" t="n"/>
      <c r="M708" s="60" t="n"/>
      <c r="N708" s="60" t="n"/>
      <c r="O708" s="60" t="n"/>
      <c r="P708" s="62" t="n"/>
      <c r="Q708" s="62" t="n"/>
      <c r="R708" s="60" t="n"/>
      <c r="S708" s="59" t="n"/>
      <c r="T708" s="60" t="n"/>
      <c r="U708" s="59" t="n"/>
      <c r="V708" s="45">
        <f>IF(OR($A708="",$T708="",$T708="No Issue"),"",IF($T708="Resolved",IF($U708="","",$U708-$A708),TODAY()-$A708))</f>
        <v/>
      </c>
      <c r="W708" s="47">
        <f>IF(AND($C708&lt;&gt;"",$C708='Store History'!$C$4,OR('Store History'!$C$5="",$F708='Store History'!$C$5)),1,0)</f>
        <v/>
      </c>
      <c r="X708" s="47">
        <f>IF($W708=1,SUM($W708:$W$1005),"")</f>
        <v/>
      </c>
    </row>
    <row r="709">
      <c r="A709" s="59" t="n"/>
      <c r="B709" s="60" t="n"/>
      <c r="C709" s="60" t="n"/>
      <c r="D709" s="45">
        <f>IF($C709="","",IFERROR(INDEX('Chain Program'!$B$6:$B$120,MATCH($C709,'Chain Program'!$A$6:$A$120,0)),"Unknown ID"))</f>
        <v/>
      </c>
      <c r="E709" s="45">
        <f>IF($C709="","",IFERROR(INDEX('Chain Program'!$D$6:$D$120,MATCH($C709,'Chain Program'!$A$6:$A$120,0)),"Unknown ID"))</f>
        <v/>
      </c>
      <c r="F709" s="60" t="n"/>
      <c r="G709" s="60" t="n"/>
      <c r="H709" s="56">
        <f>IF(OR($C709="",$A709=""),"",IF(COUNTIFS('Promo Calendar'!$A$6:$A$400,$C709,'Promo Calendar'!$D$6:$D$400,IF($G709="","All",$G709),'Promo Calendar'!$I$6:$I$400,"&lt;="&amp;$A709,'Promo Calendar'!$J$6:$J$400,"&gt;="&amp;$A709,'Promo Calendar'!$G$6:$G$400,"&gt;0")&gt;0,_xlfn.MINIFS('Promo Calendar'!$G$6:$G$400,'Promo Calendar'!$A$6:$A$400,$C709,'Promo Calendar'!$D$6:$D$400,IF($G709="","All",$G709),'Promo Calendar'!$I$6:$I$400,"&lt;="&amp;$A709,'Promo Calendar'!$J$6:$J$400,"&gt;="&amp;$A709,'Promo Calendar'!$G$6:$G$400,"&gt;0"),IF(COUNTIFS('Promo Calendar'!$A$6:$A$400,$C709,'Promo Calendar'!$D$6:$D$400,"All",'Promo Calendar'!$I$6:$I$400,"&lt;="&amp;$A709,'Promo Calendar'!$J$6:$J$400,"&gt;="&amp;$A709,'Promo Calendar'!$G$6:$G$400,"&gt;0")&gt;0,_xlfn.MINIFS('Promo Calendar'!$G$6:$G$400,'Promo Calendar'!$A$6:$A$400,$C709,'Promo Calendar'!$D$6:$D$400,"All",'Promo Calendar'!$I$6:$I$400,"&lt;="&amp;$A709,'Promo Calendar'!$J$6:$J$400,"&gt;="&amp;$A709,'Promo Calendar'!$G$6:$G$400,"&gt;0"),IFERROR(IF(INDEX('Chain Program'!$M$6:$M$120,MATCH($C709,'Chain Program'!$A$6:$A$120,0))="","Not set",INDEX('Chain Program'!$M$6:$M$120,MATCH($C709,'Chain Program'!$A$6:$A$120,0))),"Not set"))))</f>
        <v/>
      </c>
      <c r="I709" s="61" t="n"/>
      <c r="J709" s="45">
        <f>IF($I709="","",IF(NOT(ISNUMBER($H709)),"No plan price",IF(ABS($I709-$H709)&lt;0.005,"Match",IF($I709&gt;$H709,"Over plan","Under plan"))))</f>
        <v/>
      </c>
      <c r="K709" s="60" t="n"/>
      <c r="L709" s="60" t="n"/>
      <c r="M709" s="60" t="n"/>
      <c r="N709" s="60" t="n"/>
      <c r="O709" s="60" t="n"/>
      <c r="P709" s="62" t="n"/>
      <c r="Q709" s="62" t="n"/>
      <c r="R709" s="60" t="n"/>
      <c r="S709" s="59" t="n"/>
      <c r="T709" s="60" t="n"/>
      <c r="U709" s="59" t="n"/>
      <c r="V709" s="45">
        <f>IF(OR($A709="",$T709="",$T709="No Issue"),"",IF($T709="Resolved",IF($U709="","",$U709-$A709),TODAY()-$A709))</f>
        <v/>
      </c>
      <c r="W709" s="47">
        <f>IF(AND($C709&lt;&gt;"",$C709='Store History'!$C$4,OR('Store History'!$C$5="",$F709='Store History'!$C$5)),1,0)</f>
        <v/>
      </c>
      <c r="X709" s="47">
        <f>IF($W709=1,SUM($W709:$W$1005),"")</f>
        <v/>
      </c>
    </row>
    <row r="710">
      <c r="A710" s="59" t="n"/>
      <c r="B710" s="60" t="n"/>
      <c r="C710" s="60" t="n"/>
      <c r="D710" s="45">
        <f>IF($C710="","",IFERROR(INDEX('Chain Program'!$B$6:$B$120,MATCH($C710,'Chain Program'!$A$6:$A$120,0)),"Unknown ID"))</f>
        <v/>
      </c>
      <c r="E710" s="45">
        <f>IF($C710="","",IFERROR(INDEX('Chain Program'!$D$6:$D$120,MATCH($C710,'Chain Program'!$A$6:$A$120,0)),"Unknown ID"))</f>
        <v/>
      </c>
      <c r="F710" s="60" t="n"/>
      <c r="G710" s="60" t="n"/>
      <c r="H710" s="56">
        <f>IF(OR($C710="",$A710=""),"",IF(COUNTIFS('Promo Calendar'!$A$6:$A$400,$C710,'Promo Calendar'!$D$6:$D$400,IF($G710="","All",$G710),'Promo Calendar'!$I$6:$I$400,"&lt;="&amp;$A710,'Promo Calendar'!$J$6:$J$400,"&gt;="&amp;$A710,'Promo Calendar'!$G$6:$G$400,"&gt;0")&gt;0,_xlfn.MINIFS('Promo Calendar'!$G$6:$G$400,'Promo Calendar'!$A$6:$A$400,$C710,'Promo Calendar'!$D$6:$D$400,IF($G710="","All",$G710),'Promo Calendar'!$I$6:$I$400,"&lt;="&amp;$A710,'Promo Calendar'!$J$6:$J$400,"&gt;="&amp;$A710,'Promo Calendar'!$G$6:$G$400,"&gt;0"),IF(COUNTIFS('Promo Calendar'!$A$6:$A$400,$C710,'Promo Calendar'!$D$6:$D$400,"All",'Promo Calendar'!$I$6:$I$400,"&lt;="&amp;$A710,'Promo Calendar'!$J$6:$J$400,"&gt;="&amp;$A710,'Promo Calendar'!$G$6:$G$400,"&gt;0")&gt;0,_xlfn.MINIFS('Promo Calendar'!$G$6:$G$400,'Promo Calendar'!$A$6:$A$400,$C710,'Promo Calendar'!$D$6:$D$400,"All",'Promo Calendar'!$I$6:$I$400,"&lt;="&amp;$A710,'Promo Calendar'!$J$6:$J$400,"&gt;="&amp;$A710,'Promo Calendar'!$G$6:$G$400,"&gt;0"),IFERROR(IF(INDEX('Chain Program'!$M$6:$M$120,MATCH($C710,'Chain Program'!$A$6:$A$120,0))="","Not set",INDEX('Chain Program'!$M$6:$M$120,MATCH($C710,'Chain Program'!$A$6:$A$120,0))),"Not set"))))</f>
        <v/>
      </c>
      <c r="I710" s="61" t="n"/>
      <c r="J710" s="45">
        <f>IF($I710="","",IF(NOT(ISNUMBER($H710)),"No plan price",IF(ABS($I710-$H710)&lt;0.005,"Match",IF($I710&gt;$H710,"Over plan","Under plan"))))</f>
        <v/>
      </c>
      <c r="K710" s="60" t="n"/>
      <c r="L710" s="60" t="n"/>
      <c r="M710" s="60" t="n"/>
      <c r="N710" s="60" t="n"/>
      <c r="O710" s="60" t="n"/>
      <c r="P710" s="62" t="n"/>
      <c r="Q710" s="62" t="n"/>
      <c r="R710" s="60" t="n"/>
      <c r="S710" s="59" t="n"/>
      <c r="T710" s="60" t="n"/>
      <c r="U710" s="59" t="n"/>
      <c r="V710" s="45">
        <f>IF(OR($A710="",$T710="",$T710="No Issue"),"",IF($T710="Resolved",IF($U710="","",$U710-$A710),TODAY()-$A710))</f>
        <v/>
      </c>
      <c r="W710" s="47">
        <f>IF(AND($C710&lt;&gt;"",$C710='Store History'!$C$4,OR('Store History'!$C$5="",$F710='Store History'!$C$5)),1,0)</f>
        <v/>
      </c>
      <c r="X710" s="47">
        <f>IF($W710=1,SUM($W710:$W$1005),"")</f>
        <v/>
      </c>
    </row>
    <row r="711">
      <c r="A711" s="59" t="n"/>
      <c r="B711" s="60" t="n"/>
      <c r="C711" s="60" t="n"/>
      <c r="D711" s="45">
        <f>IF($C711="","",IFERROR(INDEX('Chain Program'!$B$6:$B$120,MATCH($C711,'Chain Program'!$A$6:$A$120,0)),"Unknown ID"))</f>
        <v/>
      </c>
      <c r="E711" s="45">
        <f>IF($C711="","",IFERROR(INDEX('Chain Program'!$D$6:$D$120,MATCH($C711,'Chain Program'!$A$6:$A$120,0)),"Unknown ID"))</f>
        <v/>
      </c>
      <c r="F711" s="60" t="n"/>
      <c r="G711" s="60" t="n"/>
      <c r="H711" s="56">
        <f>IF(OR($C711="",$A711=""),"",IF(COUNTIFS('Promo Calendar'!$A$6:$A$400,$C711,'Promo Calendar'!$D$6:$D$400,IF($G711="","All",$G711),'Promo Calendar'!$I$6:$I$400,"&lt;="&amp;$A711,'Promo Calendar'!$J$6:$J$400,"&gt;="&amp;$A711,'Promo Calendar'!$G$6:$G$400,"&gt;0")&gt;0,_xlfn.MINIFS('Promo Calendar'!$G$6:$G$400,'Promo Calendar'!$A$6:$A$400,$C711,'Promo Calendar'!$D$6:$D$400,IF($G711="","All",$G711),'Promo Calendar'!$I$6:$I$400,"&lt;="&amp;$A711,'Promo Calendar'!$J$6:$J$400,"&gt;="&amp;$A711,'Promo Calendar'!$G$6:$G$400,"&gt;0"),IF(COUNTIFS('Promo Calendar'!$A$6:$A$400,$C711,'Promo Calendar'!$D$6:$D$400,"All",'Promo Calendar'!$I$6:$I$400,"&lt;="&amp;$A711,'Promo Calendar'!$J$6:$J$400,"&gt;="&amp;$A711,'Promo Calendar'!$G$6:$G$400,"&gt;0")&gt;0,_xlfn.MINIFS('Promo Calendar'!$G$6:$G$400,'Promo Calendar'!$A$6:$A$400,$C711,'Promo Calendar'!$D$6:$D$400,"All",'Promo Calendar'!$I$6:$I$400,"&lt;="&amp;$A711,'Promo Calendar'!$J$6:$J$400,"&gt;="&amp;$A711,'Promo Calendar'!$G$6:$G$400,"&gt;0"),IFERROR(IF(INDEX('Chain Program'!$M$6:$M$120,MATCH($C711,'Chain Program'!$A$6:$A$120,0))="","Not set",INDEX('Chain Program'!$M$6:$M$120,MATCH($C711,'Chain Program'!$A$6:$A$120,0))),"Not set"))))</f>
        <v/>
      </c>
      <c r="I711" s="61" t="n"/>
      <c r="J711" s="45">
        <f>IF($I711="","",IF(NOT(ISNUMBER($H711)),"No plan price",IF(ABS($I711-$H711)&lt;0.005,"Match",IF($I711&gt;$H711,"Over plan","Under plan"))))</f>
        <v/>
      </c>
      <c r="K711" s="60" t="n"/>
      <c r="L711" s="60" t="n"/>
      <c r="M711" s="60" t="n"/>
      <c r="N711" s="60" t="n"/>
      <c r="O711" s="60" t="n"/>
      <c r="P711" s="62" t="n"/>
      <c r="Q711" s="62" t="n"/>
      <c r="R711" s="60" t="n"/>
      <c r="S711" s="59" t="n"/>
      <c r="T711" s="60" t="n"/>
      <c r="U711" s="59" t="n"/>
      <c r="V711" s="45">
        <f>IF(OR($A711="",$T711="",$T711="No Issue"),"",IF($T711="Resolved",IF($U711="","",$U711-$A711),TODAY()-$A711))</f>
        <v/>
      </c>
      <c r="W711" s="47">
        <f>IF(AND($C711&lt;&gt;"",$C711='Store History'!$C$4,OR('Store History'!$C$5="",$F711='Store History'!$C$5)),1,0)</f>
        <v/>
      </c>
      <c r="X711" s="47">
        <f>IF($W711=1,SUM($W711:$W$1005),"")</f>
        <v/>
      </c>
    </row>
    <row r="712">
      <c r="A712" s="59" t="n"/>
      <c r="B712" s="60" t="n"/>
      <c r="C712" s="60" t="n"/>
      <c r="D712" s="45">
        <f>IF($C712="","",IFERROR(INDEX('Chain Program'!$B$6:$B$120,MATCH($C712,'Chain Program'!$A$6:$A$120,0)),"Unknown ID"))</f>
        <v/>
      </c>
      <c r="E712" s="45">
        <f>IF($C712="","",IFERROR(INDEX('Chain Program'!$D$6:$D$120,MATCH($C712,'Chain Program'!$A$6:$A$120,0)),"Unknown ID"))</f>
        <v/>
      </c>
      <c r="F712" s="60" t="n"/>
      <c r="G712" s="60" t="n"/>
      <c r="H712" s="56">
        <f>IF(OR($C712="",$A712=""),"",IF(COUNTIFS('Promo Calendar'!$A$6:$A$400,$C712,'Promo Calendar'!$D$6:$D$400,IF($G712="","All",$G712),'Promo Calendar'!$I$6:$I$400,"&lt;="&amp;$A712,'Promo Calendar'!$J$6:$J$400,"&gt;="&amp;$A712,'Promo Calendar'!$G$6:$G$400,"&gt;0")&gt;0,_xlfn.MINIFS('Promo Calendar'!$G$6:$G$400,'Promo Calendar'!$A$6:$A$400,$C712,'Promo Calendar'!$D$6:$D$400,IF($G712="","All",$G712),'Promo Calendar'!$I$6:$I$400,"&lt;="&amp;$A712,'Promo Calendar'!$J$6:$J$400,"&gt;="&amp;$A712,'Promo Calendar'!$G$6:$G$400,"&gt;0"),IF(COUNTIFS('Promo Calendar'!$A$6:$A$400,$C712,'Promo Calendar'!$D$6:$D$400,"All",'Promo Calendar'!$I$6:$I$400,"&lt;="&amp;$A712,'Promo Calendar'!$J$6:$J$400,"&gt;="&amp;$A712,'Promo Calendar'!$G$6:$G$400,"&gt;0")&gt;0,_xlfn.MINIFS('Promo Calendar'!$G$6:$G$400,'Promo Calendar'!$A$6:$A$400,$C712,'Promo Calendar'!$D$6:$D$400,"All",'Promo Calendar'!$I$6:$I$400,"&lt;="&amp;$A712,'Promo Calendar'!$J$6:$J$400,"&gt;="&amp;$A712,'Promo Calendar'!$G$6:$G$400,"&gt;0"),IFERROR(IF(INDEX('Chain Program'!$M$6:$M$120,MATCH($C712,'Chain Program'!$A$6:$A$120,0))="","Not set",INDEX('Chain Program'!$M$6:$M$120,MATCH($C712,'Chain Program'!$A$6:$A$120,0))),"Not set"))))</f>
        <v/>
      </c>
      <c r="I712" s="61" t="n"/>
      <c r="J712" s="45">
        <f>IF($I712="","",IF(NOT(ISNUMBER($H712)),"No plan price",IF(ABS($I712-$H712)&lt;0.005,"Match",IF($I712&gt;$H712,"Over plan","Under plan"))))</f>
        <v/>
      </c>
      <c r="K712" s="60" t="n"/>
      <c r="L712" s="60" t="n"/>
      <c r="M712" s="60" t="n"/>
      <c r="N712" s="60" t="n"/>
      <c r="O712" s="60" t="n"/>
      <c r="P712" s="62" t="n"/>
      <c r="Q712" s="62" t="n"/>
      <c r="R712" s="60" t="n"/>
      <c r="S712" s="59" t="n"/>
      <c r="T712" s="60" t="n"/>
      <c r="U712" s="59" t="n"/>
      <c r="V712" s="45">
        <f>IF(OR($A712="",$T712="",$T712="No Issue"),"",IF($T712="Resolved",IF($U712="","",$U712-$A712),TODAY()-$A712))</f>
        <v/>
      </c>
      <c r="W712" s="47">
        <f>IF(AND($C712&lt;&gt;"",$C712='Store History'!$C$4,OR('Store History'!$C$5="",$F712='Store History'!$C$5)),1,0)</f>
        <v/>
      </c>
      <c r="X712" s="47">
        <f>IF($W712=1,SUM($W712:$W$1005),"")</f>
        <v/>
      </c>
    </row>
    <row r="713">
      <c r="A713" s="59" t="n"/>
      <c r="B713" s="60" t="n"/>
      <c r="C713" s="60" t="n"/>
      <c r="D713" s="45">
        <f>IF($C713="","",IFERROR(INDEX('Chain Program'!$B$6:$B$120,MATCH($C713,'Chain Program'!$A$6:$A$120,0)),"Unknown ID"))</f>
        <v/>
      </c>
      <c r="E713" s="45">
        <f>IF($C713="","",IFERROR(INDEX('Chain Program'!$D$6:$D$120,MATCH($C713,'Chain Program'!$A$6:$A$120,0)),"Unknown ID"))</f>
        <v/>
      </c>
      <c r="F713" s="60" t="n"/>
      <c r="G713" s="60" t="n"/>
      <c r="H713" s="56">
        <f>IF(OR($C713="",$A713=""),"",IF(COUNTIFS('Promo Calendar'!$A$6:$A$400,$C713,'Promo Calendar'!$D$6:$D$400,IF($G713="","All",$G713),'Promo Calendar'!$I$6:$I$400,"&lt;="&amp;$A713,'Promo Calendar'!$J$6:$J$400,"&gt;="&amp;$A713,'Promo Calendar'!$G$6:$G$400,"&gt;0")&gt;0,_xlfn.MINIFS('Promo Calendar'!$G$6:$G$400,'Promo Calendar'!$A$6:$A$400,$C713,'Promo Calendar'!$D$6:$D$400,IF($G713="","All",$G713),'Promo Calendar'!$I$6:$I$400,"&lt;="&amp;$A713,'Promo Calendar'!$J$6:$J$400,"&gt;="&amp;$A713,'Promo Calendar'!$G$6:$G$400,"&gt;0"),IF(COUNTIFS('Promo Calendar'!$A$6:$A$400,$C713,'Promo Calendar'!$D$6:$D$400,"All",'Promo Calendar'!$I$6:$I$400,"&lt;="&amp;$A713,'Promo Calendar'!$J$6:$J$400,"&gt;="&amp;$A713,'Promo Calendar'!$G$6:$G$400,"&gt;0")&gt;0,_xlfn.MINIFS('Promo Calendar'!$G$6:$G$400,'Promo Calendar'!$A$6:$A$400,$C713,'Promo Calendar'!$D$6:$D$400,"All",'Promo Calendar'!$I$6:$I$400,"&lt;="&amp;$A713,'Promo Calendar'!$J$6:$J$400,"&gt;="&amp;$A713,'Promo Calendar'!$G$6:$G$400,"&gt;0"),IFERROR(IF(INDEX('Chain Program'!$M$6:$M$120,MATCH($C713,'Chain Program'!$A$6:$A$120,0))="","Not set",INDEX('Chain Program'!$M$6:$M$120,MATCH($C713,'Chain Program'!$A$6:$A$120,0))),"Not set"))))</f>
        <v/>
      </c>
      <c r="I713" s="61" t="n"/>
      <c r="J713" s="45">
        <f>IF($I713="","",IF(NOT(ISNUMBER($H713)),"No plan price",IF(ABS($I713-$H713)&lt;0.005,"Match",IF($I713&gt;$H713,"Over plan","Under plan"))))</f>
        <v/>
      </c>
      <c r="K713" s="60" t="n"/>
      <c r="L713" s="60" t="n"/>
      <c r="M713" s="60" t="n"/>
      <c r="N713" s="60" t="n"/>
      <c r="O713" s="60" t="n"/>
      <c r="P713" s="62" t="n"/>
      <c r="Q713" s="62" t="n"/>
      <c r="R713" s="60" t="n"/>
      <c r="S713" s="59" t="n"/>
      <c r="T713" s="60" t="n"/>
      <c r="U713" s="59" t="n"/>
      <c r="V713" s="45">
        <f>IF(OR($A713="",$T713="",$T713="No Issue"),"",IF($T713="Resolved",IF($U713="","",$U713-$A713),TODAY()-$A713))</f>
        <v/>
      </c>
      <c r="W713" s="47">
        <f>IF(AND($C713&lt;&gt;"",$C713='Store History'!$C$4,OR('Store History'!$C$5="",$F713='Store History'!$C$5)),1,0)</f>
        <v/>
      </c>
      <c r="X713" s="47">
        <f>IF($W713=1,SUM($W713:$W$1005),"")</f>
        <v/>
      </c>
    </row>
    <row r="714">
      <c r="A714" s="59" t="n"/>
      <c r="B714" s="60" t="n"/>
      <c r="C714" s="60" t="n"/>
      <c r="D714" s="45">
        <f>IF($C714="","",IFERROR(INDEX('Chain Program'!$B$6:$B$120,MATCH($C714,'Chain Program'!$A$6:$A$120,0)),"Unknown ID"))</f>
        <v/>
      </c>
      <c r="E714" s="45">
        <f>IF($C714="","",IFERROR(INDEX('Chain Program'!$D$6:$D$120,MATCH($C714,'Chain Program'!$A$6:$A$120,0)),"Unknown ID"))</f>
        <v/>
      </c>
      <c r="F714" s="60" t="n"/>
      <c r="G714" s="60" t="n"/>
      <c r="H714" s="56">
        <f>IF(OR($C714="",$A714=""),"",IF(COUNTIFS('Promo Calendar'!$A$6:$A$400,$C714,'Promo Calendar'!$D$6:$D$400,IF($G714="","All",$G714),'Promo Calendar'!$I$6:$I$400,"&lt;="&amp;$A714,'Promo Calendar'!$J$6:$J$400,"&gt;="&amp;$A714,'Promo Calendar'!$G$6:$G$400,"&gt;0")&gt;0,_xlfn.MINIFS('Promo Calendar'!$G$6:$G$400,'Promo Calendar'!$A$6:$A$400,$C714,'Promo Calendar'!$D$6:$D$400,IF($G714="","All",$G714),'Promo Calendar'!$I$6:$I$400,"&lt;="&amp;$A714,'Promo Calendar'!$J$6:$J$400,"&gt;="&amp;$A714,'Promo Calendar'!$G$6:$G$400,"&gt;0"),IF(COUNTIFS('Promo Calendar'!$A$6:$A$400,$C714,'Promo Calendar'!$D$6:$D$400,"All",'Promo Calendar'!$I$6:$I$400,"&lt;="&amp;$A714,'Promo Calendar'!$J$6:$J$400,"&gt;="&amp;$A714,'Promo Calendar'!$G$6:$G$400,"&gt;0")&gt;0,_xlfn.MINIFS('Promo Calendar'!$G$6:$G$400,'Promo Calendar'!$A$6:$A$400,$C714,'Promo Calendar'!$D$6:$D$400,"All",'Promo Calendar'!$I$6:$I$400,"&lt;="&amp;$A714,'Promo Calendar'!$J$6:$J$400,"&gt;="&amp;$A714,'Promo Calendar'!$G$6:$G$400,"&gt;0"),IFERROR(IF(INDEX('Chain Program'!$M$6:$M$120,MATCH($C714,'Chain Program'!$A$6:$A$120,0))="","Not set",INDEX('Chain Program'!$M$6:$M$120,MATCH($C714,'Chain Program'!$A$6:$A$120,0))),"Not set"))))</f>
        <v/>
      </c>
      <c r="I714" s="61" t="n"/>
      <c r="J714" s="45">
        <f>IF($I714="","",IF(NOT(ISNUMBER($H714)),"No plan price",IF(ABS($I714-$H714)&lt;0.005,"Match",IF($I714&gt;$H714,"Over plan","Under plan"))))</f>
        <v/>
      </c>
      <c r="K714" s="60" t="n"/>
      <c r="L714" s="60" t="n"/>
      <c r="M714" s="60" t="n"/>
      <c r="N714" s="60" t="n"/>
      <c r="O714" s="60" t="n"/>
      <c r="P714" s="62" t="n"/>
      <c r="Q714" s="62" t="n"/>
      <c r="R714" s="60" t="n"/>
      <c r="S714" s="59" t="n"/>
      <c r="T714" s="60" t="n"/>
      <c r="U714" s="59" t="n"/>
      <c r="V714" s="45">
        <f>IF(OR($A714="",$T714="",$T714="No Issue"),"",IF($T714="Resolved",IF($U714="","",$U714-$A714),TODAY()-$A714))</f>
        <v/>
      </c>
      <c r="W714" s="47">
        <f>IF(AND($C714&lt;&gt;"",$C714='Store History'!$C$4,OR('Store History'!$C$5="",$F714='Store History'!$C$5)),1,0)</f>
        <v/>
      </c>
      <c r="X714" s="47">
        <f>IF($W714=1,SUM($W714:$W$1005),"")</f>
        <v/>
      </c>
    </row>
    <row r="715">
      <c r="A715" s="59" t="n"/>
      <c r="B715" s="60" t="n"/>
      <c r="C715" s="60" t="n"/>
      <c r="D715" s="45">
        <f>IF($C715="","",IFERROR(INDEX('Chain Program'!$B$6:$B$120,MATCH($C715,'Chain Program'!$A$6:$A$120,0)),"Unknown ID"))</f>
        <v/>
      </c>
      <c r="E715" s="45">
        <f>IF($C715="","",IFERROR(INDEX('Chain Program'!$D$6:$D$120,MATCH($C715,'Chain Program'!$A$6:$A$120,0)),"Unknown ID"))</f>
        <v/>
      </c>
      <c r="F715" s="60" t="n"/>
      <c r="G715" s="60" t="n"/>
      <c r="H715" s="56">
        <f>IF(OR($C715="",$A715=""),"",IF(COUNTIFS('Promo Calendar'!$A$6:$A$400,$C715,'Promo Calendar'!$D$6:$D$400,IF($G715="","All",$G715),'Promo Calendar'!$I$6:$I$400,"&lt;="&amp;$A715,'Promo Calendar'!$J$6:$J$400,"&gt;="&amp;$A715,'Promo Calendar'!$G$6:$G$400,"&gt;0")&gt;0,_xlfn.MINIFS('Promo Calendar'!$G$6:$G$400,'Promo Calendar'!$A$6:$A$400,$C715,'Promo Calendar'!$D$6:$D$400,IF($G715="","All",$G715),'Promo Calendar'!$I$6:$I$400,"&lt;="&amp;$A715,'Promo Calendar'!$J$6:$J$400,"&gt;="&amp;$A715,'Promo Calendar'!$G$6:$G$400,"&gt;0"),IF(COUNTIFS('Promo Calendar'!$A$6:$A$400,$C715,'Promo Calendar'!$D$6:$D$400,"All",'Promo Calendar'!$I$6:$I$400,"&lt;="&amp;$A715,'Promo Calendar'!$J$6:$J$400,"&gt;="&amp;$A715,'Promo Calendar'!$G$6:$G$400,"&gt;0")&gt;0,_xlfn.MINIFS('Promo Calendar'!$G$6:$G$400,'Promo Calendar'!$A$6:$A$400,$C715,'Promo Calendar'!$D$6:$D$400,"All",'Promo Calendar'!$I$6:$I$400,"&lt;="&amp;$A715,'Promo Calendar'!$J$6:$J$400,"&gt;="&amp;$A715,'Promo Calendar'!$G$6:$G$400,"&gt;0"),IFERROR(IF(INDEX('Chain Program'!$M$6:$M$120,MATCH($C715,'Chain Program'!$A$6:$A$120,0))="","Not set",INDEX('Chain Program'!$M$6:$M$120,MATCH($C715,'Chain Program'!$A$6:$A$120,0))),"Not set"))))</f>
        <v/>
      </c>
      <c r="I715" s="61" t="n"/>
      <c r="J715" s="45">
        <f>IF($I715="","",IF(NOT(ISNUMBER($H715)),"No plan price",IF(ABS($I715-$H715)&lt;0.005,"Match",IF($I715&gt;$H715,"Over plan","Under plan"))))</f>
        <v/>
      </c>
      <c r="K715" s="60" t="n"/>
      <c r="L715" s="60" t="n"/>
      <c r="M715" s="60" t="n"/>
      <c r="N715" s="60" t="n"/>
      <c r="O715" s="60" t="n"/>
      <c r="P715" s="62" t="n"/>
      <c r="Q715" s="62" t="n"/>
      <c r="R715" s="60" t="n"/>
      <c r="S715" s="59" t="n"/>
      <c r="T715" s="60" t="n"/>
      <c r="U715" s="59" t="n"/>
      <c r="V715" s="45">
        <f>IF(OR($A715="",$T715="",$T715="No Issue"),"",IF($T715="Resolved",IF($U715="","",$U715-$A715),TODAY()-$A715))</f>
        <v/>
      </c>
      <c r="W715" s="47">
        <f>IF(AND($C715&lt;&gt;"",$C715='Store History'!$C$4,OR('Store History'!$C$5="",$F715='Store History'!$C$5)),1,0)</f>
        <v/>
      </c>
      <c r="X715" s="47">
        <f>IF($W715=1,SUM($W715:$W$1005),"")</f>
        <v/>
      </c>
    </row>
    <row r="716">
      <c r="A716" s="59" t="n"/>
      <c r="B716" s="60" t="n"/>
      <c r="C716" s="60" t="n"/>
      <c r="D716" s="45">
        <f>IF($C716="","",IFERROR(INDEX('Chain Program'!$B$6:$B$120,MATCH($C716,'Chain Program'!$A$6:$A$120,0)),"Unknown ID"))</f>
        <v/>
      </c>
      <c r="E716" s="45">
        <f>IF($C716="","",IFERROR(INDEX('Chain Program'!$D$6:$D$120,MATCH($C716,'Chain Program'!$A$6:$A$120,0)),"Unknown ID"))</f>
        <v/>
      </c>
      <c r="F716" s="60" t="n"/>
      <c r="G716" s="60" t="n"/>
      <c r="H716" s="56">
        <f>IF(OR($C716="",$A716=""),"",IF(COUNTIFS('Promo Calendar'!$A$6:$A$400,$C716,'Promo Calendar'!$D$6:$D$400,IF($G716="","All",$G716),'Promo Calendar'!$I$6:$I$400,"&lt;="&amp;$A716,'Promo Calendar'!$J$6:$J$400,"&gt;="&amp;$A716,'Promo Calendar'!$G$6:$G$400,"&gt;0")&gt;0,_xlfn.MINIFS('Promo Calendar'!$G$6:$G$400,'Promo Calendar'!$A$6:$A$400,$C716,'Promo Calendar'!$D$6:$D$400,IF($G716="","All",$G716),'Promo Calendar'!$I$6:$I$400,"&lt;="&amp;$A716,'Promo Calendar'!$J$6:$J$400,"&gt;="&amp;$A716,'Promo Calendar'!$G$6:$G$400,"&gt;0"),IF(COUNTIFS('Promo Calendar'!$A$6:$A$400,$C716,'Promo Calendar'!$D$6:$D$400,"All",'Promo Calendar'!$I$6:$I$400,"&lt;="&amp;$A716,'Promo Calendar'!$J$6:$J$400,"&gt;="&amp;$A716,'Promo Calendar'!$G$6:$G$400,"&gt;0")&gt;0,_xlfn.MINIFS('Promo Calendar'!$G$6:$G$400,'Promo Calendar'!$A$6:$A$400,$C716,'Promo Calendar'!$D$6:$D$400,"All",'Promo Calendar'!$I$6:$I$400,"&lt;="&amp;$A716,'Promo Calendar'!$J$6:$J$400,"&gt;="&amp;$A716,'Promo Calendar'!$G$6:$G$400,"&gt;0"),IFERROR(IF(INDEX('Chain Program'!$M$6:$M$120,MATCH($C716,'Chain Program'!$A$6:$A$120,0))="","Not set",INDEX('Chain Program'!$M$6:$M$120,MATCH($C716,'Chain Program'!$A$6:$A$120,0))),"Not set"))))</f>
        <v/>
      </c>
      <c r="I716" s="61" t="n"/>
      <c r="J716" s="45">
        <f>IF($I716="","",IF(NOT(ISNUMBER($H716)),"No plan price",IF(ABS($I716-$H716)&lt;0.005,"Match",IF($I716&gt;$H716,"Over plan","Under plan"))))</f>
        <v/>
      </c>
      <c r="K716" s="60" t="n"/>
      <c r="L716" s="60" t="n"/>
      <c r="M716" s="60" t="n"/>
      <c r="N716" s="60" t="n"/>
      <c r="O716" s="60" t="n"/>
      <c r="P716" s="62" t="n"/>
      <c r="Q716" s="62" t="n"/>
      <c r="R716" s="60" t="n"/>
      <c r="S716" s="59" t="n"/>
      <c r="T716" s="60" t="n"/>
      <c r="U716" s="59" t="n"/>
      <c r="V716" s="45">
        <f>IF(OR($A716="",$T716="",$T716="No Issue"),"",IF($T716="Resolved",IF($U716="","",$U716-$A716),TODAY()-$A716))</f>
        <v/>
      </c>
      <c r="W716" s="47">
        <f>IF(AND($C716&lt;&gt;"",$C716='Store History'!$C$4,OR('Store History'!$C$5="",$F716='Store History'!$C$5)),1,0)</f>
        <v/>
      </c>
      <c r="X716" s="47">
        <f>IF($W716=1,SUM($W716:$W$1005),"")</f>
        <v/>
      </c>
    </row>
    <row r="717">
      <c r="A717" s="59" t="n"/>
      <c r="B717" s="60" t="n"/>
      <c r="C717" s="60" t="n"/>
      <c r="D717" s="45">
        <f>IF($C717="","",IFERROR(INDEX('Chain Program'!$B$6:$B$120,MATCH($C717,'Chain Program'!$A$6:$A$120,0)),"Unknown ID"))</f>
        <v/>
      </c>
      <c r="E717" s="45">
        <f>IF($C717="","",IFERROR(INDEX('Chain Program'!$D$6:$D$120,MATCH($C717,'Chain Program'!$A$6:$A$120,0)),"Unknown ID"))</f>
        <v/>
      </c>
      <c r="F717" s="60" t="n"/>
      <c r="G717" s="60" t="n"/>
      <c r="H717" s="56">
        <f>IF(OR($C717="",$A717=""),"",IF(COUNTIFS('Promo Calendar'!$A$6:$A$400,$C717,'Promo Calendar'!$D$6:$D$400,IF($G717="","All",$G717),'Promo Calendar'!$I$6:$I$400,"&lt;="&amp;$A717,'Promo Calendar'!$J$6:$J$400,"&gt;="&amp;$A717,'Promo Calendar'!$G$6:$G$400,"&gt;0")&gt;0,_xlfn.MINIFS('Promo Calendar'!$G$6:$G$400,'Promo Calendar'!$A$6:$A$400,$C717,'Promo Calendar'!$D$6:$D$400,IF($G717="","All",$G717),'Promo Calendar'!$I$6:$I$400,"&lt;="&amp;$A717,'Promo Calendar'!$J$6:$J$400,"&gt;="&amp;$A717,'Promo Calendar'!$G$6:$G$400,"&gt;0"),IF(COUNTIFS('Promo Calendar'!$A$6:$A$400,$C717,'Promo Calendar'!$D$6:$D$400,"All",'Promo Calendar'!$I$6:$I$400,"&lt;="&amp;$A717,'Promo Calendar'!$J$6:$J$400,"&gt;="&amp;$A717,'Promo Calendar'!$G$6:$G$400,"&gt;0")&gt;0,_xlfn.MINIFS('Promo Calendar'!$G$6:$G$400,'Promo Calendar'!$A$6:$A$400,$C717,'Promo Calendar'!$D$6:$D$400,"All",'Promo Calendar'!$I$6:$I$400,"&lt;="&amp;$A717,'Promo Calendar'!$J$6:$J$400,"&gt;="&amp;$A717,'Promo Calendar'!$G$6:$G$400,"&gt;0"),IFERROR(IF(INDEX('Chain Program'!$M$6:$M$120,MATCH($C717,'Chain Program'!$A$6:$A$120,0))="","Not set",INDEX('Chain Program'!$M$6:$M$120,MATCH($C717,'Chain Program'!$A$6:$A$120,0))),"Not set"))))</f>
        <v/>
      </c>
      <c r="I717" s="61" t="n"/>
      <c r="J717" s="45">
        <f>IF($I717="","",IF(NOT(ISNUMBER($H717)),"No plan price",IF(ABS($I717-$H717)&lt;0.005,"Match",IF($I717&gt;$H717,"Over plan","Under plan"))))</f>
        <v/>
      </c>
      <c r="K717" s="60" t="n"/>
      <c r="L717" s="60" t="n"/>
      <c r="M717" s="60" t="n"/>
      <c r="N717" s="60" t="n"/>
      <c r="O717" s="60" t="n"/>
      <c r="P717" s="62" t="n"/>
      <c r="Q717" s="62" t="n"/>
      <c r="R717" s="60" t="n"/>
      <c r="S717" s="59" t="n"/>
      <c r="T717" s="60" t="n"/>
      <c r="U717" s="59" t="n"/>
      <c r="V717" s="45">
        <f>IF(OR($A717="",$T717="",$T717="No Issue"),"",IF($T717="Resolved",IF($U717="","",$U717-$A717),TODAY()-$A717))</f>
        <v/>
      </c>
      <c r="W717" s="47">
        <f>IF(AND($C717&lt;&gt;"",$C717='Store History'!$C$4,OR('Store History'!$C$5="",$F717='Store History'!$C$5)),1,0)</f>
        <v/>
      </c>
      <c r="X717" s="47">
        <f>IF($W717=1,SUM($W717:$W$1005),"")</f>
        <v/>
      </c>
    </row>
    <row r="718">
      <c r="A718" s="59" t="n"/>
      <c r="B718" s="60" t="n"/>
      <c r="C718" s="60" t="n"/>
      <c r="D718" s="45">
        <f>IF($C718="","",IFERROR(INDEX('Chain Program'!$B$6:$B$120,MATCH($C718,'Chain Program'!$A$6:$A$120,0)),"Unknown ID"))</f>
        <v/>
      </c>
      <c r="E718" s="45">
        <f>IF($C718="","",IFERROR(INDEX('Chain Program'!$D$6:$D$120,MATCH($C718,'Chain Program'!$A$6:$A$120,0)),"Unknown ID"))</f>
        <v/>
      </c>
      <c r="F718" s="60" t="n"/>
      <c r="G718" s="60" t="n"/>
      <c r="H718" s="56">
        <f>IF(OR($C718="",$A718=""),"",IF(COUNTIFS('Promo Calendar'!$A$6:$A$400,$C718,'Promo Calendar'!$D$6:$D$400,IF($G718="","All",$G718),'Promo Calendar'!$I$6:$I$400,"&lt;="&amp;$A718,'Promo Calendar'!$J$6:$J$400,"&gt;="&amp;$A718,'Promo Calendar'!$G$6:$G$400,"&gt;0")&gt;0,_xlfn.MINIFS('Promo Calendar'!$G$6:$G$400,'Promo Calendar'!$A$6:$A$400,$C718,'Promo Calendar'!$D$6:$D$400,IF($G718="","All",$G718),'Promo Calendar'!$I$6:$I$400,"&lt;="&amp;$A718,'Promo Calendar'!$J$6:$J$400,"&gt;="&amp;$A718,'Promo Calendar'!$G$6:$G$400,"&gt;0"),IF(COUNTIFS('Promo Calendar'!$A$6:$A$400,$C718,'Promo Calendar'!$D$6:$D$400,"All",'Promo Calendar'!$I$6:$I$400,"&lt;="&amp;$A718,'Promo Calendar'!$J$6:$J$400,"&gt;="&amp;$A718,'Promo Calendar'!$G$6:$G$400,"&gt;0")&gt;0,_xlfn.MINIFS('Promo Calendar'!$G$6:$G$400,'Promo Calendar'!$A$6:$A$400,$C718,'Promo Calendar'!$D$6:$D$400,"All",'Promo Calendar'!$I$6:$I$400,"&lt;="&amp;$A718,'Promo Calendar'!$J$6:$J$400,"&gt;="&amp;$A718,'Promo Calendar'!$G$6:$G$400,"&gt;0"),IFERROR(IF(INDEX('Chain Program'!$M$6:$M$120,MATCH($C718,'Chain Program'!$A$6:$A$120,0))="","Not set",INDEX('Chain Program'!$M$6:$M$120,MATCH($C718,'Chain Program'!$A$6:$A$120,0))),"Not set"))))</f>
        <v/>
      </c>
      <c r="I718" s="61" t="n"/>
      <c r="J718" s="45">
        <f>IF($I718="","",IF(NOT(ISNUMBER($H718)),"No plan price",IF(ABS($I718-$H718)&lt;0.005,"Match",IF($I718&gt;$H718,"Over plan","Under plan"))))</f>
        <v/>
      </c>
      <c r="K718" s="60" t="n"/>
      <c r="L718" s="60" t="n"/>
      <c r="M718" s="60" t="n"/>
      <c r="N718" s="60" t="n"/>
      <c r="O718" s="60" t="n"/>
      <c r="P718" s="62" t="n"/>
      <c r="Q718" s="62" t="n"/>
      <c r="R718" s="60" t="n"/>
      <c r="S718" s="59" t="n"/>
      <c r="T718" s="60" t="n"/>
      <c r="U718" s="59" t="n"/>
      <c r="V718" s="45">
        <f>IF(OR($A718="",$T718="",$T718="No Issue"),"",IF($T718="Resolved",IF($U718="","",$U718-$A718),TODAY()-$A718))</f>
        <v/>
      </c>
      <c r="W718" s="47">
        <f>IF(AND($C718&lt;&gt;"",$C718='Store History'!$C$4,OR('Store History'!$C$5="",$F718='Store History'!$C$5)),1,0)</f>
        <v/>
      </c>
      <c r="X718" s="47">
        <f>IF($W718=1,SUM($W718:$W$1005),"")</f>
        <v/>
      </c>
    </row>
    <row r="719">
      <c r="A719" s="59" t="n"/>
      <c r="B719" s="60" t="n"/>
      <c r="C719" s="60" t="n"/>
      <c r="D719" s="45">
        <f>IF($C719="","",IFERROR(INDEX('Chain Program'!$B$6:$B$120,MATCH($C719,'Chain Program'!$A$6:$A$120,0)),"Unknown ID"))</f>
        <v/>
      </c>
      <c r="E719" s="45">
        <f>IF($C719="","",IFERROR(INDEX('Chain Program'!$D$6:$D$120,MATCH($C719,'Chain Program'!$A$6:$A$120,0)),"Unknown ID"))</f>
        <v/>
      </c>
      <c r="F719" s="60" t="n"/>
      <c r="G719" s="60" t="n"/>
      <c r="H719" s="56">
        <f>IF(OR($C719="",$A719=""),"",IF(COUNTIFS('Promo Calendar'!$A$6:$A$400,$C719,'Promo Calendar'!$D$6:$D$400,IF($G719="","All",$G719),'Promo Calendar'!$I$6:$I$400,"&lt;="&amp;$A719,'Promo Calendar'!$J$6:$J$400,"&gt;="&amp;$A719,'Promo Calendar'!$G$6:$G$400,"&gt;0")&gt;0,_xlfn.MINIFS('Promo Calendar'!$G$6:$G$400,'Promo Calendar'!$A$6:$A$400,$C719,'Promo Calendar'!$D$6:$D$400,IF($G719="","All",$G719),'Promo Calendar'!$I$6:$I$400,"&lt;="&amp;$A719,'Promo Calendar'!$J$6:$J$400,"&gt;="&amp;$A719,'Promo Calendar'!$G$6:$G$400,"&gt;0"),IF(COUNTIFS('Promo Calendar'!$A$6:$A$400,$C719,'Promo Calendar'!$D$6:$D$400,"All",'Promo Calendar'!$I$6:$I$400,"&lt;="&amp;$A719,'Promo Calendar'!$J$6:$J$400,"&gt;="&amp;$A719,'Promo Calendar'!$G$6:$G$400,"&gt;0")&gt;0,_xlfn.MINIFS('Promo Calendar'!$G$6:$G$400,'Promo Calendar'!$A$6:$A$400,$C719,'Promo Calendar'!$D$6:$D$400,"All",'Promo Calendar'!$I$6:$I$400,"&lt;="&amp;$A719,'Promo Calendar'!$J$6:$J$400,"&gt;="&amp;$A719,'Promo Calendar'!$G$6:$G$400,"&gt;0"),IFERROR(IF(INDEX('Chain Program'!$M$6:$M$120,MATCH($C719,'Chain Program'!$A$6:$A$120,0))="","Not set",INDEX('Chain Program'!$M$6:$M$120,MATCH($C719,'Chain Program'!$A$6:$A$120,0))),"Not set"))))</f>
        <v/>
      </c>
      <c r="I719" s="61" t="n"/>
      <c r="J719" s="45">
        <f>IF($I719="","",IF(NOT(ISNUMBER($H719)),"No plan price",IF(ABS($I719-$H719)&lt;0.005,"Match",IF($I719&gt;$H719,"Over plan","Under plan"))))</f>
        <v/>
      </c>
      <c r="K719" s="60" t="n"/>
      <c r="L719" s="60" t="n"/>
      <c r="M719" s="60" t="n"/>
      <c r="N719" s="60" t="n"/>
      <c r="O719" s="60" t="n"/>
      <c r="P719" s="62" t="n"/>
      <c r="Q719" s="62" t="n"/>
      <c r="R719" s="60" t="n"/>
      <c r="S719" s="59" t="n"/>
      <c r="T719" s="60" t="n"/>
      <c r="U719" s="59" t="n"/>
      <c r="V719" s="45">
        <f>IF(OR($A719="",$T719="",$T719="No Issue"),"",IF($T719="Resolved",IF($U719="","",$U719-$A719),TODAY()-$A719))</f>
        <v/>
      </c>
      <c r="W719" s="47">
        <f>IF(AND($C719&lt;&gt;"",$C719='Store History'!$C$4,OR('Store History'!$C$5="",$F719='Store History'!$C$5)),1,0)</f>
        <v/>
      </c>
      <c r="X719" s="47">
        <f>IF($W719=1,SUM($W719:$W$1005),"")</f>
        <v/>
      </c>
    </row>
    <row r="720">
      <c r="A720" s="59" t="n"/>
      <c r="B720" s="60" t="n"/>
      <c r="C720" s="60" t="n"/>
      <c r="D720" s="45">
        <f>IF($C720="","",IFERROR(INDEX('Chain Program'!$B$6:$B$120,MATCH($C720,'Chain Program'!$A$6:$A$120,0)),"Unknown ID"))</f>
        <v/>
      </c>
      <c r="E720" s="45">
        <f>IF($C720="","",IFERROR(INDEX('Chain Program'!$D$6:$D$120,MATCH($C720,'Chain Program'!$A$6:$A$120,0)),"Unknown ID"))</f>
        <v/>
      </c>
      <c r="F720" s="60" t="n"/>
      <c r="G720" s="60" t="n"/>
      <c r="H720" s="56">
        <f>IF(OR($C720="",$A720=""),"",IF(COUNTIFS('Promo Calendar'!$A$6:$A$400,$C720,'Promo Calendar'!$D$6:$D$400,IF($G720="","All",$G720),'Promo Calendar'!$I$6:$I$400,"&lt;="&amp;$A720,'Promo Calendar'!$J$6:$J$400,"&gt;="&amp;$A720,'Promo Calendar'!$G$6:$G$400,"&gt;0")&gt;0,_xlfn.MINIFS('Promo Calendar'!$G$6:$G$400,'Promo Calendar'!$A$6:$A$400,$C720,'Promo Calendar'!$D$6:$D$400,IF($G720="","All",$G720),'Promo Calendar'!$I$6:$I$400,"&lt;="&amp;$A720,'Promo Calendar'!$J$6:$J$400,"&gt;="&amp;$A720,'Promo Calendar'!$G$6:$G$400,"&gt;0"),IF(COUNTIFS('Promo Calendar'!$A$6:$A$400,$C720,'Promo Calendar'!$D$6:$D$400,"All",'Promo Calendar'!$I$6:$I$400,"&lt;="&amp;$A720,'Promo Calendar'!$J$6:$J$400,"&gt;="&amp;$A720,'Promo Calendar'!$G$6:$G$400,"&gt;0")&gt;0,_xlfn.MINIFS('Promo Calendar'!$G$6:$G$400,'Promo Calendar'!$A$6:$A$400,$C720,'Promo Calendar'!$D$6:$D$400,"All",'Promo Calendar'!$I$6:$I$400,"&lt;="&amp;$A720,'Promo Calendar'!$J$6:$J$400,"&gt;="&amp;$A720,'Promo Calendar'!$G$6:$G$400,"&gt;0"),IFERROR(IF(INDEX('Chain Program'!$M$6:$M$120,MATCH($C720,'Chain Program'!$A$6:$A$120,0))="","Not set",INDEX('Chain Program'!$M$6:$M$120,MATCH($C720,'Chain Program'!$A$6:$A$120,0))),"Not set"))))</f>
        <v/>
      </c>
      <c r="I720" s="61" t="n"/>
      <c r="J720" s="45">
        <f>IF($I720="","",IF(NOT(ISNUMBER($H720)),"No plan price",IF(ABS($I720-$H720)&lt;0.005,"Match",IF($I720&gt;$H720,"Over plan","Under plan"))))</f>
        <v/>
      </c>
      <c r="K720" s="60" t="n"/>
      <c r="L720" s="60" t="n"/>
      <c r="M720" s="60" t="n"/>
      <c r="N720" s="60" t="n"/>
      <c r="O720" s="60" t="n"/>
      <c r="P720" s="62" t="n"/>
      <c r="Q720" s="62" t="n"/>
      <c r="R720" s="60" t="n"/>
      <c r="S720" s="59" t="n"/>
      <c r="T720" s="60" t="n"/>
      <c r="U720" s="59" t="n"/>
      <c r="V720" s="45">
        <f>IF(OR($A720="",$T720="",$T720="No Issue"),"",IF($T720="Resolved",IF($U720="","",$U720-$A720),TODAY()-$A720))</f>
        <v/>
      </c>
      <c r="W720" s="47">
        <f>IF(AND($C720&lt;&gt;"",$C720='Store History'!$C$4,OR('Store History'!$C$5="",$F720='Store History'!$C$5)),1,0)</f>
        <v/>
      </c>
      <c r="X720" s="47">
        <f>IF($W720=1,SUM($W720:$W$1005),"")</f>
        <v/>
      </c>
    </row>
    <row r="721">
      <c r="A721" s="59" t="n"/>
      <c r="B721" s="60" t="n"/>
      <c r="C721" s="60" t="n"/>
      <c r="D721" s="45">
        <f>IF($C721="","",IFERROR(INDEX('Chain Program'!$B$6:$B$120,MATCH($C721,'Chain Program'!$A$6:$A$120,0)),"Unknown ID"))</f>
        <v/>
      </c>
      <c r="E721" s="45">
        <f>IF($C721="","",IFERROR(INDEX('Chain Program'!$D$6:$D$120,MATCH($C721,'Chain Program'!$A$6:$A$120,0)),"Unknown ID"))</f>
        <v/>
      </c>
      <c r="F721" s="60" t="n"/>
      <c r="G721" s="60" t="n"/>
      <c r="H721" s="56">
        <f>IF(OR($C721="",$A721=""),"",IF(COUNTIFS('Promo Calendar'!$A$6:$A$400,$C721,'Promo Calendar'!$D$6:$D$400,IF($G721="","All",$G721),'Promo Calendar'!$I$6:$I$400,"&lt;="&amp;$A721,'Promo Calendar'!$J$6:$J$400,"&gt;="&amp;$A721,'Promo Calendar'!$G$6:$G$400,"&gt;0")&gt;0,_xlfn.MINIFS('Promo Calendar'!$G$6:$G$400,'Promo Calendar'!$A$6:$A$400,$C721,'Promo Calendar'!$D$6:$D$400,IF($G721="","All",$G721),'Promo Calendar'!$I$6:$I$400,"&lt;="&amp;$A721,'Promo Calendar'!$J$6:$J$400,"&gt;="&amp;$A721,'Promo Calendar'!$G$6:$G$400,"&gt;0"),IF(COUNTIFS('Promo Calendar'!$A$6:$A$400,$C721,'Promo Calendar'!$D$6:$D$400,"All",'Promo Calendar'!$I$6:$I$400,"&lt;="&amp;$A721,'Promo Calendar'!$J$6:$J$400,"&gt;="&amp;$A721,'Promo Calendar'!$G$6:$G$400,"&gt;0")&gt;0,_xlfn.MINIFS('Promo Calendar'!$G$6:$G$400,'Promo Calendar'!$A$6:$A$400,$C721,'Promo Calendar'!$D$6:$D$400,"All",'Promo Calendar'!$I$6:$I$400,"&lt;="&amp;$A721,'Promo Calendar'!$J$6:$J$400,"&gt;="&amp;$A721,'Promo Calendar'!$G$6:$G$400,"&gt;0"),IFERROR(IF(INDEX('Chain Program'!$M$6:$M$120,MATCH($C721,'Chain Program'!$A$6:$A$120,0))="","Not set",INDEX('Chain Program'!$M$6:$M$120,MATCH($C721,'Chain Program'!$A$6:$A$120,0))),"Not set"))))</f>
        <v/>
      </c>
      <c r="I721" s="61" t="n"/>
      <c r="J721" s="45">
        <f>IF($I721="","",IF(NOT(ISNUMBER($H721)),"No plan price",IF(ABS($I721-$H721)&lt;0.005,"Match",IF($I721&gt;$H721,"Over plan","Under plan"))))</f>
        <v/>
      </c>
      <c r="K721" s="60" t="n"/>
      <c r="L721" s="60" t="n"/>
      <c r="M721" s="60" t="n"/>
      <c r="N721" s="60" t="n"/>
      <c r="O721" s="60" t="n"/>
      <c r="P721" s="62" t="n"/>
      <c r="Q721" s="62" t="n"/>
      <c r="R721" s="60" t="n"/>
      <c r="S721" s="59" t="n"/>
      <c r="T721" s="60" t="n"/>
      <c r="U721" s="59" t="n"/>
      <c r="V721" s="45">
        <f>IF(OR($A721="",$T721="",$T721="No Issue"),"",IF($T721="Resolved",IF($U721="","",$U721-$A721),TODAY()-$A721))</f>
        <v/>
      </c>
      <c r="W721" s="47">
        <f>IF(AND($C721&lt;&gt;"",$C721='Store History'!$C$4,OR('Store History'!$C$5="",$F721='Store History'!$C$5)),1,0)</f>
        <v/>
      </c>
      <c r="X721" s="47">
        <f>IF($W721=1,SUM($W721:$W$1005),"")</f>
        <v/>
      </c>
    </row>
    <row r="722">
      <c r="A722" s="59" t="n"/>
      <c r="B722" s="60" t="n"/>
      <c r="C722" s="60" t="n"/>
      <c r="D722" s="45">
        <f>IF($C722="","",IFERROR(INDEX('Chain Program'!$B$6:$B$120,MATCH($C722,'Chain Program'!$A$6:$A$120,0)),"Unknown ID"))</f>
        <v/>
      </c>
      <c r="E722" s="45">
        <f>IF($C722="","",IFERROR(INDEX('Chain Program'!$D$6:$D$120,MATCH($C722,'Chain Program'!$A$6:$A$120,0)),"Unknown ID"))</f>
        <v/>
      </c>
      <c r="F722" s="60" t="n"/>
      <c r="G722" s="60" t="n"/>
      <c r="H722" s="56">
        <f>IF(OR($C722="",$A722=""),"",IF(COUNTIFS('Promo Calendar'!$A$6:$A$400,$C722,'Promo Calendar'!$D$6:$D$400,IF($G722="","All",$G722),'Promo Calendar'!$I$6:$I$400,"&lt;="&amp;$A722,'Promo Calendar'!$J$6:$J$400,"&gt;="&amp;$A722,'Promo Calendar'!$G$6:$G$400,"&gt;0")&gt;0,_xlfn.MINIFS('Promo Calendar'!$G$6:$G$400,'Promo Calendar'!$A$6:$A$400,$C722,'Promo Calendar'!$D$6:$D$400,IF($G722="","All",$G722),'Promo Calendar'!$I$6:$I$400,"&lt;="&amp;$A722,'Promo Calendar'!$J$6:$J$400,"&gt;="&amp;$A722,'Promo Calendar'!$G$6:$G$400,"&gt;0"),IF(COUNTIFS('Promo Calendar'!$A$6:$A$400,$C722,'Promo Calendar'!$D$6:$D$400,"All",'Promo Calendar'!$I$6:$I$400,"&lt;="&amp;$A722,'Promo Calendar'!$J$6:$J$400,"&gt;="&amp;$A722,'Promo Calendar'!$G$6:$G$400,"&gt;0")&gt;0,_xlfn.MINIFS('Promo Calendar'!$G$6:$G$400,'Promo Calendar'!$A$6:$A$400,$C722,'Promo Calendar'!$D$6:$D$400,"All",'Promo Calendar'!$I$6:$I$400,"&lt;="&amp;$A722,'Promo Calendar'!$J$6:$J$400,"&gt;="&amp;$A722,'Promo Calendar'!$G$6:$G$400,"&gt;0"),IFERROR(IF(INDEX('Chain Program'!$M$6:$M$120,MATCH($C722,'Chain Program'!$A$6:$A$120,0))="","Not set",INDEX('Chain Program'!$M$6:$M$120,MATCH($C722,'Chain Program'!$A$6:$A$120,0))),"Not set"))))</f>
        <v/>
      </c>
      <c r="I722" s="61" t="n"/>
      <c r="J722" s="45">
        <f>IF($I722="","",IF(NOT(ISNUMBER($H722)),"No plan price",IF(ABS($I722-$H722)&lt;0.005,"Match",IF($I722&gt;$H722,"Over plan","Under plan"))))</f>
        <v/>
      </c>
      <c r="K722" s="60" t="n"/>
      <c r="L722" s="60" t="n"/>
      <c r="M722" s="60" t="n"/>
      <c r="N722" s="60" t="n"/>
      <c r="O722" s="60" t="n"/>
      <c r="P722" s="62" t="n"/>
      <c r="Q722" s="62" t="n"/>
      <c r="R722" s="60" t="n"/>
      <c r="S722" s="59" t="n"/>
      <c r="T722" s="60" t="n"/>
      <c r="U722" s="59" t="n"/>
      <c r="V722" s="45">
        <f>IF(OR($A722="",$T722="",$T722="No Issue"),"",IF($T722="Resolved",IF($U722="","",$U722-$A722),TODAY()-$A722))</f>
        <v/>
      </c>
      <c r="W722" s="47">
        <f>IF(AND($C722&lt;&gt;"",$C722='Store History'!$C$4,OR('Store History'!$C$5="",$F722='Store History'!$C$5)),1,0)</f>
        <v/>
      </c>
      <c r="X722" s="47">
        <f>IF($W722=1,SUM($W722:$W$1005),"")</f>
        <v/>
      </c>
    </row>
    <row r="723">
      <c r="A723" s="59" t="n"/>
      <c r="B723" s="60" t="n"/>
      <c r="C723" s="60" t="n"/>
      <c r="D723" s="45">
        <f>IF($C723="","",IFERROR(INDEX('Chain Program'!$B$6:$B$120,MATCH($C723,'Chain Program'!$A$6:$A$120,0)),"Unknown ID"))</f>
        <v/>
      </c>
      <c r="E723" s="45">
        <f>IF($C723="","",IFERROR(INDEX('Chain Program'!$D$6:$D$120,MATCH($C723,'Chain Program'!$A$6:$A$120,0)),"Unknown ID"))</f>
        <v/>
      </c>
      <c r="F723" s="60" t="n"/>
      <c r="G723" s="60" t="n"/>
      <c r="H723" s="56">
        <f>IF(OR($C723="",$A723=""),"",IF(COUNTIFS('Promo Calendar'!$A$6:$A$400,$C723,'Promo Calendar'!$D$6:$D$400,IF($G723="","All",$G723),'Promo Calendar'!$I$6:$I$400,"&lt;="&amp;$A723,'Promo Calendar'!$J$6:$J$400,"&gt;="&amp;$A723,'Promo Calendar'!$G$6:$G$400,"&gt;0")&gt;0,_xlfn.MINIFS('Promo Calendar'!$G$6:$G$400,'Promo Calendar'!$A$6:$A$400,$C723,'Promo Calendar'!$D$6:$D$400,IF($G723="","All",$G723),'Promo Calendar'!$I$6:$I$400,"&lt;="&amp;$A723,'Promo Calendar'!$J$6:$J$400,"&gt;="&amp;$A723,'Promo Calendar'!$G$6:$G$400,"&gt;0"),IF(COUNTIFS('Promo Calendar'!$A$6:$A$400,$C723,'Promo Calendar'!$D$6:$D$400,"All",'Promo Calendar'!$I$6:$I$400,"&lt;="&amp;$A723,'Promo Calendar'!$J$6:$J$400,"&gt;="&amp;$A723,'Promo Calendar'!$G$6:$G$400,"&gt;0")&gt;0,_xlfn.MINIFS('Promo Calendar'!$G$6:$G$400,'Promo Calendar'!$A$6:$A$400,$C723,'Promo Calendar'!$D$6:$D$400,"All",'Promo Calendar'!$I$6:$I$400,"&lt;="&amp;$A723,'Promo Calendar'!$J$6:$J$400,"&gt;="&amp;$A723,'Promo Calendar'!$G$6:$G$400,"&gt;0"),IFERROR(IF(INDEX('Chain Program'!$M$6:$M$120,MATCH($C723,'Chain Program'!$A$6:$A$120,0))="","Not set",INDEX('Chain Program'!$M$6:$M$120,MATCH($C723,'Chain Program'!$A$6:$A$120,0))),"Not set"))))</f>
        <v/>
      </c>
      <c r="I723" s="61" t="n"/>
      <c r="J723" s="45">
        <f>IF($I723="","",IF(NOT(ISNUMBER($H723)),"No plan price",IF(ABS($I723-$H723)&lt;0.005,"Match",IF($I723&gt;$H723,"Over plan","Under plan"))))</f>
        <v/>
      </c>
      <c r="K723" s="60" t="n"/>
      <c r="L723" s="60" t="n"/>
      <c r="M723" s="60" t="n"/>
      <c r="N723" s="60" t="n"/>
      <c r="O723" s="60" t="n"/>
      <c r="P723" s="62" t="n"/>
      <c r="Q723" s="62" t="n"/>
      <c r="R723" s="60" t="n"/>
      <c r="S723" s="59" t="n"/>
      <c r="T723" s="60" t="n"/>
      <c r="U723" s="59" t="n"/>
      <c r="V723" s="45">
        <f>IF(OR($A723="",$T723="",$T723="No Issue"),"",IF($T723="Resolved",IF($U723="","",$U723-$A723),TODAY()-$A723))</f>
        <v/>
      </c>
      <c r="W723" s="47">
        <f>IF(AND($C723&lt;&gt;"",$C723='Store History'!$C$4,OR('Store History'!$C$5="",$F723='Store History'!$C$5)),1,0)</f>
        <v/>
      </c>
      <c r="X723" s="47">
        <f>IF($W723=1,SUM($W723:$W$1005),"")</f>
        <v/>
      </c>
    </row>
    <row r="724">
      <c r="A724" s="59" t="n"/>
      <c r="B724" s="60" t="n"/>
      <c r="C724" s="60" t="n"/>
      <c r="D724" s="45">
        <f>IF($C724="","",IFERROR(INDEX('Chain Program'!$B$6:$B$120,MATCH($C724,'Chain Program'!$A$6:$A$120,0)),"Unknown ID"))</f>
        <v/>
      </c>
      <c r="E724" s="45">
        <f>IF($C724="","",IFERROR(INDEX('Chain Program'!$D$6:$D$120,MATCH($C724,'Chain Program'!$A$6:$A$120,0)),"Unknown ID"))</f>
        <v/>
      </c>
      <c r="F724" s="60" t="n"/>
      <c r="G724" s="60" t="n"/>
      <c r="H724" s="56">
        <f>IF(OR($C724="",$A724=""),"",IF(COUNTIFS('Promo Calendar'!$A$6:$A$400,$C724,'Promo Calendar'!$D$6:$D$400,IF($G724="","All",$G724),'Promo Calendar'!$I$6:$I$400,"&lt;="&amp;$A724,'Promo Calendar'!$J$6:$J$400,"&gt;="&amp;$A724,'Promo Calendar'!$G$6:$G$400,"&gt;0")&gt;0,_xlfn.MINIFS('Promo Calendar'!$G$6:$G$400,'Promo Calendar'!$A$6:$A$400,$C724,'Promo Calendar'!$D$6:$D$400,IF($G724="","All",$G724),'Promo Calendar'!$I$6:$I$400,"&lt;="&amp;$A724,'Promo Calendar'!$J$6:$J$400,"&gt;="&amp;$A724,'Promo Calendar'!$G$6:$G$400,"&gt;0"),IF(COUNTIFS('Promo Calendar'!$A$6:$A$400,$C724,'Promo Calendar'!$D$6:$D$400,"All",'Promo Calendar'!$I$6:$I$400,"&lt;="&amp;$A724,'Promo Calendar'!$J$6:$J$400,"&gt;="&amp;$A724,'Promo Calendar'!$G$6:$G$400,"&gt;0")&gt;0,_xlfn.MINIFS('Promo Calendar'!$G$6:$G$400,'Promo Calendar'!$A$6:$A$400,$C724,'Promo Calendar'!$D$6:$D$400,"All",'Promo Calendar'!$I$6:$I$400,"&lt;="&amp;$A724,'Promo Calendar'!$J$6:$J$400,"&gt;="&amp;$A724,'Promo Calendar'!$G$6:$G$400,"&gt;0"),IFERROR(IF(INDEX('Chain Program'!$M$6:$M$120,MATCH($C724,'Chain Program'!$A$6:$A$120,0))="","Not set",INDEX('Chain Program'!$M$6:$M$120,MATCH($C724,'Chain Program'!$A$6:$A$120,0))),"Not set"))))</f>
        <v/>
      </c>
      <c r="I724" s="61" t="n"/>
      <c r="J724" s="45">
        <f>IF($I724="","",IF(NOT(ISNUMBER($H724)),"No plan price",IF(ABS($I724-$H724)&lt;0.005,"Match",IF($I724&gt;$H724,"Over plan","Under plan"))))</f>
        <v/>
      </c>
      <c r="K724" s="60" t="n"/>
      <c r="L724" s="60" t="n"/>
      <c r="M724" s="60" t="n"/>
      <c r="N724" s="60" t="n"/>
      <c r="O724" s="60" t="n"/>
      <c r="P724" s="62" t="n"/>
      <c r="Q724" s="62" t="n"/>
      <c r="R724" s="60" t="n"/>
      <c r="S724" s="59" t="n"/>
      <c r="T724" s="60" t="n"/>
      <c r="U724" s="59" t="n"/>
      <c r="V724" s="45">
        <f>IF(OR($A724="",$T724="",$T724="No Issue"),"",IF($T724="Resolved",IF($U724="","",$U724-$A724),TODAY()-$A724))</f>
        <v/>
      </c>
      <c r="W724" s="47">
        <f>IF(AND($C724&lt;&gt;"",$C724='Store History'!$C$4,OR('Store History'!$C$5="",$F724='Store History'!$C$5)),1,0)</f>
        <v/>
      </c>
      <c r="X724" s="47">
        <f>IF($W724=1,SUM($W724:$W$1005),"")</f>
        <v/>
      </c>
    </row>
    <row r="725">
      <c r="A725" s="59" t="n"/>
      <c r="B725" s="60" t="n"/>
      <c r="C725" s="60" t="n"/>
      <c r="D725" s="45">
        <f>IF($C725="","",IFERROR(INDEX('Chain Program'!$B$6:$B$120,MATCH($C725,'Chain Program'!$A$6:$A$120,0)),"Unknown ID"))</f>
        <v/>
      </c>
      <c r="E725" s="45">
        <f>IF($C725="","",IFERROR(INDEX('Chain Program'!$D$6:$D$120,MATCH($C725,'Chain Program'!$A$6:$A$120,0)),"Unknown ID"))</f>
        <v/>
      </c>
      <c r="F725" s="60" t="n"/>
      <c r="G725" s="60" t="n"/>
      <c r="H725" s="56">
        <f>IF(OR($C725="",$A725=""),"",IF(COUNTIFS('Promo Calendar'!$A$6:$A$400,$C725,'Promo Calendar'!$D$6:$D$400,IF($G725="","All",$G725),'Promo Calendar'!$I$6:$I$400,"&lt;="&amp;$A725,'Promo Calendar'!$J$6:$J$400,"&gt;="&amp;$A725,'Promo Calendar'!$G$6:$G$400,"&gt;0")&gt;0,_xlfn.MINIFS('Promo Calendar'!$G$6:$G$400,'Promo Calendar'!$A$6:$A$400,$C725,'Promo Calendar'!$D$6:$D$400,IF($G725="","All",$G725),'Promo Calendar'!$I$6:$I$400,"&lt;="&amp;$A725,'Promo Calendar'!$J$6:$J$400,"&gt;="&amp;$A725,'Promo Calendar'!$G$6:$G$400,"&gt;0"),IF(COUNTIFS('Promo Calendar'!$A$6:$A$400,$C725,'Promo Calendar'!$D$6:$D$400,"All",'Promo Calendar'!$I$6:$I$400,"&lt;="&amp;$A725,'Promo Calendar'!$J$6:$J$400,"&gt;="&amp;$A725,'Promo Calendar'!$G$6:$G$400,"&gt;0")&gt;0,_xlfn.MINIFS('Promo Calendar'!$G$6:$G$400,'Promo Calendar'!$A$6:$A$400,$C725,'Promo Calendar'!$D$6:$D$400,"All",'Promo Calendar'!$I$6:$I$400,"&lt;="&amp;$A725,'Promo Calendar'!$J$6:$J$400,"&gt;="&amp;$A725,'Promo Calendar'!$G$6:$G$400,"&gt;0"),IFERROR(IF(INDEX('Chain Program'!$M$6:$M$120,MATCH($C725,'Chain Program'!$A$6:$A$120,0))="","Not set",INDEX('Chain Program'!$M$6:$M$120,MATCH($C725,'Chain Program'!$A$6:$A$120,0))),"Not set"))))</f>
        <v/>
      </c>
      <c r="I725" s="61" t="n"/>
      <c r="J725" s="45">
        <f>IF($I725="","",IF(NOT(ISNUMBER($H725)),"No plan price",IF(ABS($I725-$H725)&lt;0.005,"Match",IF($I725&gt;$H725,"Over plan","Under plan"))))</f>
        <v/>
      </c>
      <c r="K725" s="60" t="n"/>
      <c r="L725" s="60" t="n"/>
      <c r="M725" s="60" t="n"/>
      <c r="N725" s="60" t="n"/>
      <c r="O725" s="60" t="n"/>
      <c r="P725" s="62" t="n"/>
      <c r="Q725" s="62" t="n"/>
      <c r="R725" s="60" t="n"/>
      <c r="S725" s="59" t="n"/>
      <c r="T725" s="60" t="n"/>
      <c r="U725" s="59" t="n"/>
      <c r="V725" s="45">
        <f>IF(OR($A725="",$T725="",$T725="No Issue"),"",IF($T725="Resolved",IF($U725="","",$U725-$A725),TODAY()-$A725))</f>
        <v/>
      </c>
      <c r="W725" s="47">
        <f>IF(AND($C725&lt;&gt;"",$C725='Store History'!$C$4,OR('Store History'!$C$5="",$F725='Store History'!$C$5)),1,0)</f>
        <v/>
      </c>
      <c r="X725" s="47">
        <f>IF($W725=1,SUM($W725:$W$1005),"")</f>
        <v/>
      </c>
    </row>
    <row r="726">
      <c r="A726" s="59" t="n"/>
      <c r="B726" s="60" t="n"/>
      <c r="C726" s="60" t="n"/>
      <c r="D726" s="45">
        <f>IF($C726="","",IFERROR(INDEX('Chain Program'!$B$6:$B$120,MATCH($C726,'Chain Program'!$A$6:$A$120,0)),"Unknown ID"))</f>
        <v/>
      </c>
      <c r="E726" s="45">
        <f>IF($C726="","",IFERROR(INDEX('Chain Program'!$D$6:$D$120,MATCH($C726,'Chain Program'!$A$6:$A$120,0)),"Unknown ID"))</f>
        <v/>
      </c>
      <c r="F726" s="60" t="n"/>
      <c r="G726" s="60" t="n"/>
      <c r="H726" s="56">
        <f>IF(OR($C726="",$A726=""),"",IF(COUNTIFS('Promo Calendar'!$A$6:$A$400,$C726,'Promo Calendar'!$D$6:$D$400,IF($G726="","All",$G726),'Promo Calendar'!$I$6:$I$400,"&lt;="&amp;$A726,'Promo Calendar'!$J$6:$J$400,"&gt;="&amp;$A726,'Promo Calendar'!$G$6:$G$400,"&gt;0")&gt;0,_xlfn.MINIFS('Promo Calendar'!$G$6:$G$400,'Promo Calendar'!$A$6:$A$400,$C726,'Promo Calendar'!$D$6:$D$400,IF($G726="","All",$G726),'Promo Calendar'!$I$6:$I$400,"&lt;="&amp;$A726,'Promo Calendar'!$J$6:$J$400,"&gt;="&amp;$A726,'Promo Calendar'!$G$6:$G$400,"&gt;0"),IF(COUNTIFS('Promo Calendar'!$A$6:$A$400,$C726,'Promo Calendar'!$D$6:$D$400,"All",'Promo Calendar'!$I$6:$I$400,"&lt;="&amp;$A726,'Promo Calendar'!$J$6:$J$400,"&gt;="&amp;$A726,'Promo Calendar'!$G$6:$G$400,"&gt;0")&gt;0,_xlfn.MINIFS('Promo Calendar'!$G$6:$G$400,'Promo Calendar'!$A$6:$A$400,$C726,'Promo Calendar'!$D$6:$D$400,"All",'Promo Calendar'!$I$6:$I$400,"&lt;="&amp;$A726,'Promo Calendar'!$J$6:$J$400,"&gt;="&amp;$A726,'Promo Calendar'!$G$6:$G$400,"&gt;0"),IFERROR(IF(INDEX('Chain Program'!$M$6:$M$120,MATCH($C726,'Chain Program'!$A$6:$A$120,0))="","Not set",INDEX('Chain Program'!$M$6:$M$120,MATCH($C726,'Chain Program'!$A$6:$A$120,0))),"Not set"))))</f>
        <v/>
      </c>
      <c r="I726" s="61" t="n"/>
      <c r="J726" s="45">
        <f>IF($I726="","",IF(NOT(ISNUMBER($H726)),"No plan price",IF(ABS($I726-$H726)&lt;0.005,"Match",IF($I726&gt;$H726,"Over plan","Under plan"))))</f>
        <v/>
      </c>
      <c r="K726" s="60" t="n"/>
      <c r="L726" s="60" t="n"/>
      <c r="M726" s="60" t="n"/>
      <c r="N726" s="60" t="n"/>
      <c r="O726" s="60" t="n"/>
      <c r="P726" s="62" t="n"/>
      <c r="Q726" s="62" t="n"/>
      <c r="R726" s="60" t="n"/>
      <c r="S726" s="59" t="n"/>
      <c r="T726" s="60" t="n"/>
      <c r="U726" s="59" t="n"/>
      <c r="V726" s="45">
        <f>IF(OR($A726="",$T726="",$T726="No Issue"),"",IF($T726="Resolved",IF($U726="","",$U726-$A726),TODAY()-$A726))</f>
        <v/>
      </c>
      <c r="W726" s="47">
        <f>IF(AND($C726&lt;&gt;"",$C726='Store History'!$C$4,OR('Store History'!$C$5="",$F726='Store History'!$C$5)),1,0)</f>
        <v/>
      </c>
      <c r="X726" s="47">
        <f>IF($W726=1,SUM($W726:$W$1005),"")</f>
        <v/>
      </c>
    </row>
    <row r="727">
      <c r="A727" s="59" t="n"/>
      <c r="B727" s="60" t="n"/>
      <c r="C727" s="60" t="n"/>
      <c r="D727" s="45">
        <f>IF($C727="","",IFERROR(INDEX('Chain Program'!$B$6:$B$120,MATCH($C727,'Chain Program'!$A$6:$A$120,0)),"Unknown ID"))</f>
        <v/>
      </c>
      <c r="E727" s="45">
        <f>IF($C727="","",IFERROR(INDEX('Chain Program'!$D$6:$D$120,MATCH($C727,'Chain Program'!$A$6:$A$120,0)),"Unknown ID"))</f>
        <v/>
      </c>
      <c r="F727" s="60" t="n"/>
      <c r="G727" s="60" t="n"/>
      <c r="H727" s="56">
        <f>IF(OR($C727="",$A727=""),"",IF(COUNTIFS('Promo Calendar'!$A$6:$A$400,$C727,'Promo Calendar'!$D$6:$D$400,IF($G727="","All",$G727),'Promo Calendar'!$I$6:$I$400,"&lt;="&amp;$A727,'Promo Calendar'!$J$6:$J$400,"&gt;="&amp;$A727,'Promo Calendar'!$G$6:$G$400,"&gt;0")&gt;0,_xlfn.MINIFS('Promo Calendar'!$G$6:$G$400,'Promo Calendar'!$A$6:$A$400,$C727,'Promo Calendar'!$D$6:$D$400,IF($G727="","All",$G727),'Promo Calendar'!$I$6:$I$400,"&lt;="&amp;$A727,'Promo Calendar'!$J$6:$J$400,"&gt;="&amp;$A727,'Promo Calendar'!$G$6:$G$400,"&gt;0"),IF(COUNTIFS('Promo Calendar'!$A$6:$A$400,$C727,'Promo Calendar'!$D$6:$D$400,"All",'Promo Calendar'!$I$6:$I$400,"&lt;="&amp;$A727,'Promo Calendar'!$J$6:$J$400,"&gt;="&amp;$A727,'Promo Calendar'!$G$6:$G$400,"&gt;0")&gt;0,_xlfn.MINIFS('Promo Calendar'!$G$6:$G$400,'Promo Calendar'!$A$6:$A$400,$C727,'Promo Calendar'!$D$6:$D$400,"All",'Promo Calendar'!$I$6:$I$400,"&lt;="&amp;$A727,'Promo Calendar'!$J$6:$J$400,"&gt;="&amp;$A727,'Promo Calendar'!$G$6:$G$400,"&gt;0"),IFERROR(IF(INDEX('Chain Program'!$M$6:$M$120,MATCH($C727,'Chain Program'!$A$6:$A$120,0))="","Not set",INDEX('Chain Program'!$M$6:$M$120,MATCH($C727,'Chain Program'!$A$6:$A$120,0))),"Not set"))))</f>
        <v/>
      </c>
      <c r="I727" s="61" t="n"/>
      <c r="J727" s="45">
        <f>IF($I727="","",IF(NOT(ISNUMBER($H727)),"No plan price",IF(ABS($I727-$H727)&lt;0.005,"Match",IF($I727&gt;$H727,"Over plan","Under plan"))))</f>
        <v/>
      </c>
      <c r="K727" s="60" t="n"/>
      <c r="L727" s="60" t="n"/>
      <c r="M727" s="60" t="n"/>
      <c r="N727" s="60" t="n"/>
      <c r="O727" s="60" t="n"/>
      <c r="P727" s="62" t="n"/>
      <c r="Q727" s="62" t="n"/>
      <c r="R727" s="60" t="n"/>
      <c r="S727" s="59" t="n"/>
      <c r="T727" s="60" t="n"/>
      <c r="U727" s="59" t="n"/>
      <c r="V727" s="45">
        <f>IF(OR($A727="",$T727="",$T727="No Issue"),"",IF($T727="Resolved",IF($U727="","",$U727-$A727),TODAY()-$A727))</f>
        <v/>
      </c>
      <c r="W727" s="47">
        <f>IF(AND($C727&lt;&gt;"",$C727='Store History'!$C$4,OR('Store History'!$C$5="",$F727='Store History'!$C$5)),1,0)</f>
        <v/>
      </c>
      <c r="X727" s="47">
        <f>IF($W727=1,SUM($W727:$W$1005),"")</f>
        <v/>
      </c>
    </row>
    <row r="728">
      <c r="A728" s="59" t="n"/>
      <c r="B728" s="60" t="n"/>
      <c r="C728" s="60" t="n"/>
      <c r="D728" s="45">
        <f>IF($C728="","",IFERROR(INDEX('Chain Program'!$B$6:$B$120,MATCH($C728,'Chain Program'!$A$6:$A$120,0)),"Unknown ID"))</f>
        <v/>
      </c>
      <c r="E728" s="45">
        <f>IF($C728="","",IFERROR(INDEX('Chain Program'!$D$6:$D$120,MATCH($C728,'Chain Program'!$A$6:$A$120,0)),"Unknown ID"))</f>
        <v/>
      </c>
      <c r="F728" s="60" t="n"/>
      <c r="G728" s="60" t="n"/>
      <c r="H728" s="56">
        <f>IF(OR($C728="",$A728=""),"",IF(COUNTIFS('Promo Calendar'!$A$6:$A$400,$C728,'Promo Calendar'!$D$6:$D$400,IF($G728="","All",$G728),'Promo Calendar'!$I$6:$I$400,"&lt;="&amp;$A728,'Promo Calendar'!$J$6:$J$400,"&gt;="&amp;$A728,'Promo Calendar'!$G$6:$G$400,"&gt;0")&gt;0,_xlfn.MINIFS('Promo Calendar'!$G$6:$G$400,'Promo Calendar'!$A$6:$A$400,$C728,'Promo Calendar'!$D$6:$D$400,IF($G728="","All",$G728),'Promo Calendar'!$I$6:$I$400,"&lt;="&amp;$A728,'Promo Calendar'!$J$6:$J$400,"&gt;="&amp;$A728,'Promo Calendar'!$G$6:$G$400,"&gt;0"),IF(COUNTIFS('Promo Calendar'!$A$6:$A$400,$C728,'Promo Calendar'!$D$6:$D$400,"All",'Promo Calendar'!$I$6:$I$400,"&lt;="&amp;$A728,'Promo Calendar'!$J$6:$J$400,"&gt;="&amp;$A728,'Promo Calendar'!$G$6:$G$400,"&gt;0")&gt;0,_xlfn.MINIFS('Promo Calendar'!$G$6:$G$400,'Promo Calendar'!$A$6:$A$400,$C728,'Promo Calendar'!$D$6:$D$400,"All",'Promo Calendar'!$I$6:$I$400,"&lt;="&amp;$A728,'Promo Calendar'!$J$6:$J$400,"&gt;="&amp;$A728,'Promo Calendar'!$G$6:$G$400,"&gt;0"),IFERROR(IF(INDEX('Chain Program'!$M$6:$M$120,MATCH($C728,'Chain Program'!$A$6:$A$120,0))="","Not set",INDEX('Chain Program'!$M$6:$M$120,MATCH($C728,'Chain Program'!$A$6:$A$120,0))),"Not set"))))</f>
        <v/>
      </c>
      <c r="I728" s="61" t="n"/>
      <c r="J728" s="45">
        <f>IF($I728="","",IF(NOT(ISNUMBER($H728)),"No plan price",IF(ABS($I728-$H728)&lt;0.005,"Match",IF($I728&gt;$H728,"Over plan","Under plan"))))</f>
        <v/>
      </c>
      <c r="K728" s="60" t="n"/>
      <c r="L728" s="60" t="n"/>
      <c r="M728" s="60" t="n"/>
      <c r="N728" s="60" t="n"/>
      <c r="O728" s="60" t="n"/>
      <c r="P728" s="62" t="n"/>
      <c r="Q728" s="62" t="n"/>
      <c r="R728" s="60" t="n"/>
      <c r="S728" s="59" t="n"/>
      <c r="T728" s="60" t="n"/>
      <c r="U728" s="59" t="n"/>
      <c r="V728" s="45">
        <f>IF(OR($A728="",$T728="",$T728="No Issue"),"",IF($T728="Resolved",IF($U728="","",$U728-$A728),TODAY()-$A728))</f>
        <v/>
      </c>
      <c r="W728" s="47">
        <f>IF(AND($C728&lt;&gt;"",$C728='Store History'!$C$4,OR('Store History'!$C$5="",$F728='Store History'!$C$5)),1,0)</f>
        <v/>
      </c>
      <c r="X728" s="47">
        <f>IF($W728=1,SUM($W728:$W$1005),"")</f>
        <v/>
      </c>
    </row>
    <row r="729">
      <c r="A729" s="59" t="n"/>
      <c r="B729" s="60" t="n"/>
      <c r="C729" s="60" t="n"/>
      <c r="D729" s="45">
        <f>IF($C729="","",IFERROR(INDEX('Chain Program'!$B$6:$B$120,MATCH($C729,'Chain Program'!$A$6:$A$120,0)),"Unknown ID"))</f>
        <v/>
      </c>
      <c r="E729" s="45">
        <f>IF($C729="","",IFERROR(INDEX('Chain Program'!$D$6:$D$120,MATCH($C729,'Chain Program'!$A$6:$A$120,0)),"Unknown ID"))</f>
        <v/>
      </c>
      <c r="F729" s="60" t="n"/>
      <c r="G729" s="60" t="n"/>
      <c r="H729" s="56">
        <f>IF(OR($C729="",$A729=""),"",IF(COUNTIFS('Promo Calendar'!$A$6:$A$400,$C729,'Promo Calendar'!$D$6:$D$400,IF($G729="","All",$G729),'Promo Calendar'!$I$6:$I$400,"&lt;="&amp;$A729,'Promo Calendar'!$J$6:$J$400,"&gt;="&amp;$A729,'Promo Calendar'!$G$6:$G$400,"&gt;0")&gt;0,_xlfn.MINIFS('Promo Calendar'!$G$6:$G$400,'Promo Calendar'!$A$6:$A$400,$C729,'Promo Calendar'!$D$6:$D$400,IF($G729="","All",$G729),'Promo Calendar'!$I$6:$I$400,"&lt;="&amp;$A729,'Promo Calendar'!$J$6:$J$400,"&gt;="&amp;$A729,'Promo Calendar'!$G$6:$G$400,"&gt;0"),IF(COUNTIFS('Promo Calendar'!$A$6:$A$400,$C729,'Promo Calendar'!$D$6:$D$400,"All",'Promo Calendar'!$I$6:$I$400,"&lt;="&amp;$A729,'Promo Calendar'!$J$6:$J$400,"&gt;="&amp;$A729,'Promo Calendar'!$G$6:$G$400,"&gt;0")&gt;0,_xlfn.MINIFS('Promo Calendar'!$G$6:$G$400,'Promo Calendar'!$A$6:$A$400,$C729,'Promo Calendar'!$D$6:$D$400,"All",'Promo Calendar'!$I$6:$I$400,"&lt;="&amp;$A729,'Promo Calendar'!$J$6:$J$400,"&gt;="&amp;$A729,'Promo Calendar'!$G$6:$G$400,"&gt;0"),IFERROR(IF(INDEX('Chain Program'!$M$6:$M$120,MATCH($C729,'Chain Program'!$A$6:$A$120,0))="","Not set",INDEX('Chain Program'!$M$6:$M$120,MATCH($C729,'Chain Program'!$A$6:$A$120,0))),"Not set"))))</f>
        <v/>
      </c>
      <c r="I729" s="61" t="n"/>
      <c r="J729" s="45">
        <f>IF($I729="","",IF(NOT(ISNUMBER($H729)),"No plan price",IF(ABS($I729-$H729)&lt;0.005,"Match",IF($I729&gt;$H729,"Over plan","Under plan"))))</f>
        <v/>
      </c>
      <c r="K729" s="60" t="n"/>
      <c r="L729" s="60" t="n"/>
      <c r="M729" s="60" t="n"/>
      <c r="N729" s="60" t="n"/>
      <c r="O729" s="60" t="n"/>
      <c r="P729" s="62" t="n"/>
      <c r="Q729" s="62" t="n"/>
      <c r="R729" s="60" t="n"/>
      <c r="S729" s="59" t="n"/>
      <c r="T729" s="60" t="n"/>
      <c r="U729" s="59" t="n"/>
      <c r="V729" s="45">
        <f>IF(OR($A729="",$T729="",$T729="No Issue"),"",IF($T729="Resolved",IF($U729="","",$U729-$A729),TODAY()-$A729))</f>
        <v/>
      </c>
      <c r="W729" s="47">
        <f>IF(AND($C729&lt;&gt;"",$C729='Store History'!$C$4,OR('Store History'!$C$5="",$F729='Store History'!$C$5)),1,0)</f>
        <v/>
      </c>
      <c r="X729" s="47">
        <f>IF($W729=1,SUM($W729:$W$1005),"")</f>
        <v/>
      </c>
    </row>
    <row r="730">
      <c r="A730" s="59" t="n"/>
      <c r="B730" s="60" t="n"/>
      <c r="C730" s="60" t="n"/>
      <c r="D730" s="45">
        <f>IF($C730="","",IFERROR(INDEX('Chain Program'!$B$6:$B$120,MATCH($C730,'Chain Program'!$A$6:$A$120,0)),"Unknown ID"))</f>
        <v/>
      </c>
      <c r="E730" s="45">
        <f>IF($C730="","",IFERROR(INDEX('Chain Program'!$D$6:$D$120,MATCH($C730,'Chain Program'!$A$6:$A$120,0)),"Unknown ID"))</f>
        <v/>
      </c>
      <c r="F730" s="60" t="n"/>
      <c r="G730" s="60" t="n"/>
      <c r="H730" s="56">
        <f>IF(OR($C730="",$A730=""),"",IF(COUNTIFS('Promo Calendar'!$A$6:$A$400,$C730,'Promo Calendar'!$D$6:$D$400,IF($G730="","All",$G730),'Promo Calendar'!$I$6:$I$400,"&lt;="&amp;$A730,'Promo Calendar'!$J$6:$J$400,"&gt;="&amp;$A730,'Promo Calendar'!$G$6:$G$400,"&gt;0")&gt;0,_xlfn.MINIFS('Promo Calendar'!$G$6:$G$400,'Promo Calendar'!$A$6:$A$400,$C730,'Promo Calendar'!$D$6:$D$400,IF($G730="","All",$G730),'Promo Calendar'!$I$6:$I$400,"&lt;="&amp;$A730,'Promo Calendar'!$J$6:$J$400,"&gt;="&amp;$A730,'Promo Calendar'!$G$6:$G$400,"&gt;0"),IF(COUNTIFS('Promo Calendar'!$A$6:$A$400,$C730,'Promo Calendar'!$D$6:$D$400,"All",'Promo Calendar'!$I$6:$I$400,"&lt;="&amp;$A730,'Promo Calendar'!$J$6:$J$400,"&gt;="&amp;$A730,'Promo Calendar'!$G$6:$G$400,"&gt;0")&gt;0,_xlfn.MINIFS('Promo Calendar'!$G$6:$G$400,'Promo Calendar'!$A$6:$A$400,$C730,'Promo Calendar'!$D$6:$D$400,"All",'Promo Calendar'!$I$6:$I$400,"&lt;="&amp;$A730,'Promo Calendar'!$J$6:$J$400,"&gt;="&amp;$A730,'Promo Calendar'!$G$6:$G$400,"&gt;0"),IFERROR(IF(INDEX('Chain Program'!$M$6:$M$120,MATCH($C730,'Chain Program'!$A$6:$A$120,0))="","Not set",INDEX('Chain Program'!$M$6:$M$120,MATCH($C730,'Chain Program'!$A$6:$A$120,0))),"Not set"))))</f>
        <v/>
      </c>
      <c r="I730" s="61" t="n"/>
      <c r="J730" s="45">
        <f>IF($I730="","",IF(NOT(ISNUMBER($H730)),"No plan price",IF(ABS($I730-$H730)&lt;0.005,"Match",IF($I730&gt;$H730,"Over plan","Under plan"))))</f>
        <v/>
      </c>
      <c r="K730" s="60" t="n"/>
      <c r="L730" s="60" t="n"/>
      <c r="M730" s="60" t="n"/>
      <c r="N730" s="60" t="n"/>
      <c r="O730" s="60" t="n"/>
      <c r="P730" s="62" t="n"/>
      <c r="Q730" s="62" t="n"/>
      <c r="R730" s="60" t="n"/>
      <c r="S730" s="59" t="n"/>
      <c r="T730" s="60" t="n"/>
      <c r="U730" s="59" t="n"/>
      <c r="V730" s="45">
        <f>IF(OR($A730="",$T730="",$T730="No Issue"),"",IF($T730="Resolved",IF($U730="","",$U730-$A730),TODAY()-$A730))</f>
        <v/>
      </c>
      <c r="W730" s="47">
        <f>IF(AND($C730&lt;&gt;"",$C730='Store History'!$C$4,OR('Store History'!$C$5="",$F730='Store History'!$C$5)),1,0)</f>
        <v/>
      </c>
      <c r="X730" s="47">
        <f>IF($W730=1,SUM($W730:$W$1005),"")</f>
        <v/>
      </c>
    </row>
    <row r="731">
      <c r="A731" s="59" t="n"/>
      <c r="B731" s="60" t="n"/>
      <c r="C731" s="60" t="n"/>
      <c r="D731" s="45">
        <f>IF($C731="","",IFERROR(INDEX('Chain Program'!$B$6:$B$120,MATCH($C731,'Chain Program'!$A$6:$A$120,0)),"Unknown ID"))</f>
        <v/>
      </c>
      <c r="E731" s="45">
        <f>IF($C731="","",IFERROR(INDEX('Chain Program'!$D$6:$D$120,MATCH($C731,'Chain Program'!$A$6:$A$120,0)),"Unknown ID"))</f>
        <v/>
      </c>
      <c r="F731" s="60" t="n"/>
      <c r="G731" s="60" t="n"/>
      <c r="H731" s="56">
        <f>IF(OR($C731="",$A731=""),"",IF(COUNTIFS('Promo Calendar'!$A$6:$A$400,$C731,'Promo Calendar'!$D$6:$D$400,IF($G731="","All",$G731),'Promo Calendar'!$I$6:$I$400,"&lt;="&amp;$A731,'Promo Calendar'!$J$6:$J$400,"&gt;="&amp;$A731,'Promo Calendar'!$G$6:$G$400,"&gt;0")&gt;0,_xlfn.MINIFS('Promo Calendar'!$G$6:$G$400,'Promo Calendar'!$A$6:$A$400,$C731,'Promo Calendar'!$D$6:$D$400,IF($G731="","All",$G731),'Promo Calendar'!$I$6:$I$400,"&lt;="&amp;$A731,'Promo Calendar'!$J$6:$J$400,"&gt;="&amp;$A731,'Promo Calendar'!$G$6:$G$400,"&gt;0"),IF(COUNTIFS('Promo Calendar'!$A$6:$A$400,$C731,'Promo Calendar'!$D$6:$D$400,"All",'Promo Calendar'!$I$6:$I$400,"&lt;="&amp;$A731,'Promo Calendar'!$J$6:$J$400,"&gt;="&amp;$A731,'Promo Calendar'!$G$6:$G$400,"&gt;0")&gt;0,_xlfn.MINIFS('Promo Calendar'!$G$6:$G$400,'Promo Calendar'!$A$6:$A$400,$C731,'Promo Calendar'!$D$6:$D$400,"All",'Promo Calendar'!$I$6:$I$400,"&lt;="&amp;$A731,'Promo Calendar'!$J$6:$J$400,"&gt;="&amp;$A731,'Promo Calendar'!$G$6:$G$400,"&gt;0"),IFERROR(IF(INDEX('Chain Program'!$M$6:$M$120,MATCH($C731,'Chain Program'!$A$6:$A$120,0))="","Not set",INDEX('Chain Program'!$M$6:$M$120,MATCH($C731,'Chain Program'!$A$6:$A$120,0))),"Not set"))))</f>
        <v/>
      </c>
      <c r="I731" s="61" t="n"/>
      <c r="J731" s="45">
        <f>IF($I731="","",IF(NOT(ISNUMBER($H731)),"No plan price",IF(ABS($I731-$H731)&lt;0.005,"Match",IF($I731&gt;$H731,"Over plan","Under plan"))))</f>
        <v/>
      </c>
      <c r="K731" s="60" t="n"/>
      <c r="L731" s="60" t="n"/>
      <c r="M731" s="60" t="n"/>
      <c r="N731" s="60" t="n"/>
      <c r="O731" s="60" t="n"/>
      <c r="P731" s="62" t="n"/>
      <c r="Q731" s="62" t="n"/>
      <c r="R731" s="60" t="n"/>
      <c r="S731" s="59" t="n"/>
      <c r="T731" s="60" t="n"/>
      <c r="U731" s="59" t="n"/>
      <c r="V731" s="45">
        <f>IF(OR($A731="",$T731="",$T731="No Issue"),"",IF($T731="Resolved",IF($U731="","",$U731-$A731),TODAY()-$A731))</f>
        <v/>
      </c>
      <c r="W731" s="47">
        <f>IF(AND($C731&lt;&gt;"",$C731='Store History'!$C$4,OR('Store History'!$C$5="",$F731='Store History'!$C$5)),1,0)</f>
        <v/>
      </c>
      <c r="X731" s="47">
        <f>IF($W731=1,SUM($W731:$W$1005),"")</f>
        <v/>
      </c>
    </row>
    <row r="732">
      <c r="A732" s="59" t="n"/>
      <c r="B732" s="60" t="n"/>
      <c r="C732" s="60" t="n"/>
      <c r="D732" s="45">
        <f>IF($C732="","",IFERROR(INDEX('Chain Program'!$B$6:$B$120,MATCH($C732,'Chain Program'!$A$6:$A$120,0)),"Unknown ID"))</f>
        <v/>
      </c>
      <c r="E732" s="45">
        <f>IF($C732="","",IFERROR(INDEX('Chain Program'!$D$6:$D$120,MATCH($C732,'Chain Program'!$A$6:$A$120,0)),"Unknown ID"))</f>
        <v/>
      </c>
      <c r="F732" s="60" t="n"/>
      <c r="G732" s="60" t="n"/>
      <c r="H732" s="56">
        <f>IF(OR($C732="",$A732=""),"",IF(COUNTIFS('Promo Calendar'!$A$6:$A$400,$C732,'Promo Calendar'!$D$6:$D$400,IF($G732="","All",$G732),'Promo Calendar'!$I$6:$I$400,"&lt;="&amp;$A732,'Promo Calendar'!$J$6:$J$400,"&gt;="&amp;$A732,'Promo Calendar'!$G$6:$G$400,"&gt;0")&gt;0,_xlfn.MINIFS('Promo Calendar'!$G$6:$G$400,'Promo Calendar'!$A$6:$A$400,$C732,'Promo Calendar'!$D$6:$D$400,IF($G732="","All",$G732),'Promo Calendar'!$I$6:$I$400,"&lt;="&amp;$A732,'Promo Calendar'!$J$6:$J$400,"&gt;="&amp;$A732,'Promo Calendar'!$G$6:$G$400,"&gt;0"),IF(COUNTIFS('Promo Calendar'!$A$6:$A$400,$C732,'Promo Calendar'!$D$6:$D$400,"All",'Promo Calendar'!$I$6:$I$400,"&lt;="&amp;$A732,'Promo Calendar'!$J$6:$J$400,"&gt;="&amp;$A732,'Promo Calendar'!$G$6:$G$400,"&gt;0")&gt;0,_xlfn.MINIFS('Promo Calendar'!$G$6:$G$400,'Promo Calendar'!$A$6:$A$400,$C732,'Promo Calendar'!$D$6:$D$400,"All",'Promo Calendar'!$I$6:$I$400,"&lt;="&amp;$A732,'Promo Calendar'!$J$6:$J$400,"&gt;="&amp;$A732,'Promo Calendar'!$G$6:$G$400,"&gt;0"),IFERROR(IF(INDEX('Chain Program'!$M$6:$M$120,MATCH($C732,'Chain Program'!$A$6:$A$120,0))="","Not set",INDEX('Chain Program'!$M$6:$M$120,MATCH($C732,'Chain Program'!$A$6:$A$120,0))),"Not set"))))</f>
        <v/>
      </c>
      <c r="I732" s="61" t="n"/>
      <c r="J732" s="45">
        <f>IF($I732="","",IF(NOT(ISNUMBER($H732)),"No plan price",IF(ABS($I732-$H732)&lt;0.005,"Match",IF($I732&gt;$H732,"Over plan","Under plan"))))</f>
        <v/>
      </c>
      <c r="K732" s="60" t="n"/>
      <c r="L732" s="60" t="n"/>
      <c r="M732" s="60" t="n"/>
      <c r="N732" s="60" t="n"/>
      <c r="O732" s="60" t="n"/>
      <c r="P732" s="62" t="n"/>
      <c r="Q732" s="62" t="n"/>
      <c r="R732" s="60" t="n"/>
      <c r="S732" s="59" t="n"/>
      <c r="T732" s="60" t="n"/>
      <c r="U732" s="59" t="n"/>
      <c r="V732" s="45">
        <f>IF(OR($A732="",$T732="",$T732="No Issue"),"",IF($T732="Resolved",IF($U732="","",$U732-$A732),TODAY()-$A732))</f>
        <v/>
      </c>
      <c r="W732" s="47">
        <f>IF(AND($C732&lt;&gt;"",$C732='Store History'!$C$4,OR('Store History'!$C$5="",$F732='Store History'!$C$5)),1,0)</f>
        <v/>
      </c>
      <c r="X732" s="47">
        <f>IF($W732=1,SUM($W732:$W$1005),"")</f>
        <v/>
      </c>
    </row>
    <row r="733">
      <c r="A733" s="59" t="n"/>
      <c r="B733" s="60" t="n"/>
      <c r="C733" s="60" t="n"/>
      <c r="D733" s="45">
        <f>IF($C733="","",IFERROR(INDEX('Chain Program'!$B$6:$B$120,MATCH($C733,'Chain Program'!$A$6:$A$120,0)),"Unknown ID"))</f>
        <v/>
      </c>
      <c r="E733" s="45">
        <f>IF($C733="","",IFERROR(INDEX('Chain Program'!$D$6:$D$120,MATCH($C733,'Chain Program'!$A$6:$A$120,0)),"Unknown ID"))</f>
        <v/>
      </c>
      <c r="F733" s="60" t="n"/>
      <c r="G733" s="60" t="n"/>
      <c r="H733" s="56">
        <f>IF(OR($C733="",$A733=""),"",IF(COUNTIFS('Promo Calendar'!$A$6:$A$400,$C733,'Promo Calendar'!$D$6:$D$400,IF($G733="","All",$G733),'Promo Calendar'!$I$6:$I$400,"&lt;="&amp;$A733,'Promo Calendar'!$J$6:$J$400,"&gt;="&amp;$A733,'Promo Calendar'!$G$6:$G$400,"&gt;0")&gt;0,_xlfn.MINIFS('Promo Calendar'!$G$6:$G$400,'Promo Calendar'!$A$6:$A$400,$C733,'Promo Calendar'!$D$6:$D$400,IF($G733="","All",$G733),'Promo Calendar'!$I$6:$I$400,"&lt;="&amp;$A733,'Promo Calendar'!$J$6:$J$400,"&gt;="&amp;$A733,'Promo Calendar'!$G$6:$G$400,"&gt;0"),IF(COUNTIFS('Promo Calendar'!$A$6:$A$400,$C733,'Promo Calendar'!$D$6:$D$400,"All",'Promo Calendar'!$I$6:$I$400,"&lt;="&amp;$A733,'Promo Calendar'!$J$6:$J$400,"&gt;="&amp;$A733,'Promo Calendar'!$G$6:$G$400,"&gt;0")&gt;0,_xlfn.MINIFS('Promo Calendar'!$G$6:$G$400,'Promo Calendar'!$A$6:$A$400,$C733,'Promo Calendar'!$D$6:$D$400,"All",'Promo Calendar'!$I$6:$I$400,"&lt;="&amp;$A733,'Promo Calendar'!$J$6:$J$400,"&gt;="&amp;$A733,'Promo Calendar'!$G$6:$G$400,"&gt;0"),IFERROR(IF(INDEX('Chain Program'!$M$6:$M$120,MATCH($C733,'Chain Program'!$A$6:$A$120,0))="","Not set",INDEX('Chain Program'!$M$6:$M$120,MATCH($C733,'Chain Program'!$A$6:$A$120,0))),"Not set"))))</f>
        <v/>
      </c>
      <c r="I733" s="61" t="n"/>
      <c r="J733" s="45">
        <f>IF($I733="","",IF(NOT(ISNUMBER($H733)),"No plan price",IF(ABS($I733-$H733)&lt;0.005,"Match",IF($I733&gt;$H733,"Over plan","Under plan"))))</f>
        <v/>
      </c>
      <c r="K733" s="60" t="n"/>
      <c r="L733" s="60" t="n"/>
      <c r="M733" s="60" t="n"/>
      <c r="N733" s="60" t="n"/>
      <c r="O733" s="60" t="n"/>
      <c r="P733" s="62" t="n"/>
      <c r="Q733" s="62" t="n"/>
      <c r="R733" s="60" t="n"/>
      <c r="S733" s="59" t="n"/>
      <c r="T733" s="60" t="n"/>
      <c r="U733" s="59" t="n"/>
      <c r="V733" s="45">
        <f>IF(OR($A733="",$T733="",$T733="No Issue"),"",IF($T733="Resolved",IF($U733="","",$U733-$A733),TODAY()-$A733))</f>
        <v/>
      </c>
      <c r="W733" s="47">
        <f>IF(AND($C733&lt;&gt;"",$C733='Store History'!$C$4,OR('Store History'!$C$5="",$F733='Store History'!$C$5)),1,0)</f>
        <v/>
      </c>
      <c r="X733" s="47">
        <f>IF($W733=1,SUM($W733:$W$1005),"")</f>
        <v/>
      </c>
    </row>
    <row r="734">
      <c r="A734" s="59" t="n"/>
      <c r="B734" s="60" t="n"/>
      <c r="C734" s="60" t="n"/>
      <c r="D734" s="45">
        <f>IF($C734="","",IFERROR(INDEX('Chain Program'!$B$6:$B$120,MATCH($C734,'Chain Program'!$A$6:$A$120,0)),"Unknown ID"))</f>
        <v/>
      </c>
      <c r="E734" s="45">
        <f>IF($C734="","",IFERROR(INDEX('Chain Program'!$D$6:$D$120,MATCH($C734,'Chain Program'!$A$6:$A$120,0)),"Unknown ID"))</f>
        <v/>
      </c>
      <c r="F734" s="60" t="n"/>
      <c r="G734" s="60" t="n"/>
      <c r="H734" s="56">
        <f>IF(OR($C734="",$A734=""),"",IF(COUNTIFS('Promo Calendar'!$A$6:$A$400,$C734,'Promo Calendar'!$D$6:$D$400,IF($G734="","All",$G734),'Promo Calendar'!$I$6:$I$400,"&lt;="&amp;$A734,'Promo Calendar'!$J$6:$J$400,"&gt;="&amp;$A734,'Promo Calendar'!$G$6:$G$400,"&gt;0")&gt;0,_xlfn.MINIFS('Promo Calendar'!$G$6:$G$400,'Promo Calendar'!$A$6:$A$400,$C734,'Promo Calendar'!$D$6:$D$400,IF($G734="","All",$G734),'Promo Calendar'!$I$6:$I$400,"&lt;="&amp;$A734,'Promo Calendar'!$J$6:$J$400,"&gt;="&amp;$A734,'Promo Calendar'!$G$6:$G$400,"&gt;0"),IF(COUNTIFS('Promo Calendar'!$A$6:$A$400,$C734,'Promo Calendar'!$D$6:$D$400,"All",'Promo Calendar'!$I$6:$I$400,"&lt;="&amp;$A734,'Promo Calendar'!$J$6:$J$400,"&gt;="&amp;$A734,'Promo Calendar'!$G$6:$G$400,"&gt;0")&gt;0,_xlfn.MINIFS('Promo Calendar'!$G$6:$G$400,'Promo Calendar'!$A$6:$A$400,$C734,'Promo Calendar'!$D$6:$D$400,"All",'Promo Calendar'!$I$6:$I$400,"&lt;="&amp;$A734,'Promo Calendar'!$J$6:$J$400,"&gt;="&amp;$A734,'Promo Calendar'!$G$6:$G$400,"&gt;0"),IFERROR(IF(INDEX('Chain Program'!$M$6:$M$120,MATCH($C734,'Chain Program'!$A$6:$A$120,0))="","Not set",INDEX('Chain Program'!$M$6:$M$120,MATCH($C734,'Chain Program'!$A$6:$A$120,0))),"Not set"))))</f>
        <v/>
      </c>
      <c r="I734" s="61" t="n"/>
      <c r="J734" s="45">
        <f>IF($I734="","",IF(NOT(ISNUMBER($H734)),"No plan price",IF(ABS($I734-$H734)&lt;0.005,"Match",IF($I734&gt;$H734,"Over plan","Under plan"))))</f>
        <v/>
      </c>
      <c r="K734" s="60" t="n"/>
      <c r="L734" s="60" t="n"/>
      <c r="M734" s="60" t="n"/>
      <c r="N734" s="60" t="n"/>
      <c r="O734" s="60" t="n"/>
      <c r="P734" s="62" t="n"/>
      <c r="Q734" s="62" t="n"/>
      <c r="R734" s="60" t="n"/>
      <c r="S734" s="59" t="n"/>
      <c r="T734" s="60" t="n"/>
      <c r="U734" s="59" t="n"/>
      <c r="V734" s="45">
        <f>IF(OR($A734="",$T734="",$T734="No Issue"),"",IF($T734="Resolved",IF($U734="","",$U734-$A734),TODAY()-$A734))</f>
        <v/>
      </c>
      <c r="W734" s="47">
        <f>IF(AND($C734&lt;&gt;"",$C734='Store History'!$C$4,OR('Store History'!$C$5="",$F734='Store History'!$C$5)),1,0)</f>
        <v/>
      </c>
      <c r="X734" s="47">
        <f>IF($W734=1,SUM($W734:$W$1005),"")</f>
        <v/>
      </c>
    </row>
    <row r="735">
      <c r="A735" s="59" t="n"/>
      <c r="B735" s="60" t="n"/>
      <c r="C735" s="60" t="n"/>
      <c r="D735" s="45">
        <f>IF($C735="","",IFERROR(INDEX('Chain Program'!$B$6:$B$120,MATCH($C735,'Chain Program'!$A$6:$A$120,0)),"Unknown ID"))</f>
        <v/>
      </c>
      <c r="E735" s="45">
        <f>IF($C735="","",IFERROR(INDEX('Chain Program'!$D$6:$D$120,MATCH($C735,'Chain Program'!$A$6:$A$120,0)),"Unknown ID"))</f>
        <v/>
      </c>
      <c r="F735" s="60" t="n"/>
      <c r="G735" s="60" t="n"/>
      <c r="H735" s="56">
        <f>IF(OR($C735="",$A735=""),"",IF(COUNTIFS('Promo Calendar'!$A$6:$A$400,$C735,'Promo Calendar'!$D$6:$D$400,IF($G735="","All",$G735),'Promo Calendar'!$I$6:$I$400,"&lt;="&amp;$A735,'Promo Calendar'!$J$6:$J$400,"&gt;="&amp;$A735,'Promo Calendar'!$G$6:$G$400,"&gt;0")&gt;0,_xlfn.MINIFS('Promo Calendar'!$G$6:$G$400,'Promo Calendar'!$A$6:$A$400,$C735,'Promo Calendar'!$D$6:$D$400,IF($G735="","All",$G735),'Promo Calendar'!$I$6:$I$400,"&lt;="&amp;$A735,'Promo Calendar'!$J$6:$J$400,"&gt;="&amp;$A735,'Promo Calendar'!$G$6:$G$400,"&gt;0"),IF(COUNTIFS('Promo Calendar'!$A$6:$A$400,$C735,'Promo Calendar'!$D$6:$D$400,"All",'Promo Calendar'!$I$6:$I$400,"&lt;="&amp;$A735,'Promo Calendar'!$J$6:$J$400,"&gt;="&amp;$A735,'Promo Calendar'!$G$6:$G$400,"&gt;0")&gt;0,_xlfn.MINIFS('Promo Calendar'!$G$6:$G$400,'Promo Calendar'!$A$6:$A$400,$C735,'Promo Calendar'!$D$6:$D$400,"All",'Promo Calendar'!$I$6:$I$400,"&lt;="&amp;$A735,'Promo Calendar'!$J$6:$J$400,"&gt;="&amp;$A735,'Promo Calendar'!$G$6:$G$400,"&gt;0"),IFERROR(IF(INDEX('Chain Program'!$M$6:$M$120,MATCH($C735,'Chain Program'!$A$6:$A$120,0))="","Not set",INDEX('Chain Program'!$M$6:$M$120,MATCH($C735,'Chain Program'!$A$6:$A$120,0))),"Not set"))))</f>
        <v/>
      </c>
      <c r="I735" s="61" t="n"/>
      <c r="J735" s="45">
        <f>IF($I735="","",IF(NOT(ISNUMBER($H735)),"No plan price",IF(ABS($I735-$H735)&lt;0.005,"Match",IF($I735&gt;$H735,"Over plan","Under plan"))))</f>
        <v/>
      </c>
      <c r="K735" s="60" t="n"/>
      <c r="L735" s="60" t="n"/>
      <c r="M735" s="60" t="n"/>
      <c r="N735" s="60" t="n"/>
      <c r="O735" s="60" t="n"/>
      <c r="P735" s="62" t="n"/>
      <c r="Q735" s="62" t="n"/>
      <c r="R735" s="60" t="n"/>
      <c r="S735" s="59" t="n"/>
      <c r="T735" s="60" t="n"/>
      <c r="U735" s="59" t="n"/>
      <c r="V735" s="45">
        <f>IF(OR($A735="",$T735="",$T735="No Issue"),"",IF($T735="Resolved",IF($U735="","",$U735-$A735),TODAY()-$A735))</f>
        <v/>
      </c>
      <c r="W735" s="47">
        <f>IF(AND($C735&lt;&gt;"",$C735='Store History'!$C$4,OR('Store History'!$C$5="",$F735='Store History'!$C$5)),1,0)</f>
        <v/>
      </c>
      <c r="X735" s="47">
        <f>IF($W735=1,SUM($W735:$W$1005),"")</f>
        <v/>
      </c>
    </row>
    <row r="736">
      <c r="A736" s="59" t="n"/>
      <c r="B736" s="60" t="n"/>
      <c r="C736" s="60" t="n"/>
      <c r="D736" s="45">
        <f>IF($C736="","",IFERROR(INDEX('Chain Program'!$B$6:$B$120,MATCH($C736,'Chain Program'!$A$6:$A$120,0)),"Unknown ID"))</f>
        <v/>
      </c>
      <c r="E736" s="45">
        <f>IF($C736="","",IFERROR(INDEX('Chain Program'!$D$6:$D$120,MATCH($C736,'Chain Program'!$A$6:$A$120,0)),"Unknown ID"))</f>
        <v/>
      </c>
      <c r="F736" s="60" t="n"/>
      <c r="G736" s="60" t="n"/>
      <c r="H736" s="56">
        <f>IF(OR($C736="",$A736=""),"",IF(COUNTIFS('Promo Calendar'!$A$6:$A$400,$C736,'Promo Calendar'!$D$6:$D$400,IF($G736="","All",$G736),'Promo Calendar'!$I$6:$I$400,"&lt;="&amp;$A736,'Promo Calendar'!$J$6:$J$400,"&gt;="&amp;$A736,'Promo Calendar'!$G$6:$G$400,"&gt;0")&gt;0,_xlfn.MINIFS('Promo Calendar'!$G$6:$G$400,'Promo Calendar'!$A$6:$A$400,$C736,'Promo Calendar'!$D$6:$D$400,IF($G736="","All",$G736),'Promo Calendar'!$I$6:$I$400,"&lt;="&amp;$A736,'Promo Calendar'!$J$6:$J$400,"&gt;="&amp;$A736,'Promo Calendar'!$G$6:$G$400,"&gt;0"),IF(COUNTIFS('Promo Calendar'!$A$6:$A$400,$C736,'Promo Calendar'!$D$6:$D$400,"All",'Promo Calendar'!$I$6:$I$400,"&lt;="&amp;$A736,'Promo Calendar'!$J$6:$J$400,"&gt;="&amp;$A736,'Promo Calendar'!$G$6:$G$400,"&gt;0")&gt;0,_xlfn.MINIFS('Promo Calendar'!$G$6:$G$400,'Promo Calendar'!$A$6:$A$400,$C736,'Promo Calendar'!$D$6:$D$400,"All",'Promo Calendar'!$I$6:$I$400,"&lt;="&amp;$A736,'Promo Calendar'!$J$6:$J$400,"&gt;="&amp;$A736,'Promo Calendar'!$G$6:$G$400,"&gt;0"),IFERROR(IF(INDEX('Chain Program'!$M$6:$M$120,MATCH($C736,'Chain Program'!$A$6:$A$120,0))="","Not set",INDEX('Chain Program'!$M$6:$M$120,MATCH($C736,'Chain Program'!$A$6:$A$120,0))),"Not set"))))</f>
        <v/>
      </c>
      <c r="I736" s="61" t="n"/>
      <c r="J736" s="45">
        <f>IF($I736="","",IF(NOT(ISNUMBER($H736)),"No plan price",IF(ABS($I736-$H736)&lt;0.005,"Match",IF($I736&gt;$H736,"Over plan","Under plan"))))</f>
        <v/>
      </c>
      <c r="K736" s="60" t="n"/>
      <c r="L736" s="60" t="n"/>
      <c r="M736" s="60" t="n"/>
      <c r="N736" s="60" t="n"/>
      <c r="O736" s="60" t="n"/>
      <c r="P736" s="62" t="n"/>
      <c r="Q736" s="62" t="n"/>
      <c r="R736" s="60" t="n"/>
      <c r="S736" s="59" t="n"/>
      <c r="T736" s="60" t="n"/>
      <c r="U736" s="59" t="n"/>
      <c r="V736" s="45">
        <f>IF(OR($A736="",$T736="",$T736="No Issue"),"",IF($T736="Resolved",IF($U736="","",$U736-$A736),TODAY()-$A736))</f>
        <v/>
      </c>
      <c r="W736" s="47">
        <f>IF(AND($C736&lt;&gt;"",$C736='Store History'!$C$4,OR('Store History'!$C$5="",$F736='Store History'!$C$5)),1,0)</f>
        <v/>
      </c>
      <c r="X736" s="47">
        <f>IF($W736=1,SUM($W736:$W$1005),"")</f>
        <v/>
      </c>
    </row>
    <row r="737">
      <c r="A737" s="59" t="n"/>
      <c r="B737" s="60" t="n"/>
      <c r="C737" s="60" t="n"/>
      <c r="D737" s="45">
        <f>IF($C737="","",IFERROR(INDEX('Chain Program'!$B$6:$B$120,MATCH($C737,'Chain Program'!$A$6:$A$120,0)),"Unknown ID"))</f>
        <v/>
      </c>
      <c r="E737" s="45">
        <f>IF($C737="","",IFERROR(INDEX('Chain Program'!$D$6:$D$120,MATCH($C737,'Chain Program'!$A$6:$A$120,0)),"Unknown ID"))</f>
        <v/>
      </c>
      <c r="F737" s="60" t="n"/>
      <c r="G737" s="60" t="n"/>
      <c r="H737" s="56">
        <f>IF(OR($C737="",$A737=""),"",IF(COUNTIFS('Promo Calendar'!$A$6:$A$400,$C737,'Promo Calendar'!$D$6:$D$400,IF($G737="","All",$G737),'Promo Calendar'!$I$6:$I$400,"&lt;="&amp;$A737,'Promo Calendar'!$J$6:$J$400,"&gt;="&amp;$A737,'Promo Calendar'!$G$6:$G$400,"&gt;0")&gt;0,_xlfn.MINIFS('Promo Calendar'!$G$6:$G$400,'Promo Calendar'!$A$6:$A$400,$C737,'Promo Calendar'!$D$6:$D$400,IF($G737="","All",$G737),'Promo Calendar'!$I$6:$I$400,"&lt;="&amp;$A737,'Promo Calendar'!$J$6:$J$400,"&gt;="&amp;$A737,'Promo Calendar'!$G$6:$G$400,"&gt;0"),IF(COUNTIFS('Promo Calendar'!$A$6:$A$400,$C737,'Promo Calendar'!$D$6:$D$400,"All",'Promo Calendar'!$I$6:$I$400,"&lt;="&amp;$A737,'Promo Calendar'!$J$6:$J$400,"&gt;="&amp;$A737,'Promo Calendar'!$G$6:$G$400,"&gt;0")&gt;0,_xlfn.MINIFS('Promo Calendar'!$G$6:$G$400,'Promo Calendar'!$A$6:$A$400,$C737,'Promo Calendar'!$D$6:$D$400,"All",'Promo Calendar'!$I$6:$I$400,"&lt;="&amp;$A737,'Promo Calendar'!$J$6:$J$400,"&gt;="&amp;$A737,'Promo Calendar'!$G$6:$G$400,"&gt;0"),IFERROR(IF(INDEX('Chain Program'!$M$6:$M$120,MATCH($C737,'Chain Program'!$A$6:$A$120,0))="","Not set",INDEX('Chain Program'!$M$6:$M$120,MATCH($C737,'Chain Program'!$A$6:$A$120,0))),"Not set"))))</f>
        <v/>
      </c>
      <c r="I737" s="61" t="n"/>
      <c r="J737" s="45">
        <f>IF($I737="","",IF(NOT(ISNUMBER($H737)),"No plan price",IF(ABS($I737-$H737)&lt;0.005,"Match",IF($I737&gt;$H737,"Over plan","Under plan"))))</f>
        <v/>
      </c>
      <c r="K737" s="60" t="n"/>
      <c r="L737" s="60" t="n"/>
      <c r="M737" s="60" t="n"/>
      <c r="N737" s="60" t="n"/>
      <c r="O737" s="60" t="n"/>
      <c r="P737" s="62" t="n"/>
      <c r="Q737" s="62" t="n"/>
      <c r="R737" s="60" t="n"/>
      <c r="S737" s="59" t="n"/>
      <c r="T737" s="60" t="n"/>
      <c r="U737" s="59" t="n"/>
      <c r="V737" s="45">
        <f>IF(OR($A737="",$T737="",$T737="No Issue"),"",IF($T737="Resolved",IF($U737="","",$U737-$A737),TODAY()-$A737))</f>
        <v/>
      </c>
      <c r="W737" s="47">
        <f>IF(AND($C737&lt;&gt;"",$C737='Store History'!$C$4,OR('Store History'!$C$5="",$F737='Store History'!$C$5)),1,0)</f>
        <v/>
      </c>
      <c r="X737" s="47">
        <f>IF($W737=1,SUM($W737:$W$1005),"")</f>
        <v/>
      </c>
    </row>
    <row r="738">
      <c r="A738" s="59" t="n"/>
      <c r="B738" s="60" t="n"/>
      <c r="C738" s="60" t="n"/>
      <c r="D738" s="45">
        <f>IF($C738="","",IFERROR(INDEX('Chain Program'!$B$6:$B$120,MATCH($C738,'Chain Program'!$A$6:$A$120,0)),"Unknown ID"))</f>
        <v/>
      </c>
      <c r="E738" s="45">
        <f>IF($C738="","",IFERROR(INDEX('Chain Program'!$D$6:$D$120,MATCH($C738,'Chain Program'!$A$6:$A$120,0)),"Unknown ID"))</f>
        <v/>
      </c>
      <c r="F738" s="60" t="n"/>
      <c r="G738" s="60" t="n"/>
      <c r="H738" s="56">
        <f>IF(OR($C738="",$A738=""),"",IF(COUNTIFS('Promo Calendar'!$A$6:$A$400,$C738,'Promo Calendar'!$D$6:$D$400,IF($G738="","All",$G738),'Promo Calendar'!$I$6:$I$400,"&lt;="&amp;$A738,'Promo Calendar'!$J$6:$J$400,"&gt;="&amp;$A738,'Promo Calendar'!$G$6:$G$400,"&gt;0")&gt;0,_xlfn.MINIFS('Promo Calendar'!$G$6:$G$400,'Promo Calendar'!$A$6:$A$400,$C738,'Promo Calendar'!$D$6:$D$400,IF($G738="","All",$G738),'Promo Calendar'!$I$6:$I$400,"&lt;="&amp;$A738,'Promo Calendar'!$J$6:$J$400,"&gt;="&amp;$A738,'Promo Calendar'!$G$6:$G$400,"&gt;0"),IF(COUNTIFS('Promo Calendar'!$A$6:$A$400,$C738,'Promo Calendar'!$D$6:$D$400,"All",'Promo Calendar'!$I$6:$I$400,"&lt;="&amp;$A738,'Promo Calendar'!$J$6:$J$400,"&gt;="&amp;$A738,'Promo Calendar'!$G$6:$G$400,"&gt;0")&gt;0,_xlfn.MINIFS('Promo Calendar'!$G$6:$G$400,'Promo Calendar'!$A$6:$A$400,$C738,'Promo Calendar'!$D$6:$D$400,"All",'Promo Calendar'!$I$6:$I$400,"&lt;="&amp;$A738,'Promo Calendar'!$J$6:$J$400,"&gt;="&amp;$A738,'Promo Calendar'!$G$6:$G$400,"&gt;0"),IFERROR(IF(INDEX('Chain Program'!$M$6:$M$120,MATCH($C738,'Chain Program'!$A$6:$A$120,0))="","Not set",INDEX('Chain Program'!$M$6:$M$120,MATCH($C738,'Chain Program'!$A$6:$A$120,0))),"Not set"))))</f>
        <v/>
      </c>
      <c r="I738" s="61" t="n"/>
      <c r="J738" s="45">
        <f>IF($I738="","",IF(NOT(ISNUMBER($H738)),"No plan price",IF(ABS($I738-$H738)&lt;0.005,"Match",IF($I738&gt;$H738,"Over plan","Under plan"))))</f>
        <v/>
      </c>
      <c r="K738" s="60" t="n"/>
      <c r="L738" s="60" t="n"/>
      <c r="M738" s="60" t="n"/>
      <c r="N738" s="60" t="n"/>
      <c r="O738" s="60" t="n"/>
      <c r="P738" s="62" t="n"/>
      <c r="Q738" s="62" t="n"/>
      <c r="R738" s="60" t="n"/>
      <c r="S738" s="59" t="n"/>
      <c r="T738" s="60" t="n"/>
      <c r="U738" s="59" t="n"/>
      <c r="V738" s="45">
        <f>IF(OR($A738="",$T738="",$T738="No Issue"),"",IF($T738="Resolved",IF($U738="","",$U738-$A738),TODAY()-$A738))</f>
        <v/>
      </c>
      <c r="W738" s="47">
        <f>IF(AND($C738&lt;&gt;"",$C738='Store History'!$C$4,OR('Store History'!$C$5="",$F738='Store History'!$C$5)),1,0)</f>
        <v/>
      </c>
      <c r="X738" s="47">
        <f>IF($W738=1,SUM($W738:$W$1005),"")</f>
        <v/>
      </c>
    </row>
    <row r="739">
      <c r="A739" s="59" t="n"/>
      <c r="B739" s="60" t="n"/>
      <c r="C739" s="60" t="n"/>
      <c r="D739" s="45">
        <f>IF($C739="","",IFERROR(INDEX('Chain Program'!$B$6:$B$120,MATCH($C739,'Chain Program'!$A$6:$A$120,0)),"Unknown ID"))</f>
        <v/>
      </c>
      <c r="E739" s="45">
        <f>IF($C739="","",IFERROR(INDEX('Chain Program'!$D$6:$D$120,MATCH($C739,'Chain Program'!$A$6:$A$120,0)),"Unknown ID"))</f>
        <v/>
      </c>
      <c r="F739" s="60" t="n"/>
      <c r="G739" s="60" t="n"/>
      <c r="H739" s="56">
        <f>IF(OR($C739="",$A739=""),"",IF(COUNTIFS('Promo Calendar'!$A$6:$A$400,$C739,'Promo Calendar'!$D$6:$D$400,IF($G739="","All",$G739),'Promo Calendar'!$I$6:$I$400,"&lt;="&amp;$A739,'Promo Calendar'!$J$6:$J$400,"&gt;="&amp;$A739,'Promo Calendar'!$G$6:$G$400,"&gt;0")&gt;0,_xlfn.MINIFS('Promo Calendar'!$G$6:$G$400,'Promo Calendar'!$A$6:$A$400,$C739,'Promo Calendar'!$D$6:$D$400,IF($G739="","All",$G739),'Promo Calendar'!$I$6:$I$400,"&lt;="&amp;$A739,'Promo Calendar'!$J$6:$J$400,"&gt;="&amp;$A739,'Promo Calendar'!$G$6:$G$400,"&gt;0"),IF(COUNTIFS('Promo Calendar'!$A$6:$A$400,$C739,'Promo Calendar'!$D$6:$D$400,"All",'Promo Calendar'!$I$6:$I$400,"&lt;="&amp;$A739,'Promo Calendar'!$J$6:$J$400,"&gt;="&amp;$A739,'Promo Calendar'!$G$6:$G$400,"&gt;0")&gt;0,_xlfn.MINIFS('Promo Calendar'!$G$6:$G$400,'Promo Calendar'!$A$6:$A$400,$C739,'Promo Calendar'!$D$6:$D$400,"All",'Promo Calendar'!$I$6:$I$400,"&lt;="&amp;$A739,'Promo Calendar'!$J$6:$J$400,"&gt;="&amp;$A739,'Promo Calendar'!$G$6:$G$400,"&gt;0"),IFERROR(IF(INDEX('Chain Program'!$M$6:$M$120,MATCH($C739,'Chain Program'!$A$6:$A$120,0))="","Not set",INDEX('Chain Program'!$M$6:$M$120,MATCH($C739,'Chain Program'!$A$6:$A$120,0))),"Not set"))))</f>
        <v/>
      </c>
      <c r="I739" s="61" t="n"/>
      <c r="J739" s="45">
        <f>IF($I739="","",IF(NOT(ISNUMBER($H739)),"No plan price",IF(ABS($I739-$H739)&lt;0.005,"Match",IF($I739&gt;$H739,"Over plan","Under plan"))))</f>
        <v/>
      </c>
      <c r="K739" s="60" t="n"/>
      <c r="L739" s="60" t="n"/>
      <c r="M739" s="60" t="n"/>
      <c r="N739" s="60" t="n"/>
      <c r="O739" s="60" t="n"/>
      <c r="P739" s="62" t="n"/>
      <c r="Q739" s="62" t="n"/>
      <c r="R739" s="60" t="n"/>
      <c r="S739" s="59" t="n"/>
      <c r="T739" s="60" t="n"/>
      <c r="U739" s="59" t="n"/>
      <c r="V739" s="45">
        <f>IF(OR($A739="",$T739="",$T739="No Issue"),"",IF($T739="Resolved",IF($U739="","",$U739-$A739),TODAY()-$A739))</f>
        <v/>
      </c>
      <c r="W739" s="47">
        <f>IF(AND($C739&lt;&gt;"",$C739='Store History'!$C$4,OR('Store History'!$C$5="",$F739='Store History'!$C$5)),1,0)</f>
        <v/>
      </c>
      <c r="X739" s="47">
        <f>IF($W739=1,SUM($W739:$W$1005),"")</f>
        <v/>
      </c>
    </row>
    <row r="740">
      <c r="A740" s="59" t="n"/>
      <c r="B740" s="60" t="n"/>
      <c r="C740" s="60" t="n"/>
      <c r="D740" s="45">
        <f>IF($C740="","",IFERROR(INDEX('Chain Program'!$B$6:$B$120,MATCH($C740,'Chain Program'!$A$6:$A$120,0)),"Unknown ID"))</f>
        <v/>
      </c>
      <c r="E740" s="45">
        <f>IF($C740="","",IFERROR(INDEX('Chain Program'!$D$6:$D$120,MATCH($C740,'Chain Program'!$A$6:$A$120,0)),"Unknown ID"))</f>
        <v/>
      </c>
      <c r="F740" s="60" t="n"/>
      <c r="G740" s="60" t="n"/>
      <c r="H740" s="56">
        <f>IF(OR($C740="",$A740=""),"",IF(COUNTIFS('Promo Calendar'!$A$6:$A$400,$C740,'Promo Calendar'!$D$6:$D$400,IF($G740="","All",$G740),'Promo Calendar'!$I$6:$I$400,"&lt;="&amp;$A740,'Promo Calendar'!$J$6:$J$400,"&gt;="&amp;$A740,'Promo Calendar'!$G$6:$G$400,"&gt;0")&gt;0,_xlfn.MINIFS('Promo Calendar'!$G$6:$G$400,'Promo Calendar'!$A$6:$A$400,$C740,'Promo Calendar'!$D$6:$D$400,IF($G740="","All",$G740),'Promo Calendar'!$I$6:$I$400,"&lt;="&amp;$A740,'Promo Calendar'!$J$6:$J$400,"&gt;="&amp;$A740,'Promo Calendar'!$G$6:$G$400,"&gt;0"),IF(COUNTIFS('Promo Calendar'!$A$6:$A$400,$C740,'Promo Calendar'!$D$6:$D$400,"All",'Promo Calendar'!$I$6:$I$400,"&lt;="&amp;$A740,'Promo Calendar'!$J$6:$J$400,"&gt;="&amp;$A740,'Promo Calendar'!$G$6:$G$400,"&gt;0")&gt;0,_xlfn.MINIFS('Promo Calendar'!$G$6:$G$400,'Promo Calendar'!$A$6:$A$400,$C740,'Promo Calendar'!$D$6:$D$400,"All",'Promo Calendar'!$I$6:$I$400,"&lt;="&amp;$A740,'Promo Calendar'!$J$6:$J$400,"&gt;="&amp;$A740,'Promo Calendar'!$G$6:$G$400,"&gt;0"),IFERROR(IF(INDEX('Chain Program'!$M$6:$M$120,MATCH($C740,'Chain Program'!$A$6:$A$120,0))="","Not set",INDEX('Chain Program'!$M$6:$M$120,MATCH($C740,'Chain Program'!$A$6:$A$120,0))),"Not set"))))</f>
        <v/>
      </c>
      <c r="I740" s="61" t="n"/>
      <c r="J740" s="45">
        <f>IF($I740="","",IF(NOT(ISNUMBER($H740)),"No plan price",IF(ABS($I740-$H740)&lt;0.005,"Match",IF($I740&gt;$H740,"Over plan","Under plan"))))</f>
        <v/>
      </c>
      <c r="K740" s="60" t="n"/>
      <c r="L740" s="60" t="n"/>
      <c r="M740" s="60" t="n"/>
      <c r="N740" s="60" t="n"/>
      <c r="O740" s="60" t="n"/>
      <c r="P740" s="62" t="n"/>
      <c r="Q740" s="62" t="n"/>
      <c r="R740" s="60" t="n"/>
      <c r="S740" s="59" t="n"/>
      <c r="T740" s="60" t="n"/>
      <c r="U740" s="59" t="n"/>
      <c r="V740" s="45">
        <f>IF(OR($A740="",$T740="",$T740="No Issue"),"",IF($T740="Resolved",IF($U740="","",$U740-$A740),TODAY()-$A740))</f>
        <v/>
      </c>
      <c r="W740" s="47">
        <f>IF(AND($C740&lt;&gt;"",$C740='Store History'!$C$4,OR('Store History'!$C$5="",$F740='Store History'!$C$5)),1,0)</f>
        <v/>
      </c>
      <c r="X740" s="47">
        <f>IF($W740=1,SUM($W740:$W$1005),"")</f>
        <v/>
      </c>
    </row>
    <row r="741">
      <c r="A741" s="59" t="n"/>
      <c r="B741" s="60" t="n"/>
      <c r="C741" s="60" t="n"/>
      <c r="D741" s="45">
        <f>IF($C741="","",IFERROR(INDEX('Chain Program'!$B$6:$B$120,MATCH($C741,'Chain Program'!$A$6:$A$120,0)),"Unknown ID"))</f>
        <v/>
      </c>
      <c r="E741" s="45">
        <f>IF($C741="","",IFERROR(INDEX('Chain Program'!$D$6:$D$120,MATCH($C741,'Chain Program'!$A$6:$A$120,0)),"Unknown ID"))</f>
        <v/>
      </c>
      <c r="F741" s="60" t="n"/>
      <c r="G741" s="60" t="n"/>
      <c r="H741" s="56">
        <f>IF(OR($C741="",$A741=""),"",IF(COUNTIFS('Promo Calendar'!$A$6:$A$400,$C741,'Promo Calendar'!$D$6:$D$400,IF($G741="","All",$G741),'Promo Calendar'!$I$6:$I$400,"&lt;="&amp;$A741,'Promo Calendar'!$J$6:$J$400,"&gt;="&amp;$A741,'Promo Calendar'!$G$6:$G$400,"&gt;0")&gt;0,_xlfn.MINIFS('Promo Calendar'!$G$6:$G$400,'Promo Calendar'!$A$6:$A$400,$C741,'Promo Calendar'!$D$6:$D$400,IF($G741="","All",$G741),'Promo Calendar'!$I$6:$I$400,"&lt;="&amp;$A741,'Promo Calendar'!$J$6:$J$400,"&gt;="&amp;$A741,'Promo Calendar'!$G$6:$G$400,"&gt;0"),IF(COUNTIFS('Promo Calendar'!$A$6:$A$400,$C741,'Promo Calendar'!$D$6:$D$400,"All",'Promo Calendar'!$I$6:$I$400,"&lt;="&amp;$A741,'Promo Calendar'!$J$6:$J$400,"&gt;="&amp;$A741,'Promo Calendar'!$G$6:$G$400,"&gt;0")&gt;0,_xlfn.MINIFS('Promo Calendar'!$G$6:$G$400,'Promo Calendar'!$A$6:$A$400,$C741,'Promo Calendar'!$D$6:$D$400,"All",'Promo Calendar'!$I$6:$I$400,"&lt;="&amp;$A741,'Promo Calendar'!$J$6:$J$400,"&gt;="&amp;$A741,'Promo Calendar'!$G$6:$G$400,"&gt;0"),IFERROR(IF(INDEX('Chain Program'!$M$6:$M$120,MATCH($C741,'Chain Program'!$A$6:$A$120,0))="","Not set",INDEX('Chain Program'!$M$6:$M$120,MATCH($C741,'Chain Program'!$A$6:$A$120,0))),"Not set"))))</f>
        <v/>
      </c>
      <c r="I741" s="61" t="n"/>
      <c r="J741" s="45">
        <f>IF($I741="","",IF(NOT(ISNUMBER($H741)),"No plan price",IF(ABS($I741-$H741)&lt;0.005,"Match",IF($I741&gt;$H741,"Over plan","Under plan"))))</f>
        <v/>
      </c>
      <c r="K741" s="60" t="n"/>
      <c r="L741" s="60" t="n"/>
      <c r="M741" s="60" t="n"/>
      <c r="N741" s="60" t="n"/>
      <c r="O741" s="60" t="n"/>
      <c r="P741" s="62" t="n"/>
      <c r="Q741" s="62" t="n"/>
      <c r="R741" s="60" t="n"/>
      <c r="S741" s="59" t="n"/>
      <c r="T741" s="60" t="n"/>
      <c r="U741" s="59" t="n"/>
      <c r="V741" s="45">
        <f>IF(OR($A741="",$T741="",$T741="No Issue"),"",IF($T741="Resolved",IF($U741="","",$U741-$A741),TODAY()-$A741))</f>
        <v/>
      </c>
      <c r="W741" s="47">
        <f>IF(AND($C741&lt;&gt;"",$C741='Store History'!$C$4,OR('Store History'!$C$5="",$F741='Store History'!$C$5)),1,0)</f>
        <v/>
      </c>
      <c r="X741" s="47">
        <f>IF($W741=1,SUM($W741:$W$1005),"")</f>
        <v/>
      </c>
    </row>
    <row r="742">
      <c r="A742" s="59" t="n"/>
      <c r="B742" s="60" t="n"/>
      <c r="C742" s="60" t="n"/>
      <c r="D742" s="45">
        <f>IF($C742="","",IFERROR(INDEX('Chain Program'!$B$6:$B$120,MATCH($C742,'Chain Program'!$A$6:$A$120,0)),"Unknown ID"))</f>
        <v/>
      </c>
      <c r="E742" s="45">
        <f>IF($C742="","",IFERROR(INDEX('Chain Program'!$D$6:$D$120,MATCH($C742,'Chain Program'!$A$6:$A$120,0)),"Unknown ID"))</f>
        <v/>
      </c>
      <c r="F742" s="60" t="n"/>
      <c r="G742" s="60" t="n"/>
      <c r="H742" s="56">
        <f>IF(OR($C742="",$A742=""),"",IF(COUNTIFS('Promo Calendar'!$A$6:$A$400,$C742,'Promo Calendar'!$D$6:$D$400,IF($G742="","All",$G742),'Promo Calendar'!$I$6:$I$400,"&lt;="&amp;$A742,'Promo Calendar'!$J$6:$J$400,"&gt;="&amp;$A742,'Promo Calendar'!$G$6:$G$400,"&gt;0")&gt;0,_xlfn.MINIFS('Promo Calendar'!$G$6:$G$400,'Promo Calendar'!$A$6:$A$400,$C742,'Promo Calendar'!$D$6:$D$400,IF($G742="","All",$G742),'Promo Calendar'!$I$6:$I$400,"&lt;="&amp;$A742,'Promo Calendar'!$J$6:$J$400,"&gt;="&amp;$A742,'Promo Calendar'!$G$6:$G$400,"&gt;0"),IF(COUNTIFS('Promo Calendar'!$A$6:$A$400,$C742,'Promo Calendar'!$D$6:$D$400,"All",'Promo Calendar'!$I$6:$I$400,"&lt;="&amp;$A742,'Promo Calendar'!$J$6:$J$400,"&gt;="&amp;$A742,'Promo Calendar'!$G$6:$G$400,"&gt;0")&gt;0,_xlfn.MINIFS('Promo Calendar'!$G$6:$G$400,'Promo Calendar'!$A$6:$A$400,$C742,'Promo Calendar'!$D$6:$D$400,"All",'Promo Calendar'!$I$6:$I$400,"&lt;="&amp;$A742,'Promo Calendar'!$J$6:$J$400,"&gt;="&amp;$A742,'Promo Calendar'!$G$6:$G$400,"&gt;0"),IFERROR(IF(INDEX('Chain Program'!$M$6:$M$120,MATCH($C742,'Chain Program'!$A$6:$A$120,0))="","Not set",INDEX('Chain Program'!$M$6:$M$120,MATCH($C742,'Chain Program'!$A$6:$A$120,0))),"Not set"))))</f>
        <v/>
      </c>
      <c r="I742" s="61" t="n"/>
      <c r="J742" s="45">
        <f>IF($I742="","",IF(NOT(ISNUMBER($H742)),"No plan price",IF(ABS($I742-$H742)&lt;0.005,"Match",IF($I742&gt;$H742,"Over plan","Under plan"))))</f>
        <v/>
      </c>
      <c r="K742" s="60" t="n"/>
      <c r="L742" s="60" t="n"/>
      <c r="M742" s="60" t="n"/>
      <c r="N742" s="60" t="n"/>
      <c r="O742" s="60" t="n"/>
      <c r="P742" s="62" t="n"/>
      <c r="Q742" s="62" t="n"/>
      <c r="R742" s="60" t="n"/>
      <c r="S742" s="59" t="n"/>
      <c r="T742" s="60" t="n"/>
      <c r="U742" s="59" t="n"/>
      <c r="V742" s="45">
        <f>IF(OR($A742="",$T742="",$T742="No Issue"),"",IF($T742="Resolved",IF($U742="","",$U742-$A742),TODAY()-$A742))</f>
        <v/>
      </c>
      <c r="W742" s="47">
        <f>IF(AND($C742&lt;&gt;"",$C742='Store History'!$C$4,OR('Store History'!$C$5="",$F742='Store History'!$C$5)),1,0)</f>
        <v/>
      </c>
      <c r="X742" s="47">
        <f>IF($W742=1,SUM($W742:$W$1005),"")</f>
        <v/>
      </c>
    </row>
    <row r="743">
      <c r="A743" s="59" t="n"/>
      <c r="B743" s="60" t="n"/>
      <c r="C743" s="60" t="n"/>
      <c r="D743" s="45">
        <f>IF($C743="","",IFERROR(INDEX('Chain Program'!$B$6:$B$120,MATCH($C743,'Chain Program'!$A$6:$A$120,0)),"Unknown ID"))</f>
        <v/>
      </c>
      <c r="E743" s="45">
        <f>IF($C743="","",IFERROR(INDEX('Chain Program'!$D$6:$D$120,MATCH($C743,'Chain Program'!$A$6:$A$120,0)),"Unknown ID"))</f>
        <v/>
      </c>
      <c r="F743" s="60" t="n"/>
      <c r="G743" s="60" t="n"/>
      <c r="H743" s="56">
        <f>IF(OR($C743="",$A743=""),"",IF(COUNTIFS('Promo Calendar'!$A$6:$A$400,$C743,'Promo Calendar'!$D$6:$D$400,IF($G743="","All",$G743),'Promo Calendar'!$I$6:$I$400,"&lt;="&amp;$A743,'Promo Calendar'!$J$6:$J$400,"&gt;="&amp;$A743,'Promo Calendar'!$G$6:$G$400,"&gt;0")&gt;0,_xlfn.MINIFS('Promo Calendar'!$G$6:$G$400,'Promo Calendar'!$A$6:$A$400,$C743,'Promo Calendar'!$D$6:$D$400,IF($G743="","All",$G743),'Promo Calendar'!$I$6:$I$400,"&lt;="&amp;$A743,'Promo Calendar'!$J$6:$J$400,"&gt;="&amp;$A743,'Promo Calendar'!$G$6:$G$400,"&gt;0"),IF(COUNTIFS('Promo Calendar'!$A$6:$A$400,$C743,'Promo Calendar'!$D$6:$D$400,"All",'Promo Calendar'!$I$6:$I$400,"&lt;="&amp;$A743,'Promo Calendar'!$J$6:$J$400,"&gt;="&amp;$A743,'Promo Calendar'!$G$6:$G$400,"&gt;0")&gt;0,_xlfn.MINIFS('Promo Calendar'!$G$6:$G$400,'Promo Calendar'!$A$6:$A$400,$C743,'Promo Calendar'!$D$6:$D$400,"All",'Promo Calendar'!$I$6:$I$400,"&lt;="&amp;$A743,'Promo Calendar'!$J$6:$J$400,"&gt;="&amp;$A743,'Promo Calendar'!$G$6:$G$400,"&gt;0"),IFERROR(IF(INDEX('Chain Program'!$M$6:$M$120,MATCH($C743,'Chain Program'!$A$6:$A$120,0))="","Not set",INDEX('Chain Program'!$M$6:$M$120,MATCH($C743,'Chain Program'!$A$6:$A$120,0))),"Not set"))))</f>
        <v/>
      </c>
      <c r="I743" s="61" t="n"/>
      <c r="J743" s="45">
        <f>IF($I743="","",IF(NOT(ISNUMBER($H743)),"No plan price",IF(ABS($I743-$H743)&lt;0.005,"Match",IF($I743&gt;$H743,"Over plan","Under plan"))))</f>
        <v/>
      </c>
      <c r="K743" s="60" t="n"/>
      <c r="L743" s="60" t="n"/>
      <c r="M743" s="60" t="n"/>
      <c r="N743" s="60" t="n"/>
      <c r="O743" s="60" t="n"/>
      <c r="P743" s="62" t="n"/>
      <c r="Q743" s="62" t="n"/>
      <c r="R743" s="60" t="n"/>
      <c r="S743" s="59" t="n"/>
      <c r="T743" s="60" t="n"/>
      <c r="U743" s="59" t="n"/>
      <c r="V743" s="45">
        <f>IF(OR($A743="",$T743="",$T743="No Issue"),"",IF($T743="Resolved",IF($U743="","",$U743-$A743),TODAY()-$A743))</f>
        <v/>
      </c>
      <c r="W743" s="47">
        <f>IF(AND($C743&lt;&gt;"",$C743='Store History'!$C$4,OR('Store History'!$C$5="",$F743='Store History'!$C$5)),1,0)</f>
        <v/>
      </c>
      <c r="X743" s="47">
        <f>IF($W743=1,SUM($W743:$W$1005),"")</f>
        <v/>
      </c>
    </row>
    <row r="744">
      <c r="A744" s="59" t="n"/>
      <c r="B744" s="60" t="n"/>
      <c r="C744" s="60" t="n"/>
      <c r="D744" s="45">
        <f>IF($C744="","",IFERROR(INDEX('Chain Program'!$B$6:$B$120,MATCH($C744,'Chain Program'!$A$6:$A$120,0)),"Unknown ID"))</f>
        <v/>
      </c>
      <c r="E744" s="45">
        <f>IF($C744="","",IFERROR(INDEX('Chain Program'!$D$6:$D$120,MATCH($C744,'Chain Program'!$A$6:$A$120,0)),"Unknown ID"))</f>
        <v/>
      </c>
      <c r="F744" s="60" t="n"/>
      <c r="G744" s="60" t="n"/>
      <c r="H744" s="56">
        <f>IF(OR($C744="",$A744=""),"",IF(COUNTIFS('Promo Calendar'!$A$6:$A$400,$C744,'Promo Calendar'!$D$6:$D$400,IF($G744="","All",$G744),'Promo Calendar'!$I$6:$I$400,"&lt;="&amp;$A744,'Promo Calendar'!$J$6:$J$400,"&gt;="&amp;$A744,'Promo Calendar'!$G$6:$G$400,"&gt;0")&gt;0,_xlfn.MINIFS('Promo Calendar'!$G$6:$G$400,'Promo Calendar'!$A$6:$A$400,$C744,'Promo Calendar'!$D$6:$D$400,IF($G744="","All",$G744),'Promo Calendar'!$I$6:$I$400,"&lt;="&amp;$A744,'Promo Calendar'!$J$6:$J$400,"&gt;="&amp;$A744,'Promo Calendar'!$G$6:$G$400,"&gt;0"),IF(COUNTIFS('Promo Calendar'!$A$6:$A$400,$C744,'Promo Calendar'!$D$6:$D$400,"All",'Promo Calendar'!$I$6:$I$400,"&lt;="&amp;$A744,'Promo Calendar'!$J$6:$J$400,"&gt;="&amp;$A744,'Promo Calendar'!$G$6:$G$400,"&gt;0")&gt;0,_xlfn.MINIFS('Promo Calendar'!$G$6:$G$400,'Promo Calendar'!$A$6:$A$400,$C744,'Promo Calendar'!$D$6:$D$400,"All",'Promo Calendar'!$I$6:$I$400,"&lt;="&amp;$A744,'Promo Calendar'!$J$6:$J$400,"&gt;="&amp;$A744,'Promo Calendar'!$G$6:$G$400,"&gt;0"),IFERROR(IF(INDEX('Chain Program'!$M$6:$M$120,MATCH($C744,'Chain Program'!$A$6:$A$120,0))="","Not set",INDEX('Chain Program'!$M$6:$M$120,MATCH($C744,'Chain Program'!$A$6:$A$120,0))),"Not set"))))</f>
        <v/>
      </c>
      <c r="I744" s="61" t="n"/>
      <c r="J744" s="45">
        <f>IF($I744="","",IF(NOT(ISNUMBER($H744)),"No plan price",IF(ABS($I744-$H744)&lt;0.005,"Match",IF($I744&gt;$H744,"Over plan","Under plan"))))</f>
        <v/>
      </c>
      <c r="K744" s="60" t="n"/>
      <c r="L744" s="60" t="n"/>
      <c r="M744" s="60" t="n"/>
      <c r="N744" s="60" t="n"/>
      <c r="O744" s="60" t="n"/>
      <c r="P744" s="62" t="n"/>
      <c r="Q744" s="62" t="n"/>
      <c r="R744" s="60" t="n"/>
      <c r="S744" s="59" t="n"/>
      <c r="T744" s="60" t="n"/>
      <c r="U744" s="59" t="n"/>
      <c r="V744" s="45">
        <f>IF(OR($A744="",$T744="",$T744="No Issue"),"",IF($T744="Resolved",IF($U744="","",$U744-$A744),TODAY()-$A744))</f>
        <v/>
      </c>
      <c r="W744" s="47">
        <f>IF(AND($C744&lt;&gt;"",$C744='Store History'!$C$4,OR('Store History'!$C$5="",$F744='Store History'!$C$5)),1,0)</f>
        <v/>
      </c>
      <c r="X744" s="47">
        <f>IF($W744=1,SUM($W744:$W$1005),"")</f>
        <v/>
      </c>
    </row>
    <row r="745">
      <c r="A745" s="59" t="n"/>
      <c r="B745" s="60" t="n"/>
      <c r="C745" s="60" t="n"/>
      <c r="D745" s="45">
        <f>IF($C745="","",IFERROR(INDEX('Chain Program'!$B$6:$B$120,MATCH($C745,'Chain Program'!$A$6:$A$120,0)),"Unknown ID"))</f>
        <v/>
      </c>
      <c r="E745" s="45">
        <f>IF($C745="","",IFERROR(INDEX('Chain Program'!$D$6:$D$120,MATCH($C745,'Chain Program'!$A$6:$A$120,0)),"Unknown ID"))</f>
        <v/>
      </c>
      <c r="F745" s="60" t="n"/>
      <c r="G745" s="60" t="n"/>
      <c r="H745" s="56">
        <f>IF(OR($C745="",$A745=""),"",IF(COUNTIFS('Promo Calendar'!$A$6:$A$400,$C745,'Promo Calendar'!$D$6:$D$400,IF($G745="","All",$G745),'Promo Calendar'!$I$6:$I$400,"&lt;="&amp;$A745,'Promo Calendar'!$J$6:$J$400,"&gt;="&amp;$A745,'Promo Calendar'!$G$6:$G$400,"&gt;0")&gt;0,_xlfn.MINIFS('Promo Calendar'!$G$6:$G$400,'Promo Calendar'!$A$6:$A$400,$C745,'Promo Calendar'!$D$6:$D$400,IF($G745="","All",$G745),'Promo Calendar'!$I$6:$I$400,"&lt;="&amp;$A745,'Promo Calendar'!$J$6:$J$400,"&gt;="&amp;$A745,'Promo Calendar'!$G$6:$G$400,"&gt;0"),IF(COUNTIFS('Promo Calendar'!$A$6:$A$400,$C745,'Promo Calendar'!$D$6:$D$400,"All",'Promo Calendar'!$I$6:$I$400,"&lt;="&amp;$A745,'Promo Calendar'!$J$6:$J$400,"&gt;="&amp;$A745,'Promo Calendar'!$G$6:$G$400,"&gt;0")&gt;0,_xlfn.MINIFS('Promo Calendar'!$G$6:$G$400,'Promo Calendar'!$A$6:$A$400,$C745,'Promo Calendar'!$D$6:$D$400,"All",'Promo Calendar'!$I$6:$I$400,"&lt;="&amp;$A745,'Promo Calendar'!$J$6:$J$400,"&gt;="&amp;$A745,'Promo Calendar'!$G$6:$G$400,"&gt;0"),IFERROR(IF(INDEX('Chain Program'!$M$6:$M$120,MATCH($C745,'Chain Program'!$A$6:$A$120,0))="","Not set",INDEX('Chain Program'!$M$6:$M$120,MATCH($C745,'Chain Program'!$A$6:$A$120,0))),"Not set"))))</f>
        <v/>
      </c>
      <c r="I745" s="61" t="n"/>
      <c r="J745" s="45">
        <f>IF($I745="","",IF(NOT(ISNUMBER($H745)),"No plan price",IF(ABS($I745-$H745)&lt;0.005,"Match",IF($I745&gt;$H745,"Over plan","Under plan"))))</f>
        <v/>
      </c>
      <c r="K745" s="60" t="n"/>
      <c r="L745" s="60" t="n"/>
      <c r="M745" s="60" t="n"/>
      <c r="N745" s="60" t="n"/>
      <c r="O745" s="60" t="n"/>
      <c r="P745" s="62" t="n"/>
      <c r="Q745" s="62" t="n"/>
      <c r="R745" s="60" t="n"/>
      <c r="S745" s="59" t="n"/>
      <c r="T745" s="60" t="n"/>
      <c r="U745" s="59" t="n"/>
      <c r="V745" s="45">
        <f>IF(OR($A745="",$T745="",$T745="No Issue"),"",IF($T745="Resolved",IF($U745="","",$U745-$A745),TODAY()-$A745))</f>
        <v/>
      </c>
      <c r="W745" s="47">
        <f>IF(AND($C745&lt;&gt;"",$C745='Store History'!$C$4,OR('Store History'!$C$5="",$F745='Store History'!$C$5)),1,0)</f>
        <v/>
      </c>
      <c r="X745" s="47">
        <f>IF($W745=1,SUM($W745:$W$1005),"")</f>
        <v/>
      </c>
    </row>
    <row r="746">
      <c r="A746" s="59" t="n"/>
      <c r="B746" s="60" t="n"/>
      <c r="C746" s="60" t="n"/>
      <c r="D746" s="45">
        <f>IF($C746="","",IFERROR(INDEX('Chain Program'!$B$6:$B$120,MATCH($C746,'Chain Program'!$A$6:$A$120,0)),"Unknown ID"))</f>
        <v/>
      </c>
      <c r="E746" s="45">
        <f>IF($C746="","",IFERROR(INDEX('Chain Program'!$D$6:$D$120,MATCH($C746,'Chain Program'!$A$6:$A$120,0)),"Unknown ID"))</f>
        <v/>
      </c>
      <c r="F746" s="60" t="n"/>
      <c r="G746" s="60" t="n"/>
      <c r="H746" s="56">
        <f>IF(OR($C746="",$A746=""),"",IF(COUNTIFS('Promo Calendar'!$A$6:$A$400,$C746,'Promo Calendar'!$D$6:$D$400,IF($G746="","All",$G746),'Promo Calendar'!$I$6:$I$400,"&lt;="&amp;$A746,'Promo Calendar'!$J$6:$J$400,"&gt;="&amp;$A746,'Promo Calendar'!$G$6:$G$400,"&gt;0")&gt;0,_xlfn.MINIFS('Promo Calendar'!$G$6:$G$400,'Promo Calendar'!$A$6:$A$400,$C746,'Promo Calendar'!$D$6:$D$400,IF($G746="","All",$G746),'Promo Calendar'!$I$6:$I$400,"&lt;="&amp;$A746,'Promo Calendar'!$J$6:$J$400,"&gt;="&amp;$A746,'Promo Calendar'!$G$6:$G$400,"&gt;0"),IF(COUNTIFS('Promo Calendar'!$A$6:$A$400,$C746,'Promo Calendar'!$D$6:$D$400,"All",'Promo Calendar'!$I$6:$I$400,"&lt;="&amp;$A746,'Promo Calendar'!$J$6:$J$400,"&gt;="&amp;$A746,'Promo Calendar'!$G$6:$G$400,"&gt;0")&gt;0,_xlfn.MINIFS('Promo Calendar'!$G$6:$G$400,'Promo Calendar'!$A$6:$A$400,$C746,'Promo Calendar'!$D$6:$D$400,"All",'Promo Calendar'!$I$6:$I$400,"&lt;="&amp;$A746,'Promo Calendar'!$J$6:$J$400,"&gt;="&amp;$A746,'Promo Calendar'!$G$6:$G$400,"&gt;0"),IFERROR(IF(INDEX('Chain Program'!$M$6:$M$120,MATCH($C746,'Chain Program'!$A$6:$A$120,0))="","Not set",INDEX('Chain Program'!$M$6:$M$120,MATCH($C746,'Chain Program'!$A$6:$A$120,0))),"Not set"))))</f>
        <v/>
      </c>
      <c r="I746" s="61" t="n"/>
      <c r="J746" s="45">
        <f>IF($I746="","",IF(NOT(ISNUMBER($H746)),"No plan price",IF(ABS($I746-$H746)&lt;0.005,"Match",IF($I746&gt;$H746,"Over plan","Under plan"))))</f>
        <v/>
      </c>
      <c r="K746" s="60" t="n"/>
      <c r="L746" s="60" t="n"/>
      <c r="M746" s="60" t="n"/>
      <c r="N746" s="60" t="n"/>
      <c r="O746" s="60" t="n"/>
      <c r="P746" s="62" t="n"/>
      <c r="Q746" s="62" t="n"/>
      <c r="R746" s="60" t="n"/>
      <c r="S746" s="59" t="n"/>
      <c r="T746" s="60" t="n"/>
      <c r="U746" s="59" t="n"/>
      <c r="V746" s="45">
        <f>IF(OR($A746="",$T746="",$T746="No Issue"),"",IF($T746="Resolved",IF($U746="","",$U746-$A746),TODAY()-$A746))</f>
        <v/>
      </c>
      <c r="W746" s="47">
        <f>IF(AND($C746&lt;&gt;"",$C746='Store History'!$C$4,OR('Store History'!$C$5="",$F746='Store History'!$C$5)),1,0)</f>
        <v/>
      </c>
      <c r="X746" s="47">
        <f>IF($W746=1,SUM($W746:$W$1005),"")</f>
        <v/>
      </c>
    </row>
    <row r="747">
      <c r="A747" s="59" t="n"/>
      <c r="B747" s="60" t="n"/>
      <c r="C747" s="60" t="n"/>
      <c r="D747" s="45">
        <f>IF($C747="","",IFERROR(INDEX('Chain Program'!$B$6:$B$120,MATCH($C747,'Chain Program'!$A$6:$A$120,0)),"Unknown ID"))</f>
        <v/>
      </c>
      <c r="E747" s="45">
        <f>IF($C747="","",IFERROR(INDEX('Chain Program'!$D$6:$D$120,MATCH($C747,'Chain Program'!$A$6:$A$120,0)),"Unknown ID"))</f>
        <v/>
      </c>
      <c r="F747" s="60" t="n"/>
      <c r="G747" s="60" t="n"/>
      <c r="H747" s="56">
        <f>IF(OR($C747="",$A747=""),"",IF(COUNTIFS('Promo Calendar'!$A$6:$A$400,$C747,'Promo Calendar'!$D$6:$D$400,IF($G747="","All",$G747),'Promo Calendar'!$I$6:$I$400,"&lt;="&amp;$A747,'Promo Calendar'!$J$6:$J$400,"&gt;="&amp;$A747,'Promo Calendar'!$G$6:$G$400,"&gt;0")&gt;0,_xlfn.MINIFS('Promo Calendar'!$G$6:$G$400,'Promo Calendar'!$A$6:$A$400,$C747,'Promo Calendar'!$D$6:$D$400,IF($G747="","All",$G747),'Promo Calendar'!$I$6:$I$400,"&lt;="&amp;$A747,'Promo Calendar'!$J$6:$J$400,"&gt;="&amp;$A747,'Promo Calendar'!$G$6:$G$400,"&gt;0"),IF(COUNTIFS('Promo Calendar'!$A$6:$A$400,$C747,'Promo Calendar'!$D$6:$D$400,"All",'Promo Calendar'!$I$6:$I$400,"&lt;="&amp;$A747,'Promo Calendar'!$J$6:$J$400,"&gt;="&amp;$A747,'Promo Calendar'!$G$6:$G$400,"&gt;0")&gt;0,_xlfn.MINIFS('Promo Calendar'!$G$6:$G$400,'Promo Calendar'!$A$6:$A$400,$C747,'Promo Calendar'!$D$6:$D$400,"All",'Promo Calendar'!$I$6:$I$400,"&lt;="&amp;$A747,'Promo Calendar'!$J$6:$J$400,"&gt;="&amp;$A747,'Promo Calendar'!$G$6:$G$400,"&gt;0"),IFERROR(IF(INDEX('Chain Program'!$M$6:$M$120,MATCH($C747,'Chain Program'!$A$6:$A$120,0))="","Not set",INDEX('Chain Program'!$M$6:$M$120,MATCH($C747,'Chain Program'!$A$6:$A$120,0))),"Not set"))))</f>
        <v/>
      </c>
      <c r="I747" s="61" t="n"/>
      <c r="J747" s="45">
        <f>IF($I747="","",IF(NOT(ISNUMBER($H747)),"No plan price",IF(ABS($I747-$H747)&lt;0.005,"Match",IF($I747&gt;$H747,"Over plan","Under plan"))))</f>
        <v/>
      </c>
      <c r="K747" s="60" t="n"/>
      <c r="L747" s="60" t="n"/>
      <c r="M747" s="60" t="n"/>
      <c r="N747" s="60" t="n"/>
      <c r="O747" s="60" t="n"/>
      <c r="P747" s="62" t="n"/>
      <c r="Q747" s="62" t="n"/>
      <c r="R747" s="60" t="n"/>
      <c r="S747" s="59" t="n"/>
      <c r="T747" s="60" t="n"/>
      <c r="U747" s="59" t="n"/>
      <c r="V747" s="45">
        <f>IF(OR($A747="",$T747="",$T747="No Issue"),"",IF($T747="Resolved",IF($U747="","",$U747-$A747),TODAY()-$A747))</f>
        <v/>
      </c>
      <c r="W747" s="47">
        <f>IF(AND($C747&lt;&gt;"",$C747='Store History'!$C$4,OR('Store History'!$C$5="",$F747='Store History'!$C$5)),1,0)</f>
        <v/>
      </c>
      <c r="X747" s="47">
        <f>IF($W747=1,SUM($W747:$W$1005),"")</f>
        <v/>
      </c>
    </row>
    <row r="748">
      <c r="A748" s="59" t="n"/>
      <c r="B748" s="60" t="n"/>
      <c r="C748" s="60" t="n"/>
      <c r="D748" s="45">
        <f>IF($C748="","",IFERROR(INDEX('Chain Program'!$B$6:$B$120,MATCH($C748,'Chain Program'!$A$6:$A$120,0)),"Unknown ID"))</f>
        <v/>
      </c>
      <c r="E748" s="45">
        <f>IF($C748="","",IFERROR(INDEX('Chain Program'!$D$6:$D$120,MATCH($C748,'Chain Program'!$A$6:$A$120,0)),"Unknown ID"))</f>
        <v/>
      </c>
      <c r="F748" s="60" t="n"/>
      <c r="G748" s="60" t="n"/>
      <c r="H748" s="56">
        <f>IF(OR($C748="",$A748=""),"",IF(COUNTIFS('Promo Calendar'!$A$6:$A$400,$C748,'Promo Calendar'!$D$6:$D$400,IF($G748="","All",$G748),'Promo Calendar'!$I$6:$I$400,"&lt;="&amp;$A748,'Promo Calendar'!$J$6:$J$400,"&gt;="&amp;$A748,'Promo Calendar'!$G$6:$G$400,"&gt;0")&gt;0,_xlfn.MINIFS('Promo Calendar'!$G$6:$G$400,'Promo Calendar'!$A$6:$A$400,$C748,'Promo Calendar'!$D$6:$D$400,IF($G748="","All",$G748),'Promo Calendar'!$I$6:$I$400,"&lt;="&amp;$A748,'Promo Calendar'!$J$6:$J$400,"&gt;="&amp;$A748,'Promo Calendar'!$G$6:$G$400,"&gt;0"),IF(COUNTIFS('Promo Calendar'!$A$6:$A$400,$C748,'Promo Calendar'!$D$6:$D$400,"All",'Promo Calendar'!$I$6:$I$400,"&lt;="&amp;$A748,'Promo Calendar'!$J$6:$J$400,"&gt;="&amp;$A748,'Promo Calendar'!$G$6:$G$400,"&gt;0")&gt;0,_xlfn.MINIFS('Promo Calendar'!$G$6:$G$400,'Promo Calendar'!$A$6:$A$400,$C748,'Promo Calendar'!$D$6:$D$400,"All",'Promo Calendar'!$I$6:$I$400,"&lt;="&amp;$A748,'Promo Calendar'!$J$6:$J$400,"&gt;="&amp;$A748,'Promo Calendar'!$G$6:$G$400,"&gt;0"),IFERROR(IF(INDEX('Chain Program'!$M$6:$M$120,MATCH($C748,'Chain Program'!$A$6:$A$120,0))="","Not set",INDEX('Chain Program'!$M$6:$M$120,MATCH($C748,'Chain Program'!$A$6:$A$120,0))),"Not set"))))</f>
        <v/>
      </c>
      <c r="I748" s="61" t="n"/>
      <c r="J748" s="45">
        <f>IF($I748="","",IF(NOT(ISNUMBER($H748)),"No plan price",IF(ABS($I748-$H748)&lt;0.005,"Match",IF($I748&gt;$H748,"Over plan","Under plan"))))</f>
        <v/>
      </c>
      <c r="K748" s="60" t="n"/>
      <c r="L748" s="60" t="n"/>
      <c r="M748" s="60" t="n"/>
      <c r="N748" s="60" t="n"/>
      <c r="O748" s="60" t="n"/>
      <c r="P748" s="62" t="n"/>
      <c r="Q748" s="62" t="n"/>
      <c r="R748" s="60" t="n"/>
      <c r="S748" s="59" t="n"/>
      <c r="T748" s="60" t="n"/>
      <c r="U748" s="59" t="n"/>
      <c r="V748" s="45">
        <f>IF(OR($A748="",$T748="",$T748="No Issue"),"",IF($T748="Resolved",IF($U748="","",$U748-$A748),TODAY()-$A748))</f>
        <v/>
      </c>
      <c r="W748" s="47">
        <f>IF(AND($C748&lt;&gt;"",$C748='Store History'!$C$4,OR('Store History'!$C$5="",$F748='Store History'!$C$5)),1,0)</f>
        <v/>
      </c>
      <c r="X748" s="47">
        <f>IF($W748=1,SUM($W748:$W$1005),"")</f>
        <v/>
      </c>
    </row>
    <row r="749">
      <c r="A749" s="59" t="n"/>
      <c r="B749" s="60" t="n"/>
      <c r="C749" s="60" t="n"/>
      <c r="D749" s="45">
        <f>IF($C749="","",IFERROR(INDEX('Chain Program'!$B$6:$B$120,MATCH($C749,'Chain Program'!$A$6:$A$120,0)),"Unknown ID"))</f>
        <v/>
      </c>
      <c r="E749" s="45">
        <f>IF($C749="","",IFERROR(INDEX('Chain Program'!$D$6:$D$120,MATCH($C749,'Chain Program'!$A$6:$A$120,0)),"Unknown ID"))</f>
        <v/>
      </c>
      <c r="F749" s="60" t="n"/>
      <c r="G749" s="60" t="n"/>
      <c r="H749" s="56">
        <f>IF(OR($C749="",$A749=""),"",IF(COUNTIFS('Promo Calendar'!$A$6:$A$400,$C749,'Promo Calendar'!$D$6:$D$400,IF($G749="","All",$G749),'Promo Calendar'!$I$6:$I$400,"&lt;="&amp;$A749,'Promo Calendar'!$J$6:$J$400,"&gt;="&amp;$A749,'Promo Calendar'!$G$6:$G$400,"&gt;0")&gt;0,_xlfn.MINIFS('Promo Calendar'!$G$6:$G$400,'Promo Calendar'!$A$6:$A$400,$C749,'Promo Calendar'!$D$6:$D$400,IF($G749="","All",$G749),'Promo Calendar'!$I$6:$I$400,"&lt;="&amp;$A749,'Promo Calendar'!$J$6:$J$400,"&gt;="&amp;$A749,'Promo Calendar'!$G$6:$G$400,"&gt;0"),IF(COUNTIFS('Promo Calendar'!$A$6:$A$400,$C749,'Promo Calendar'!$D$6:$D$400,"All",'Promo Calendar'!$I$6:$I$400,"&lt;="&amp;$A749,'Promo Calendar'!$J$6:$J$400,"&gt;="&amp;$A749,'Promo Calendar'!$G$6:$G$400,"&gt;0")&gt;0,_xlfn.MINIFS('Promo Calendar'!$G$6:$G$400,'Promo Calendar'!$A$6:$A$400,$C749,'Promo Calendar'!$D$6:$D$400,"All",'Promo Calendar'!$I$6:$I$400,"&lt;="&amp;$A749,'Promo Calendar'!$J$6:$J$400,"&gt;="&amp;$A749,'Promo Calendar'!$G$6:$G$400,"&gt;0"),IFERROR(IF(INDEX('Chain Program'!$M$6:$M$120,MATCH($C749,'Chain Program'!$A$6:$A$120,0))="","Not set",INDEX('Chain Program'!$M$6:$M$120,MATCH($C749,'Chain Program'!$A$6:$A$120,0))),"Not set"))))</f>
        <v/>
      </c>
      <c r="I749" s="61" t="n"/>
      <c r="J749" s="45">
        <f>IF($I749="","",IF(NOT(ISNUMBER($H749)),"No plan price",IF(ABS($I749-$H749)&lt;0.005,"Match",IF($I749&gt;$H749,"Over plan","Under plan"))))</f>
        <v/>
      </c>
      <c r="K749" s="60" t="n"/>
      <c r="L749" s="60" t="n"/>
      <c r="M749" s="60" t="n"/>
      <c r="N749" s="60" t="n"/>
      <c r="O749" s="60" t="n"/>
      <c r="P749" s="62" t="n"/>
      <c r="Q749" s="62" t="n"/>
      <c r="R749" s="60" t="n"/>
      <c r="S749" s="59" t="n"/>
      <c r="T749" s="60" t="n"/>
      <c r="U749" s="59" t="n"/>
      <c r="V749" s="45">
        <f>IF(OR($A749="",$T749="",$T749="No Issue"),"",IF($T749="Resolved",IF($U749="","",$U749-$A749),TODAY()-$A749))</f>
        <v/>
      </c>
      <c r="W749" s="47">
        <f>IF(AND($C749&lt;&gt;"",$C749='Store History'!$C$4,OR('Store History'!$C$5="",$F749='Store History'!$C$5)),1,0)</f>
        <v/>
      </c>
      <c r="X749" s="47">
        <f>IF($W749=1,SUM($W749:$W$1005),"")</f>
        <v/>
      </c>
    </row>
    <row r="750">
      <c r="A750" s="59" t="n"/>
      <c r="B750" s="60" t="n"/>
      <c r="C750" s="60" t="n"/>
      <c r="D750" s="45">
        <f>IF($C750="","",IFERROR(INDEX('Chain Program'!$B$6:$B$120,MATCH($C750,'Chain Program'!$A$6:$A$120,0)),"Unknown ID"))</f>
        <v/>
      </c>
      <c r="E750" s="45">
        <f>IF($C750="","",IFERROR(INDEX('Chain Program'!$D$6:$D$120,MATCH($C750,'Chain Program'!$A$6:$A$120,0)),"Unknown ID"))</f>
        <v/>
      </c>
      <c r="F750" s="60" t="n"/>
      <c r="G750" s="60" t="n"/>
      <c r="H750" s="56">
        <f>IF(OR($C750="",$A750=""),"",IF(COUNTIFS('Promo Calendar'!$A$6:$A$400,$C750,'Promo Calendar'!$D$6:$D$400,IF($G750="","All",$G750),'Promo Calendar'!$I$6:$I$400,"&lt;="&amp;$A750,'Promo Calendar'!$J$6:$J$400,"&gt;="&amp;$A750,'Promo Calendar'!$G$6:$G$400,"&gt;0")&gt;0,_xlfn.MINIFS('Promo Calendar'!$G$6:$G$400,'Promo Calendar'!$A$6:$A$400,$C750,'Promo Calendar'!$D$6:$D$400,IF($G750="","All",$G750),'Promo Calendar'!$I$6:$I$400,"&lt;="&amp;$A750,'Promo Calendar'!$J$6:$J$400,"&gt;="&amp;$A750,'Promo Calendar'!$G$6:$G$400,"&gt;0"),IF(COUNTIFS('Promo Calendar'!$A$6:$A$400,$C750,'Promo Calendar'!$D$6:$D$400,"All",'Promo Calendar'!$I$6:$I$400,"&lt;="&amp;$A750,'Promo Calendar'!$J$6:$J$400,"&gt;="&amp;$A750,'Promo Calendar'!$G$6:$G$400,"&gt;0")&gt;0,_xlfn.MINIFS('Promo Calendar'!$G$6:$G$400,'Promo Calendar'!$A$6:$A$400,$C750,'Promo Calendar'!$D$6:$D$400,"All",'Promo Calendar'!$I$6:$I$400,"&lt;="&amp;$A750,'Promo Calendar'!$J$6:$J$400,"&gt;="&amp;$A750,'Promo Calendar'!$G$6:$G$400,"&gt;0"),IFERROR(IF(INDEX('Chain Program'!$M$6:$M$120,MATCH($C750,'Chain Program'!$A$6:$A$120,0))="","Not set",INDEX('Chain Program'!$M$6:$M$120,MATCH($C750,'Chain Program'!$A$6:$A$120,0))),"Not set"))))</f>
        <v/>
      </c>
      <c r="I750" s="61" t="n"/>
      <c r="J750" s="45">
        <f>IF($I750="","",IF(NOT(ISNUMBER($H750)),"No plan price",IF(ABS($I750-$H750)&lt;0.005,"Match",IF($I750&gt;$H750,"Over plan","Under plan"))))</f>
        <v/>
      </c>
      <c r="K750" s="60" t="n"/>
      <c r="L750" s="60" t="n"/>
      <c r="M750" s="60" t="n"/>
      <c r="N750" s="60" t="n"/>
      <c r="O750" s="60" t="n"/>
      <c r="P750" s="62" t="n"/>
      <c r="Q750" s="62" t="n"/>
      <c r="R750" s="60" t="n"/>
      <c r="S750" s="59" t="n"/>
      <c r="T750" s="60" t="n"/>
      <c r="U750" s="59" t="n"/>
      <c r="V750" s="45">
        <f>IF(OR($A750="",$T750="",$T750="No Issue"),"",IF($T750="Resolved",IF($U750="","",$U750-$A750),TODAY()-$A750))</f>
        <v/>
      </c>
      <c r="W750" s="47">
        <f>IF(AND($C750&lt;&gt;"",$C750='Store History'!$C$4,OR('Store History'!$C$5="",$F750='Store History'!$C$5)),1,0)</f>
        <v/>
      </c>
      <c r="X750" s="47">
        <f>IF($W750=1,SUM($W750:$W$1005),"")</f>
        <v/>
      </c>
    </row>
    <row r="751">
      <c r="A751" s="59" t="n"/>
      <c r="B751" s="60" t="n"/>
      <c r="C751" s="60" t="n"/>
      <c r="D751" s="45">
        <f>IF($C751="","",IFERROR(INDEX('Chain Program'!$B$6:$B$120,MATCH($C751,'Chain Program'!$A$6:$A$120,0)),"Unknown ID"))</f>
        <v/>
      </c>
      <c r="E751" s="45">
        <f>IF($C751="","",IFERROR(INDEX('Chain Program'!$D$6:$D$120,MATCH($C751,'Chain Program'!$A$6:$A$120,0)),"Unknown ID"))</f>
        <v/>
      </c>
      <c r="F751" s="60" t="n"/>
      <c r="G751" s="60" t="n"/>
      <c r="H751" s="56">
        <f>IF(OR($C751="",$A751=""),"",IF(COUNTIFS('Promo Calendar'!$A$6:$A$400,$C751,'Promo Calendar'!$D$6:$D$400,IF($G751="","All",$G751),'Promo Calendar'!$I$6:$I$400,"&lt;="&amp;$A751,'Promo Calendar'!$J$6:$J$400,"&gt;="&amp;$A751,'Promo Calendar'!$G$6:$G$400,"&gt;0")&gt;0,_xlfn.MINIFS('Promo Calendar'!$G$6:$G$400,'Promo Calendar'!$A$6:$A$400,$C751,'Promo Calendar'!$D$6:$D$400,IF($G751="","All",$G751),'Promo Calendar'!$I$6:$I$400,"&lt;="&amp;$A751,'Promo Calendar'!$J$6:$J$400,"&gt;="&amp;$A751,'Promo Calendar'!$G$6:$G$400,"&gt;0"),IF(COUNTIFS('Promo Calendar'!$A$6:$A$400,$C751,'Promo Calendar'!$D$6:$D$400,"All",'Promo Calendar'!$I$6:$I$400,"&lt;="&amp;$A751,'Promo Calendar'!$J$6:$J$400,"&gt;="&amp;$A751,'Promo Calendar'!$G$6:$G$400,"&gt;0")&gt;0,_xlfn.MINIFS('Promo Calendar'!$G$6:$G$400,'Promo Calendar'!$A$6:$A$400,$C751,'Promo Calendar'!$D$6:$D$400,"All",'Promo Calendar'!$I$6:$I$400,"&lt;="&amp;$A751,'Promo Calendar'!$J$6:$J$400,"&gt;="&amp;$A751,'Promo Calendar'!$G$6:$G$400,"&gt;0"),IFERROR(IF(INDEX('Chain Program'!$M$6:$M$120,MATCH($C751,'Chain Program'!$A$6:$A$120,0))="","Not set",INDEX('Chain Program'!$M$6:$M$120,MATCH($C751,'Chain Program'!$A$6:$A$120,0))),"Not set"))))</f>
        <v/>
      </c>
      <c r="I751" s="61" t="n"/>
      <c r="J751" s="45">
        <f>IF($I751="","",IF(NOT(ISNUMBER($H751)),"No plan price",IF(ABS($I751-$H751)&lt;0.005,"Match",IF($I751&gt;$H751,"Over plan","Under plan"))))</f>
        <v/>
      </c>
      <c r="K751" s="60" t="n"/>
      <c r="L751" s="60" t="n"/>
      <c r="M751" s="60" t="n"/>
      <c r="N751" s="60" t="n"/>
      <c r="O751" s="60" t="n"/>
      <c r="P751" s="62" t="n"/>
      <c r="Q751" s="62" t="n"/>
      <c r="R751" s="60" t="n"/>
      <c r="S751" s="59" t="n"/>
      <c r="T751" s="60" t="n"/>
      <c r="U751" s="59" t="n"/>
      <c r="V751" s="45">
        <f>IF(OR($A751="",$T751="",$T751="No Issue"),"",IF($T751="Resolved",IF($U751="","",$U751-$A751),TODAY()-$A751))</f>
        <v/>
      </c>
      <c r="W751" s="47">
        <f>IF(AND($C751&lt;&gt;"",$C751='Store History'!$C$4,OR('Store History'!$C$5="",$F751='Store History'!$C$5)),1,0)</f>
        <v/>
      </c>
      <c r="X751" s="47">
        <f>IF($W751=1,SUM($W751:$W$1005),"")</f>
        <v/>
      </c>
    </row>
    <row r="752">
      <c r="A752" s="59" t="n"/>
      <c r="B752" s="60" t="n"/>
      <c r="C752" s="60" t="n"/>
      <c r="D752" s="45">
        <f>IF($C752="","",IFERROR(INDEX('Chain Program'!$B$6:$B$120,MATCH($C752,'Chain Program'!$A$6:$A$120,0)),"Unknown ID"))</f>
        <v/>
      </c>
      <c r="E752" s="45">
        <f>IF($C752="","",IFERROR(INDEX('Chain Program'!$D$6:$D$120,MATCH($C752,'Chain Program'!$A$6:$A$120,0)),"Unknown ID"))</f>
        <v/>
      </c>
      <c r="F752" s="60" t="n"/>
      <c r="G752" s="60" t="n"/>
      <c r="H752" s="56">
        <f>IF(OR($C752="",$A752=""),"",IF(COUNTIFS('Promo Calendar'!$A$6:$A$400,$C752,'Promo Calendar'!$D$6:$D$400,IF($G752="","All",$G752),'Promo Calendar'!$I$6:$I$400,"&lt;="&amp;$A752,'Promo Calendar'!$J$6:$J$400,"&gt;="&amp;$A752,'Promo Calendar'!$G$6:$G$400,"&gt;0")&gt;0,_xlfn.MINIFS('Promo Calendar'!$G$6:$G$400,'Promo Calendar'!$A$6:$A$400,$C752,'Promo Calendar'!$D$6:$D$400,IF($G752="","All",$G752),'Promo Calendar'!$I$6:$I$400,"&lt;="&amp;$A752,'Promo Calendar'!$J$6:$J$400,"&gt;="&amp;$A752,'Promo Calendar'!$G$6:$G$400,"&gt;0"),IF(COUNTIFS('Promo Calendar'!$A$6:$A$400,$C752,'Promo Calendar'!$D$6:$D$400,"All",'Promo Calendar'!$I$6:$I$400,"&lt;="&amp;$A752,'Promo Calendar'!$J$6:$J$400,"&gt;="&amp;$A752,'Promo Calendar'!$G$6:$G$400,"&gt;0")&gt;0,_xlfn.MINIFS('Promo Calendar'!$G$6:$G$400,'Promo Calendar'!$A$6:$A$400,$C752,'Promo Calendar'!$D$6:$D$400,"All",'Promo Calendar'!$I$6:$I$400,"&lt;="&amp;$A752,'Promo Calendar'!$J$6:$J$400,"&gt;="&amp;$A752,'Promo Calendar'!$G$6:$G$400,"&gt;0"),IFERROR(IF(INDEX('Chain Program'!$M$6:$M$120,MATCH($C752,'Chain Program'!$A$6:$A$120,0))="","Not set",INDEX('Chain Program'!$M$6:$M$120,MATCH($C752,'Chain Program'!$A$6:$A$120,0))),"Not set"))))</f>
        <v/>
      </c>
      <c r="I752" s="61" t="n"/>
      <c r="J752" s="45">
        <f>IF($I752="","",IF(NOT(ISNUMBER($H752)),"No plan price",IF(ABS($I752-$H752)&lt;0.005,"Match",IF($I752&gt;$H752,"Over plan","Under plan"))))</f>
        <v/>
      </c>
      <c r="K752" s="60" t="n"/>
      <c r="L752" s="60" t="n"/>
      <c r="M752" s="60" t="n"/>
      <c r="N752" s="60" t="n"/>
      <c r="O752" s="60" t="n"/>
      <c r="P752" s="62" t="n"/>
      <c r="Q752" s="62" t="n"/>
      <c r="R752" s="60" t="n"/>
      <c r="S752" s="59" t="n"/>
      <c r="T752" s="60" t="n"/>
      <c r="U752" s="59" t="n"/>
      <c r="V752" s="45">
        <f>IF(OR($A752="",$T752="",$T752="No Issue"),"",IF($T752="Resolved",IF($U752="","",$U752-$A752),TODAY()-$A752))</f>
        <v/>
      </c>
      <c r="W752" s="47">
        <f>IF(AND($C752&lt;&gt;"",$C752='Store History'!$C$4,OR('Store History'!$C$5="",$F752='Store History'!$C$5)),1,0)</f>
        <v/>
      </c>
      <c r="X752" s="47">
        <f>IF($W752=1,SUM($W752:$W$1005),"")</f>
        <v/>
      </c>
    </row>
    <row r="753">
      <c r="A753" s="59" t="n"/>
      <c r="B753" s="60" t="n"/>
      <c r="C753" s="60" t="n"/>
      <c r="D753" s="45">
        <f>IF($C753="","",IFERROR(INDEX('Chain Program'!$B$6:$B$120,MATCH($C753,'Chain Program'!$A$6:$A$120,0)),"Unknown ID"))</f>
        <v/>
      </c>
      <c r="E753" s="45">
        <f>IF($C753="","",IFERROR(INDEX('Chain Program'!$D$6:$D$120,MATCH($C753,'Chain Program'!$A$6:$A$120,0)),"Unknown ID"))</f>
        <v/>
      </c>
      <c r="F753" s="60" t="n"/>
      <c r="G753" s="60" t="n"/>
      <c r="H753" s="56">
        <f>IF(OR($C753="",$A753=""),"",IF(COUNTIFS('Promo Calendar'!$A$6:$A$400,$C753,'Promo Calendar'!$D$6:$D$400,IF($G753="","All",$G753),'Promo Calendar'!$I$6:$I$400,"&lt;="&amp;$A753,'Promo Calendar'!$J$6:$J$400,"&gt;="&amp;$A753,'Promo Calendar'!$G$6:$G$400,"&gt;0")&gt;0,_xlfn.MINIFS('Promo Calendar'!$G$6:$G$400,'Promo Calendar'!$A$6:$A$400,$C753,'Promo Calendar'!$D$6:$D$400,IF($G753="","All",$G753),'Promo Calendar'!$I$6:$I$400,"&lt;="&amp;$A753,'Promo Calendar'!$J$6:$J$400,"&gt;="&amp;$A753,'Promo Calendar'!$G$6:$G$400,"&gt;0"),IF(COUNTIFS('Promo Calendar'!$A$6:$A$400,$C753,'Promo Calendar'!$D$6:$D$400,"All",'Promo Calendar'!$I$6:$I$400,"&lt;="&amp;$A753,'Promo Calendar'!$J$6:$J$400,"&gt;="&amp;$A753,'Promo Calendar'!$G$6:$G$400,"&gt;0")&gt;0,_xlfn.MINIFS('Promo Calendar'!$G$6:$G$400,'Promo Calendar'!$A$6:$A$400,$C753,'Promo Calendar'!$D$6:$D$400,"All",'Promo Calendar'!$I$6:$I$400,"&lt;="&amp;$A753,'Promo Calendar'!$J$6:$J$400,"&gt;="&amp;$A753,'Promo Calendar'!$G$6:$G$400,"&gt;0"),IFERROR(IF(INDEX('Chain Program'!$M$6:$M$120,MATCH($C753,'Chain Program'!$A$6:$A$120,0))="","Not set",INDEX('Chain Program'!$M$6:$M$120,MATCH($C753,'Chain Program'!$A$6:$A$120,0))),"Not set"))))</f>
        <v/>
      </c>
      <c r="I753" s="61" t="n"/>
      <c r="J753" s="45">
        <f>IF($I753="","",IF(NOT(ISNUMBER($H753)),"No plan price",IF(ABS($I753-$H753)&lt;0.005,"Match",IF($I753&gt;$H753,"Over plan","Under plan"))))</f>
        <v/>
      </c>
      <c r="K753" s="60" t="n"/>
      <c r="L753" s="60" t="n"/>
      <c r="M753" s="60" t="n"/>
      <c r="N753" s="60" t="n"/>
      <c r="O753" s="60" t="n"/>
      <c r="P753" s="62" t="n"/>
      <c r="Q753" s="62" t="n"/>
      <c r="R753" s="60" t="n"/>
      <c r="S753" s="59" t="n"/>
      <c r="T753" s="60" t="n"/>
      <c r="U753" s="59" t="n"/>
      <c r="V753" s="45">
        <f>IF(OR($A753="",$T753="",$T753="No Issue"),"",IF($T753="Resolved",IF($U753="","",$U753-$A753),TODAY()-$A753))</f>
        <v/>
      </c>
      <c r="W753" s="47">
        <f>IF(AND($C753&lt;&gt;"",$C753='Store History'!$C$4,OR('Store History'!$C$5="",$F753='Store History'!$C$5)),1,0)</f>
        <v/>
      </c>
      <c r="X753" s="47">
        <f>IF($W753=1,SUM($W753:$W$1005),"")</f>
        <v/>
      </c>
    </row>
    <row r="754">
      <c r="A754" s="59" t="n"/>
      <c r="B754" s="60" t="n"/>
      <c r="C754" s="60" t="n"/>
      <c r="D754" s="45">
        <f>IF($C754="","",IFERROR(INDEX('Chain Program'!$B$6:$B$120,MATCH($C754,'Chain Program'!$A$6:$A$120,0)),"Unknown ID"))</f>
        <v/>
      </c>
      <c r="E754" s="45">
        <f>IF($C754="","",IFERROR(INDEX('Chain Program'!$D$6:$D$120,MATCH($C754,'Chain Program'!$A$6:$A$120,0)),"Unknown ID"))</f>
        <v/>
      </c>
      <c r="F754" s="60" t="n"/>
      <c r="G754" s="60" t="n"/>
      <c r="H754" s="56">
        <f>IF(OR($C754="",$A754=""),"",IF(COUNTIFS('Promo Calendar'!$A$6:$A$400,$C754,'Promo Calendar'!$D$6:$D$400,IF($G754="","All",$G754),'Promo Calendar'!$I$6:$I$400,"&lt;="&amp;$A754,'Promo Calendar'!$J$6:$J$400,"&gt;="&amp;$A754,'Promo Calendar'!$G$6:$G$400,"&gt;0")&gt;0,_xlfn.MINIFS('Promo Calendar'!$G$6:$G$400,'Promo Calendar'!$A$6:$A$400,$C754,'Promo Calendar'!$D$6:$D$400,IF($G754="","All",$G754),'Promo Calendar'!$I$6:$I$400,"&lt;="&amp;$A754,'Promo Calendar'!$J$6:$J$400,"&gt;="&amp;$A754,'Promo Calendar'!$G$6:$G$400,"&gt;0"),IF(COUNTIFS('Promo Calendar'!$A$6:$A$400,$C754,'Promo Calendar'!$D$6:$D$400,"All",'Promo Calendar'!$I$6:$I$400,"&lt;="&amp;$A754,'Promo Calendar'!$J$6:$J$400,"&gt;="&amp;$A754,'Promo Calendar'!$G$6:$G$400,"&gt;0")&gt;0,_xlfn.MINIFS('Promo Calendar'!$G$6:$G$400,'Promo Calendar'!$A$6:$A$400,$C754,'Promo Calendar'!$D$6:$D$400,"All",'Promo Calendar'!$I$6:$I$400,"&lt;="&amp;$A754,'Promo Calendar'!$J$6:$J$400,"&gt;="&amp;$A754,'Promo Calendar'!$G$6:$G$400,"&gt;0"),IFERROR(IF(INDEX('Chain Program'!$M$6:$M$120,MATCH($C754,'Chain Program'!$A$6:$A$120,0))="","Not set",INDEX('Chain Program'!$M$6:$M$120,MATCH($C754,'Chain Program'!$A$6:$A$120,0))),"Not set"))))</f>
        <v/>
      </c>
      <c r="I754" s="61" t="n"/>
      <c r="J754" s="45">
        <f>IF($I754="","",IF(NOT(ISNUMBER($H754)),"No plan price",IF(ABS($I754-$H754)&lt;0.005,"Match",IF($I754&gt;$H754,"Over plan","Under plan"))))</f>
        <v/>
      </c>
      <c r="K754" s="60" t="n"/>
      <c r="L754" s="60" t="n"/>
      <c r="M754" s="60" t="n"/>
      <c r="N754" s="60" t="n"/>
      <c r="O754" s="60" t="n"/>
      <c r="P754" s="62" t="n"/>
      <c r="Q754" s="62" t="n"/>
      <c r="R754" s="60" t="n"/>
      <c r="S754" s="59" t="n"/>
      <c r="T754" s="60" t="n"/>
      <c r="U754" s="59" t="n"/>
      <c r="V754" s="45">
        <f>IF(OR($A754="",$T754="",$T754="No Issue"),"",IF($T754="Resolved",IF($U754="","",$U754-$A754),TODAY()-$A754))</f>
        <v/>
      </c>
      <c r="W754" s="47">
        <f>IF(AND($C754&lt;&gt;"",$C754='Store History'!$C$4,OR('Store History'!$C$5="",$F754='Store History'!$C$5)),1,0)</f>
        <v/>
      </c>
      <c r="X754" s="47">
        <f>IF($W754=1,SUM($W754:$W$1005),"")</f>
        <v/>
      </c>
    </row>
    <row r="755">
      <c r="A755" s="59" t="n"/>
      <c r="B755" s="60" t="n"/>
      <c r="C755" s="60" t="n"/>
      <c r="D755" s="45">
        <f>IF($C755="","",IFERROR(INDEX('Chain Program'!$B$6:$B$120,MATCH($C755,'Chain Program'!$A$6:$A$120,0)),"Unknown ID"))</f>
        <v/>
      </c>
      <c r="E755" s="45">
        <f>IF($C755="","",IFERROR(INDEX('Chain Program'!$D$6:$D$120,MATCH($C755,'Chain Program'!$A$6:$A$120,0)),"Unknown ID"))</f>
        <v/>
      </c>
      <c r="F755" s="60" t="n"/>
      <c r="G755" s="60" t="n"/>
      <c r="H755" s="56">
        <f>IF(OR($C755="",$A755=""),"",IF(COUNTIFS('Promo Calendar'!$A$6:$A$400,$C755,'Promo Calendar'!$D$6:$D$400,IF($G755="","All",$G755),'Promo Calendar'!$I$6:$I$400,"&lt;="&amp;$A755,'Promo Calendar'!$J$6:$J$400,"&gt;="&amp;$A755,'Promo Calendar'!$G$6:$G$400,"&gt;0")&gt;0,_xlfn.MINIFS('Promo Calendar'!$G$6:$G$400,'Promo Calendar'!$A$6:$A$400,$C755,'Promo Calendar'!$D$6:$D$400,IF($G755="","All",$G755),'Promo Calendar'!$I$6:$I$400,"&lt;="&amp;$A755,'Promo Calendar'!$J$6:$J$400,"&gt;="&amp;$A755,'Promo Calendar'!$G$6:$G$400,"&gt;0"),IF(COUNTIFS('Promo Calendar'!$A$6:$A$400,$C755,'Promo Calendar'!$D$6:$D$400,"All",'Promo Calendar'!$I$6:$I$400,"&lt;="&amp;$A755,'Promo Calendar'!$J$6:$J$400,"&gt;="&amp;$A755,'Promo Calendar'!$G$6:$G$400,"&gt;0")&gt;0,_xlfn.MINIFS('Promo Calendar'!$G$6:$G$400,'Promo Calendar'!$A$6:$A$400,$C755,'Promo Calendar'!$D$6:$D$400,"All",'Promo Calendar'!$I$6:$I$400,"&lt;="&amp;$A755,'Promo Calendar'!$J$6:$J$400,"&gt;="&amp;$A755,'Promo Calendar'!$G$6:$G$400,"&gt;0"),IFERROR(IF(INDEX('Chain Program'!$M$6:$M$120,MATCH($C755,'Chain Program'!$A$6:$A$120,0))="","Not set",INDEX('Chain Program'!$M$6:$M$120,MATCH($C755,'Chain Program'!$A$6:$A$120,0))),"Not set"))))</f>
        <v/>
      </c>
      <c r="I755" s="61" t="n"/>
      <c r="J755" s="45">
        <f>IF($I755="","",IF(NOT(ISNUMBER($H755)),"No plan price",IF(ABS($I755-$H755)&lt;0.005,"Match",IF($I755&gt;$H755,"Over plan","Under plan"))))</f>
        <v/>
      </c>
      <c r="K755" s="60" t="n"/>
      <c r="L755" s="60" t="n"/>
      <c r="M755" s="60" t="n"/>
      <c r="N755" s="60" t="n"/>
      <c r="O755" s="60" t="n"/>
      <c r="P755" s="62" t="n"/>
      <c r="Q755" s="62" t="n"/>
      <c r="R755" s="60" t="n"/>
      <c r="S755" s="59" t="n"/>
      <c r="T755" s="60" t="n"/>
      <c r="U755" s="59" t="n"/>
      <c r="V755" s="45">
        <f>IF(OR($A755="",$T755="",$T755="No Issue"),"",IF($T755="Resolved",IF($U755="","",$U755-$A755),TODAY()-$A755))</f>
        <v/>
      </c>
      <c r="W755" s="47">
        <f>IF(AND($C755&lt;&gt;"",$C755='Store History'!$C$4,OR('Store History'!$C$5="",$F755='Store History'!$C$5)),1,0)</f>
        <v/>
      </c>
      <c r="X755" s="47">
        <f>IF($W755=1,SUM($W755:$W$1005),"")</f>
        <v/>
      </c>
    </row>
    <row r="756">
      <c r="A756" s="59" t="n"/>
      <c r="B756" s="60" t="n"/>
      <c r="C756" s="60" t="n"/>
      <c r="D756" s="45">
        <f>IF($C756="","",IFERROR(INDEX('Chain Program'!$B$6:$B$120,MATCH($C756,'Chain Program'!$A$6:$A$120,0)),"Unknown ID"))</f>
        <v/>
      </c>
      <c r="E756" s="45">
        <f>IF($C756="","",IFERROR(INDEX('Chain Program'!$D$6:$D$120,MATCH($C756,'Chain Program'!$A$6:$A$120,0)),"Unknown ID"))</f>
        <v/>
      </c>
      <c r="F756" s="60" t="n"/>
      <c r="G756" s="60" t="n"/>
      <c r="H756" s="56">
        <f>IF(OR($C756="",$A756=""),"",IF(COUNTIFS('Promo Calendar'!$A$6:$A$400,$C756,'Promo Calendar'!$D$6:$D$400,IF($G756="","All",$G756),'Promo Calendar'!$I$6:$I$400,"&lt;="&amp;$A756,'Promo Calendar'!$J$6:$J$400,"&gt;="&amp;$A756,'Promo Calendar'!$G$6:$G$400,"&gt;0")&gt;0,_xlfn.MINIFS('Promo Calendar'!$G$6:$G$400,'Promo Calendar'!$A$6:$A$400,$C756,'Promo Calendar'!$D$6:$D$400,IF($G756="","All",$G756),'Promo Calendar'!$I$6:$I$400,"&lt;="&amp;$A756,'Promo Calendar'!$J$6:$J$400,"&gt;="&amp;$A756,'Promo Calendar'!$G$6:$G$400,"&gt;0"),IF(COUNTIFS('Promo Calendar'!$A$6:$A$400,$C756,'Promo Calendar'!$D$6:$D$400,"All",'Promo Calendar'!$I$6:$I$400,"&lt;="&amp;$A756,'Promo Calendar'!$J$6:$J$400,"&gt;="&amp;$A756,'Promo Calendar'!$G$6:$G$400,"&gt;0")&gt;0,_xlfn.MINIFS('Promo Calendar'!$G$6:$G$400,'Promo Calendar'!$A$6:$A$400,$C756,'Promo Calendar'!$D$6:$D$400,"All",'Promo Calendar'!$I$6:$I$400,"&lt;="&amp;$A756,'Promo Calendar'!$J$6:$J$400,"&gt;="&amp;$A756,'Promo Calendar'!$G$6:$G$400,"&gt;0"),IFERROR(IF(INDEX('Chain Program'!$M$6:$M$120,MATCH($C756,'Chain Program'!$A$6:$A$120,0))="","Not set",INDEX('Chain Program'!$M$6:$M$120,MATCH($C756,'Chain Program'!$A$6:$A$120,0))),"Not set"))))</f>
        <v/>
      </c>
      <c r="I756" s="61" t="n"/>
      <c r="J756" s="45">
        <f>IF($I756="","",IF(NOT(ISNUMBER($H756)),"No plan price",IF(ABS($I756-$H756)&lt;0.005,"Match",IF($I756&gt;$H756,"Over plan","Under plan"))))</f>
        <v/>
      </c>
      <c r="K756" s="60" t="n"/>
      <c r="L756" s="60" t="n"/>
      <c r="M756" s="60" t="n"/>
      <c r="N756" s="60" t="n"/>
      <c r="O756" s="60" t="n"/>
      <c r="P756" s="62" t="n"/>
      <c r="Q756" s="62" t="n"/>
      <c r="R756" s="60" t="n"/>
      <c r="S756" s="59" t="n"/>
      <c r="T756" s="60" t="n"/>
      <c r="U756" s="59" t="n"/>
      <c r="V756" s="45">
        <f>IF(OR($A756="",$T756="",$T756="No Issue"),"",IF($T756="Resolved",IF($U756="","",$U756-$A756),TODAY()-$A756))</f>
        <v/>
      </c>
      <c r="W756" s="47">
        <f>IF(AND($C756&lt;&gt;"",$C756='Store History'!$C$4,OR('Store History'!$C$5="",$F756='Store History'!$C$5)),1,0)</f>
        <v/>
      </c>
      <c r="X756" s="47">
        <f>IF($W756=1,SUM($W756:$W$1005),"")</f>
        <v/>
      </c>
    </row>
    <row r="757">
      <c r="A757" s="59" t="n"/>
      <c r="B757" s="60" t="n"/>
      <c r="C757" s="60" t="n"/>
      <c r="D757" s="45">
        <f>IF($C757="","",IFERROR(INDEX('Chain Program'!$B$6:$B$120,MATCH($C757,'Chain Program'!$A$6:$A$120,0)),"Unknown ID"))</f>
        <v/>
      </c>
      <c r="E757" s="45">
        <f>IF($C757="","",IFERROR(INDEX('Chain Program'!$D$6:$D$120,MATCH($C757,'Chain Program'!$A$6:$A$120,0)),"Unknown ID"))</f>
        <v/>
      </c>
      <c r="F757" s="60" t="n"/>
      <c r="G757" s="60" t="n"/>
      <c r="H757" s="56">
        <f>IF(OR($C757="",$A757=""),"",IF(COUNTIFS('Promo Calendar'!$A$6:$A$400,$C757,'Promo Calendar'!$D$6:$D$400,IF($G757="","All",$G757),'Promo Calendar'!$I$6:$I$400,"&lt;="&amp;$A757,'Promo Calendar'!$J$6:$J$400,"&gt;="&amp;$A757,'Promo Calendar'!$G$6:$G$400,"&gt;0")&gt;0,_xlfn.MINIFS('Promo Calendar'!$G$6:$G$400,'Promo Calendar'!$A$6:$A$400,$C757,'Promo Calendar'!$D$6:$D$400,IF($G757="","All",$G757),'Promo Calendar'!$I$6:$I$400,"&lt;="&amp;$A757,'Promo Calendar'!$J$6:$J$400,"&gt;="&amp;$A757,'Promo Calendar'!$G$6:$G$400,"&gt;0"),IF(COUNTIFS('Promo Calendar'!$A$6:$A$400,$C757,'Promo Calendar'!$D$6:$D$400,"All",'Promo Calendar'!$I$6:$I$400,"&lt;="&amp;$A757,'Promo Calendar'!$J$6:$J$400,"&gt;="&amp;$A757,'Promo Calendar'!$G$6:$G$400,"&gt;0")&gt;0,_xlfn.MINIFS('Promo Calendar'!$G$6:$G$400,'Promo Calendar'!$A$6:$A$400,$C757,'Promo Calendar'!$D$6:$D$400,"All",'Promo Calendar'!$I$6:$I$400,"&lt;="&amp;$A757,'Promo Calendar'!$J$6:$J$400,"&gt;="&amp;$A757,'Promo Calendar'!$G$6:$G$400,"&gt;0"),IFERROR(IF(INDEX('Chain Program'!$M$6:$M$120,MATCH($C757,'Chain Program'!$A$6:$A$120,0))="","Not set",INDEX('Chain Program'!$M$6:$M$120,MATCH($C757,'Chain Program'!$A$6:$A$120,0))),"Not set"))))</f>
        <v/>
      </c>
      <c r="I757" s="61" t="n"/>
      <c r="J757" s="45">
        <f>IF($I757="","",IF(NOT(ISNUMBER($H757)),"No plan price",IF(ABS($I757-$H757)&lt;0.005,"Match",IF($I757&gt;$H757,"Over plan","Under plan"))))</f>
        <v/>
      </c>
      <c r="K757" s="60" t="n"/>
      <c r="L757" s="60" t="n"/>
      <c r="M757" s="60" t="n"/>
      <c r="N757" s="60" t="n"/>
      <c r="O757" s="60" t="n"/>
      <c r="P757" s="62" t="n"/>
      <c r="Q757" s="62" t="n"/>
      <c r="R757" s="60" t="n"/>
      <c r="S757" s="59" t="n"/>
      <c r="T757" s="60" t="n"/>
      <c r="U757" s="59" t="n"/>
      <c r="V757" s="45">
        <f>IF(OR($A757="",$T757="",$T757="No Issue"),"",IF($T757="Resolved",IF($U757="","",$U757-$A757),TODAY()-$A757))</f>
        <v/>
      </c>
      <c r="W757" s="47">
        <f>IF(AND($C757&lt;&gt;"",$C757='Store History'!$C$4,OR('Store History'!$C$5="",$F757='Store History'!$C$5)),1,0)</f>
        <v/>
      </c>
      <c r="X757" s="47">
        <f>IF($W757=1,SUM($W757:$W$1005),"")</f>
        <v/>
      </c>
    </row>
    <row r="758">
      <c r="A758" s="59" t="n"/>
      <c r="B758" s="60" t="n"/>
      <c r="C758" s="60" t="n"/>
      <c r="D758" s="45">
        <f>IF($C758="","",IFERROR(INDEX('Chain Program'!$B$6:$B$120,MATCH($C758,'Chain Program'!$A$6:$A$120,0)),"Unknown ID"))</f>
        <v/>
      </c>
      <c r="E758" s="45">
        <f>IF($C758="","",IFERROR(INDEX('Chain Program'!$D$6:$D$120,MATCH($C758,'Chain Program'!$A$6:$A$120,0)),"Unknown ID"))</f>
        <v/>
      </c>
      <c r="F758" s="60" t="n"/>
      <c r="G758" s="60" t="n"/>
      <c r="H758" s="56">
        <f>IF(OR($C758="",$A758=""),"",IF(COUNTIFS('Promo Calendar'!$A$6:$A$400,$C758,'Promo Calendar'!$D$6:$D$400,IF($G758="","All",$G758),'Promo Calendar'!$I$6:$I$400,"&lt;="&amp;$A758,'Promo Calendar'!$J$6:$J$400,"&gt;="&amp;$A758,'Promo Calendar'!$G$6:$G$400,"&gt;0")&gt;0,_xlfn.MINIFS('Promo Calendar'!$G$6:$G$400,'Promo Calendar'!$A$6:$A$400,$C758,'Promo Calendar'!$D$6:$D$400,IF($G758="","All",$G758),'Promo Calendar'!$I$6:$I$400,"&lt;="&amp;$A758,'Promo Calendar'!$J$6:$J$400,"&gt;="&amp;$A758,'Promo Calendar'!$G$6:$G$400,"&gt;0"),IF(COUNTIFS('Promo Calendar'!$A$6:$A$400,$C758,'Promo Calendar'!$D$6:$D$400,"All",'Promo Calendar'!$I$6:$I$400,"&lt;="&amp;$A758,'Promo Calendar'!$J$6:$J$400,"&gt;="&amp;$A758,'Promo Calendar'!$G$6:$G$400,"&gt;0")&gt;0,_xlfn.MINIFS('Promo Calendar'!$G$6:$G$400,'Promo Calendar'!$A$6:$A$400,$C758,'Promo Calendar'!$D$6:$D$400,"All",'Promo Calendar'!$I$6:$I$400,"&lt;="&amp;$A758,'Promo Calendar'!$J$6:$J$400,"&gt;="&amp;$A758,'Promo Calendar'!$G$6:$G$400,"&gt;0"),IFERROR(IF(INDEX('Chain Program'!$M$6:$M$120,MATCH($C758,'Chain Program'!$A$6:$A$120,0))="","Not set",INDEX('Chain Program'!$M$6:$M$120,MATCH($C758,'Chain Program'!$A$6:$A$120,0))),"Not set"))))</f>
        <v/>
      </c>
      <c r="I758" s="61" t="n"/>
      <c r="J758" s="45">
        <f>IF($I758="","",IF(NOT(ISNUMBER($H758)),"No plan price",IF(ABS($I758-$H758)&lt;0.005,"Match",IF($I758&gt;$H758,"Over plan","Under plan"))))</f>
        <v/>
      </c>
      <c r="K758" s="60" t="n"/>
      <c r="L758" s="60" t="n"/>
      <c r="M758" s="60" t="n"/>
      <c r="N758" s="60" t="n"/>
      <c r="O758" s="60" t="n"/>
      <c r="P758" s="62" t="n"/>
      <c r="Q758" s="62" t="n"/>
      <c r="R758" s="60" t="n"/>
      <c r="S758" s="59" t="n"/>
      <c r="T758" s="60" t="n"/>
      <c r="U758" s="59" t="n"/>
      <c r="V758" s="45">
        <f>IF(OR($A758="",$T758="",$T758="No Issue"),"",IF($T758="Resolved",IF($U758="","",$U758-$A758),TODAY()-$A758))</f>
        <v/>
      </c>
      <c r="W758" s="47">
        <f>IF(AND($C758&lt;&gt;"",$C758='Store History'!$C$4,OR('Store History'!$C$5="",$F758='Store History'!$C$5)),1,0)</f>
        <v/>
      </c>
      <c r="X758" s="47">
        <f>IF($W758=1,SUM($W758:$W$1005),"")</f>
        <v/>
      </c>
    </row>
    <row r="759">
      <c r="A759" s="59" t="n"/>
      <c r="B759" s="60" t="n"/>
      <c r="C759" s="60" t="n"/>
      <c r="D759" s="45">
        <f>IF($C759="","",IFERROR(INDEX('Chain Program'!$B$6:$B$120,MATCH($C759,'Chain Program'!$A$6:$A$120,0)),"Unknown ID"))</f>
        <v/>
      </c>
      <c r="E759" s="45">
        <f>IF($C759="","",IFERROR(INDEX('Chain Program'!$D$6:$D$120,MATCH($C759,'Chain Program'!$A$6:$A$120,0)),"Unknown ID"))</f>
        <v/>
      </c>
      <c r="F759" s="60" t="n"/>
      <c r="G759" s="60" t="n"/>
      <c r="H759" s="56">
        <f>IF(OR($C759="",$A759=""),"",IF(COUNTIFS('Promo Calendar'!$A$6:$A$400,$C759,'Promo Calendar'!$D$6:$D$400,IF($G759="","All",$G759),'Promo Calendar'!$I$6:$I$400,"&lt;="&amp;$A759,'Promo Calendar'!$J$6:$J$400,"&gt;="&amp;$A759,'Promo Calendar'!$G$6:$G$400,"&gt;0")&gt;0,_xlfn.MINIFS('Promo Calendar'!$G$6:$G$400,'Promo Calendar'!$A$6:$A$400,$C759,'Promo Calendar'!$D$6:$D$400,IF($G759="","All",$G759),'Promo Calendar'!$I$6:$I$400,"&lt;="&amp;$A759,'Promo Calendar'!$J$6:$J$400,"&gt;="&amp;$A759,'Promo Calendar'!$G$6:$G$400,"&gt;0"),IF(COUNTIFS('Promo Calendar'!$A$6:$A$400,$C759,'Promo Calendar'!$D$6:$D$400,"All",'Promo Calendar'!$I$6:$I$400,"&lt;="&amp;$A759,'Promo Calendar'!$J$6:$J$400,"&gt;="&amp;$A759,'Promo Calendar'!$G$6:$G$400,"&gt;0")&gt;0,_xlfn.MINIFS('Promo Calendar'!$G$6:$G$400,'Promo Calendar'!$A$6:$A$400,$C759,'Promo Calendar'!$D$6:$D$400,"All",'Promo Calendar'!$I$6:$I$400,"&lt;="&amp;$A759,'Promo Calendar'!$J$6:$J$400,"&gt;="&amp;$A759,'Promo Calendar'!$G$6:$G$400,"&gt;0"),IFERROR(IF(INDEX('Chain Program'!$M$6:$M$120,MATCH($C759,'Chain Program'!$A$6:$A$120,0))="","Not set",INDEX('Chain Program'!$M$6:$M$120,MATCH($C759,'Chain Program'!$A$6:$A$120,0))),"Not set"))))</f>
        <v/>
      </c>
      <c r="I759" s="61" t="n"/>
      <c r="J759" s="45">
        <f>IF($I759="","",IF(NOT(ISNUMBER($H759)),"No plan price",IF(ABS($I759-$H759)&lt;0.005,"Match",IF($I759&gt;$H759,"Over plan","Under plan"))))</f>
        <v/>
      </c>
      <c r="K759" s="60" t="n"/>
      <c r="L759" s="60" t="n"/>
      <c r="M759" s="60" t="n"/>
      <c r="N759" s="60" t="n"/>
      <c r="O759" s="60" t="n"/>
      <c r="P759" s="62" t="n"/>
      <c r="Q759" s="62" t="n"/>
      <c r="R759" s="60" t="n"/>
      <c r="S759" s="59" t="n"/>
      <c r="T759" s="60" t="n"/>
      <c r="U759" s="59" t="n"/>
      <c r="V759" s="45">
        <f>IF(OR($A759="",$T759="",$T759="No Issue"),"",IF($T759="Resolved",IF($U759="","",$U759-$A759),TODAY()-$A759))</f>
        <v/>
      </c>
      <c r="W759" s="47">
        <f>IF(AND($C759&lt;&gt;"",$C759='Store History'!$C$4,OR('Store History'!$C$5="",$F759='Store History'!$C$5)),1,0)</f>
        <v/>
      </c>
      <c r="X759" s="47">
        <f>IF($W759=1,SUM($W759:$W$1005),"")</f>
        <v/>
      </c>
    </row>
    <row r="760">
      <c r="A760" s="59" t="n"/>
      <c r="B760" s="60" t="n"/>
      <c r="C760" s="60" t="n"/>
      <c r="D760" s="45">
        <f>IF($C760="","",IFERROR(INDEX('Chain Program'!$B$6:$B$120,MATCH($C760,'Chain Program'!$A$6:$A$120,0)),"Unknown ID"))</f>
        <v/>
      </c>
      <c r="E760" s="45">
        <f>IF($C760="","",IFERROR(INDEX('Chain Program'!$D$6:$D$120,MATCH($C760,'Chain Program'!$A$6:$A$120,0)),"Unknown ID"))</f>
        <v/>
      </c>
      <c r="F760" s="60" t="n"/>
      <c r="G760" s="60" t="n"/>
      <c r="H760" s="56">
        <f>IF(OR($C760="",$A760=""),"",IF(COUNTIFS('Promo Calendar'!$A$6:$A$400,$C760,'Promo Calendar'!$D$6:$D$400,IF($G760="","All",$G760),'Promo Calendar'!$I$6:$I$400,"&lt;="&amp;$A760,'Promo Calendar'!$J$6:$J$400,"&gt;="&amp;$A760,'Promo Calendar'!$G$6:$G$400,"&gt;0")&gt;0,_xlfn.MINIFS('Promo Calendar'!$G$6:$G$400,'Promo Calendar'!$A$6:$A$400,$C760,'Promo Calendar'!$D$6:$D$400,IF($G760="","All",$G760),'Promo Calendar'!$I$6:$I$400,"&lt;="&amp;$A760,'Promo Calendar'!$J$6:$J$400,"&gt;="&amp;$A760,'Promo Calendar'!$G$6:$G$400,"&gt;0"),IF(COUNTIFS('Promo Calendar'!$A$6:$A$400,$C760,'Promo Calendar'!$D$6:$D$400,"All",'Promo Calendar'!$I$6:$I$400,"&lt;="&amp;$A760,'Promo Calendar'!$J$6:$J$400,"&gt;="&amp;$A760,'Promo Calendar'!$G$6:$G$400,"&gt;0")&gt;0,_xlfn.MINIFS('Promo Calendar'!$G$6:$G$400,'Promo Calendar'!$A$6:$A$400,$C760,'Promo Calendar'!$D$6:$D$400,"All",'Promo Calendar'!$I$6:$I$400,"&lt;="&amp;$A760,'Promo Calendar'!$J$6:$J$400,"&gt;="&amp;$A760,'Promo Calendar'!$G$6:$G$400,"&gt;0"),IFERROR(IF(INDEX('Chain Program'!$M$6:$M$120,MATCH($C760,'Chain Program'!$A$6:$A$120,0))="","Not set",INDEX('Chain Program'!$M$6:$M$120,MATCH($C760,'Chain Program'!$A$6:$A$120,0))),"Not set"))))</f>
        <v/>
      </c>
      <c r="I760" s="61" t="n"/>
      <c r="J760" s="45">
        <f>IF($I760="","",IF(NOT(ISNUMBER($H760)),"No plan price",IF(ABS($I760-$H760)&lt;0.005,"Match",IF($I760&gt;$H760,"Over plan","Under plan"))))</f>
        <v/>
      </c>
      <c r="K760" s="60" t="n"/>
      <c r="L760" s="60" t="n"/>
      <c r="M760" s="60" t="n"/>
      <c r="N760" s="60" t="n"/>
      <c r="O760" s="60" t="n"/>
      <c r="P760" s="62" t="n"/>
      <c r="Q760" s="62" t="n"/>
      <c r="R760" s="60" t="n"/>
      <c r="S760" s="59" t="n"/>
      <c r="T760" s="60" t="n"/>
      <c r="U760" s="59" t="n"/>
      <c r="V760" s="45">
        <f>IF(OR($A760="",$T760="",$T760="No Issue"),"",IF($T760="Resolved",IF($U760="","",$U760-$A760),TODAY()-$A760))</f>
        <v/>
      </c>
      <c r="W760" s="47">
        <f>IF(AND($C760&lt;&gt;"",$C760='Store History'!$C$4,OR('Store History'!$C$5="",$F760='Store History'!$C$5)),1,0)</f>
        <v/>
      </c>
      <c r="X760" s="47">
        <f>IF($W760=1,SUM($W760:$W$1005),"")</f>
        <v/>
      </c>
    </row>
    <row r="761">
      <c r="A761" s="59" t="n"/>
      <c r="B761" s="60" t="n"/>
      <c r="C761" s="60" t="n"/>
      <c r="D761" s="45">
        <f>IF($C761="","",IFERROR(INDEX('Chain Program'!$B$6:$B$120,MATCH($C761,'Chain Program'!$A$6:$A$120,0)),"Unknown ID"))</f>
        <v/>
      </c>
      <c r="E761" s="45">
        <f>IF($C761="","",IFERROR(INDEX('Chain Program'!$D$6:$D$120,MATCH($C761,'Chain Program'!$A$6:$A$120,0)),"Unknown ID"))</f>
        <v/>
      </c>
      <c r="F761" s="60" t="n"/>
      <c r="G761" s="60" t="n"/>
      <c r="H761" s="56">
        <f>IF(OR($C761="",$A761=""),"",IF(COUNTIFS('Promo Calendar'!$A$6:$A$400,$C761,'Promo Calendar'!$D$6:$D$400,IF($G761="","All",$G761),'Promo Calendar'!$I$6:$I$400,"&lt;="&amp;$A761,'Promo Calendar'!$J$6:$J$400,"&gt;="&amp;$A761,'Promo Calendar'!$G$6:$G$400,"&gt;0")&gt;0,_xlfn.MINIFS('Promo Calendar'!$G$6:$G$400,'Promo Calendar'!$A$6:$A$400,$C761,'Promo Calendar'!$D$6:$D$400,IF($G761="","All",$G761),'Promo Calendar'!$I$6:$I$400,"&lt;="&amp;$A761,'Promo Calendar'!$J$6:$J$400,"&gt;="&amp;$A761,'Promo Calendar'!$G$6:$G$400,"&gt;0"),IF(COUNTIFS('Promo Calendar'!$A$6:$A$400,$C761,'Promo Calendar'!$D$6:$D$400,"All",'Promo Calendar'!$I$6:$I$400,"&lt;="&amp;$A761,'Promo Calendar'!$J$6:$J$400,"&gt;="&amp;$A761,'Promo Calendar'!$G$6:$G$400,"&gt;0")&gt;0,_xlfn.MINIFS('Promo Calendar'!$G$6:$G$400,'Promo Calendar'!$A$6:$A$400,$C761,'Promo Calendar'!$D$6:$D$400,"All",'Promo Calendar'!$I$6:$I$400,"&lt;="&amp;$A761,'Promo Calendar'!$J$6:$J$400,"&gt;="&amp;$A761,'Promo Calendar'!$G$6:$G$400,"&gt;0"),IFERROR(IF(INDEX('Chain Program'!$M$6:$M$120,MATCH($C761,'Chain Program'!$A$6:$A$120,0))="","Not set",INDEX('Chain Program'!$M$6:$M$120,MATCH($C761,'Chain Program'!$A$6:$A$120,0))),"Not set"))))</f>
        <v/>
      </c>
      <c r="I761" s="61" t="n"/>
      <c r="J761" s="45">
        <f>IF($I761="","",IF(NOT(ISNUMBER($H761)),"No plan price",IF(ABS($I761-$H761)&lt;0.005,"Match",IF($I761&gt;$H761,"Over plan","Under plan"))))</f>
        <v/>
      </c>
      <c r="K761" s="60" t="n"/>
      <c r="L761" s="60" t="n"/>
      <c r="M761" s="60" t="n"/>
      <c r="N761" s="60" t="n"/>
      <c r="O761" s="60" t="n"/>
      <c r="P761" s="62" t="n"/>
      <c r="Q761" s="62" t="n"/>
      <c r="R761" s="60" t="n"/>
      <c r="S761" s="59" t="n"/>
      <c r="T761" s="60" t="n"/>
      <c r="U761" s="59" t="n"/>
      <c r="V761" s="45">
        <f>IF(OR($A761="",$T761="",$T761="No Issue"),"",IF($T761="Resolved",IF($U761="","",$U761-$A761),TODAY()-$A761))</f>
        <v/>
      </c>
      <c r="W761" s="47">
        <f>IF(AND($C761&lt;&gt;"",$C761='Store History'!$C$4,OR('Store History'!$C$5="",$F761='Store History'!$C$5)),1,0)</f>
        <v/>
      </c>
      <c r="X761" s="47">
        <f>IF($W761=1,SUM($W761:$W$1005),"")</f>
        <v/>
      </c>
    </row>
    <row r="762">
      <c r="A762" s="59" t="n"/>
      <c r="B762" s="60" t="n"/>
      <c r="C762" s="60" t="n"/>
      <c r="D762" s="45">
        <f>IF($C762="","",IFERROR(INDEX('Chain Program'!$B$6:$B$120,MATCH($C762,'Chain Program'!$A$6:$A$120,0)),"Unknown ID"))</f>
        <v/>
      </c>
      <c r="E762" s="45">
        <f>IF($C762="","",IFERROR(INDEX('Chain Program'!$D$6:$D$120,MATCH($C762,'Chain Program'!$A$6:$A$120,0)),"Unknown ID"))</f>
        <v/>
      </c>
      <c r="F762" s="60" t="n"/>
      <c r="G762" s="60" t="n"/>
      <c r="H762" s="56">
        <f>IF(OR($C762="",$A762=""),"",IF(COUNTIFS('Promo Calendar'!$A$6:$A$400,$C762,'Promo Calendar'!$D$6:$D$400,IF($G762="","All",$G762),'Promo Calendar'!$I$6:$I$400,"&lt;="&amp;$A762,'Promo Calendar'!$J$6:$J$400,"&gt;="&amp;$A762,'Promo Calendar'!$G$6:$G$400,"&gt;0")&gt;0,_xlfn.MINIFS('Promo Calendar'!$G$6:$G$400,'Promo Calendar'!$A$6:$A$400,$C762,'Promo Calendar'!$D$6:$D$400,IF($G762="","All",$G762),'Promo Calendar'!$I$6:$I$400,"&lt;="&amp;$A762,'Promo Calendar'!$J$6:$J$400,"&gt;="&amp;$A762,'Promo Calendar'!$G$6:$G$400,"&gt;0"),IF(COUNTIFS('Promo Calendar'!$A$6:$A$400,$C762,'Promo Calendar'!$D$6:$D$400,"All",'Promo Calendar'!$I$6:$I$400,"&lt;="&amp;$A762,'Promo Calendar'!$J$6:$J$400,"&gt;="&amp;$A762,'Promo Calendar'!$G$6:$G$400,"&gt;0")&gt;0,_xlfn.MINIFS('Promo Calendar'!$G$6:$G$400,'Promo Calendar'!$A$6:$A$400,$C762,'Promo Calendar'!$D$6:$D$400,"All",'Promo Calendar'!$I$6:$I$400,"&lt;="&amp;$A762,'Promo Calendar'!$J$6:$J$400,"&gt;="&amp;$A762,'Promo Calendar'!$G$6:$G$400,"&gt;0"),IFERROR(IF(INDEX('Chain Program'!$M$6:$M$120,MATCH($C762,'Chain Program'!$A$6:$A$120,0))="","Not set",INDEX('Chain Program'!$M$6:$M$120,MATCH($C762,'Chain Program'!$A$6:$A$120,0))),"Not set"))))</f>
        <v/>
      </c>
      <c r="I762" s="61" t="n"/>
      <c r="J762" s="45">
        <f>IF($I762="","",IF(NOT(ISNUMBER($H762)),"No plan price",IF(ABS($I762-$H762)&lt;0.005,"Match",IF($I762&gt;$H762,"Over plan","Under plan"))))</f>
        <v/>
      </c>
      <c r="K762" s="60" t="n"/>
      <c r="L762" s="60" t="n"/>
      <c r="M762" s="60" t="n"/>
      <c r="N762" s="60" t="n"/>
      <c r="O762" s="60" t="n"/>
      <c r="P762" s="62" t="n"/>
      <c r="Q762" s="62" t="n"/>
      <c r="R762" s="60" t="n"/>
      <c r="S762" s="59" t="n"/>
      <c r="T762" s="60" t="n"/>
      <c r="U762" s="59" t="n"/>
      <c r="V762" s="45">
        <f>IF(OR($A762="",$T762="",$T762="No Issue"),"",IF($T762="Resolved",IF($U762="","",$U762-$A762),TODAY()-$A762))</f>
        <v/>
      </c>
      <c r="W762" s="47">
        <f>IF(AND($C762&lt;&gt;"",$C762='Store History'!$C$4,OR('Store History'!$C$5="",$F762='Store History'!$C$5)),1,0)</f>
        <v/>
      </c>
      <c r="X762" s="47">
        <f>IF($W762=1,SUM($W762:$W$1005),"")</f>
        <v/>
      </c>
    </row>
    <row r="763">
      <c r="A763" s="59" t="n"/>
      <c r="B763" s="60" t="n"/>
      <c r="C763" s="60" t="n"/>
      <c r="D763" s="45">
        <f>IF($C763="","",IFERROR(INDEX('Chain Program'!$B$6:$B$120,MATCH($C763,'Chain Program'!$A$6:$A$120,0)),"Unknown ID"))</f>
        <v/>
      </c>
      <c r="E763" s="45">
        <f>IF($C763="","",IFERROR(INDEX('Chain Program'!$D$6:$D$120,MATCH($C763,'Chain Program'!$A$6:$A$120,0)),"Unknown ID"))</f>
        <v/>
      </c>
      <c r="F763" s="60" t="n"/>
      <c r="G763" s="60" t="n"/>
      <c r="H763" s="56">
        <f>IF(OR($C763="",$A763=""),"",IF(COUNTIFS('Promo Calendar'!$A$6:$A$400,$C763,'Promo Calendar'!$D$6:$D$400,IF($G763="","All",$G763),'Promo Calendar'!$I$6:$I$400,"&lt;="&amp;$A763,'Promo Calendar'!$J$6:$J$400,"&gt;="&amp;$A763,'Promo Calendar'!$G$6:$G$400,"&gt;0")&gt;0,_xlfn.MINIFS('Promo Calendar'!$G$6:$G$400,'Promo Calendar'!$A$6:$A$400,$C763,'Promo Calendar'!$D$6:$D$400,IF($G763="","All",$G763),'Promo Calendar'!$I$6:$I$400,"&lt;="&amp;$A763,'Promo Calendar'!$J$6:$J$400,"&gt;="&amp;$A763,'Promo Calendar'!$G$6:$G$400,"&gt;0"),IF(COUNTIFS('Promo Calendar'!$A$6:$A$400,$C763,'Promo Calendar'!$D$6:$D$400,"All",'Promo Calendar'!$I$6:$I$400,"&lt;="&amp;$A763,'Promo Calendar'!$J$6:$J$400,"&gt;="&amp;$A763,'Promo Calendar'!$G$6:$G$400,"&gt;0")&gt;0,_xlfn.MINIFS('Promo Calendar'!$G$6:$G$400,'Promo Calendar'!$A$6:$A$400,$C763,'Promo Calendar'!$D$6:$D$400,"All",'Promo Calendar'!$I$6:$I$400,"&lt;="&amp;$A763,'Promo Calendar'!$J$6:$J$400,"&gt;="&amp;$A763,'Promo Calendar'!$G$6:$G$400,"&gt;0"),IFERROR(IF(INDEX('Chain Program'!$M$6:$M$120,MATCH($C763,'Chain Program'!$A$6:$A$120,0))="","Not set",INDEX('Chain Program'!$M$6:$M$120,MATCH($C763,'Chain Program'!$A$6:$A$120,0))),"Not set"))))</f>
        <v/>
      </c>
      <c r="I763" s="61" t="n"/>
      <c r="J763" s="45">
        <f>IF($I763="","",IF(NOT(ISNUMBER($H763)),"No plan price",IF(ABS($I763-$H763)&lt;0.005,"Match",IF($I763&gt;$H763,"Over plan","Under plan"))))</f>
        <v/>
      </c>
      <c r="K763" s="60" t="n"/>
      <c r="L763" s="60" t="n"/>
      <c r="M763" s="60" t="n"/>
      <c r="N763" s="60" t="n"/>
      <c r="O763" s="60" t="n"/>
      <c r="P763" s="62" t="n"/>
      <c r="Q763" s="62" t="n"/>
      <c r="R763" s="60" t="n"/>
      <c r="S763" s="59" t="n"/>
      <c r="T763" s="60" t="n"/>
      <c r="U763" s="59" t="n"/>
      <c r="V763" s="45">
        <f>IF(OR($A763="",$T763="",$T763="No Issue"),"",IF($T763="Resolved",IF($U763="","",$U763-$A763),TODAY()-$A763))</f>
        <v/>
      </c>
      <c r="W763" s="47">
        <f>IF(AND($C763&lt;&gt;"",$C763='Store History'!$C$4,OR('Store History'!$C$5="",$F763='Store History'!$C$5)),1,0)</f>
        <v/>
      </c>
      <c r="X763" s="47">
        <f>IF($W763=1,SUM($W763:$W$1005),"")</f>
        <v/>
      </c>
    </row>
    <row r="764">
      <c r="A764" s="59" t="n"/>
      <c r="B764" s="60" t="n"/>
      <c r="C764" s="60" t="n"/>
      <c r="D764" s="45">
        <f>IF($C764="","",IFERROR(INDEX('Chain Program'!$B$6:$B$120,MATCH($C764,'Chain Program'!$A$6:$A$120,0)),"Unknown ID"))</f>
        <v/>
      </c>
      <c r="E764" s="45">
        <f>IF($C764="","",IFERROR(INDEX('Chain Program'!$D$6:$D$120,MATCH($C764,'Chain Program'!$A$6:$A$120,0)),"Unknown ID"))</f>
        <v/>
      </c>
      <c r="F764" s="60" t="n"/>
      <c r="G764" s="60" t="n"/>
      <c r="H764" s="56">
        <f>IF(OR($C764="",$A764=""),"",IF(COUNTIFS('Promo Calendar'!$A$6:$A$400,$C764,'Promo Calendar'!$D$6:$D$400,IF($G764="","All",$G764),'Promo Calendar'!$I$6:$I$400,"&lt;="&amp;$A764,'Promo Calendar'!$J$6:$J$400,"&gt;="&amp;$A764,'Promo Calendar'!$G$6:$G$400,"&gt;0")&gt;0,_xlfn.MINIFS('Promo Calendar'!$G$6:$G$400,'Promo Calendar'!$A$6:$A$400,$C764,'Promo Calendar'!$D$6:$D$400,IF($G764="","All",$G764),'Promo Calendar'!$I$6:$I$400,"&lt;="&amp;$A764,'Promo Calendar'!$J$6:$J$400,"&gt;="&amp;$A764,'Promo Calendar'!$G$6:$G$400,"&gt;0"),IF(COUNTIFS('Promo Calendar'!$A$6:$A$400,$C764,'Promo Calendar'!$D$6:$D$400,"All",'Promo Calendar'!$I$6:$I$400,"&lt;="&amp;$A764,'Promo Calendar'!$J$6:$J$400,"&gt;="&amp;$A764,'Promo Calendar'!$G$6:$G$400,"&gt;0")&gt;0,_xlfn.MINIFS('Promo Calendar'!$G$6:$G$400,'Promo Calendar'!$A$6:$A$400,$C764,'Promo Calendar'!$D$6:$D$400,"All",'Promo Calendar'!$I$6:$I$400,"&lt;="&amp;$A764,'Promo Calendar'!$J$6:$J$400,"&gt;="&amp;$A764,'Promo Calendar'!$G$6:$G$400,"&gt;0"),IFERROR(IF(INDEX('Chain Program'!$M$6:$M$120,MATCH($C764,'Chain Program'!$A$6:$A$120,0))="","Not set",INDEX('Chain Program'!$M$6:$M$120,MATCH($C764,'Chain Program'!$A$6:$A$120,0))),"Not set"))))</f>
        <v/>
      </c>
      <c r="I764" s="61" t="n"/>
      <c r="J764" s="45">
        <f>IF($I764="","",IF(NOT(ISNUMBER($H764)),"No plan price",IF(ABS($I764-$H764)&lt;0.005,"Match",IF($I764&gt;$H764,"Over plan","Under plan"))))</f>
        <v/>
      </c>
      <c r="K764" s="60" t="n"/>
      <c r="L764" s="60" t="n"/>
      <c r="M764" s="60" t="n"/>
      <c r="N764" s="60" t="n"/>
      <c r="O764" s="60" t="n"/>
      <c r="P764" s="62" t="n"/>
      <c r="Q764" s="62" t="n"/>
      <c r="R764" s="60" t="n"/>
      <c r="S764" s="59" t="n"/>
      <c r="T764" s="60" t="n"/>
      <c r="U764" s="59" t="n"/>
      <c r="V764" s="45">
        <f>IF(OR($A764="",$T764="",$T764="No Issue"),"",IF($T764="Resolved",IF($U764="","",$U764-$A764),TODAY()-$A764))</f>
        <v/>
      </c>
      <c r="W764" s="47">
        <f>IF(AND($C764&lt;&gt;"",$C764='Store History'!$C$4,OR('Store History'!$C$5="",$F764='Store History'!$C$5)),1,0)</f>
        <v/>
      </c>
      <c r="X764" s="47">
        <f>IF($W764=1,SUM($W764:$W$1005),"")</f>
        <v/>
      </c>
    </row>
    <row r="765">
      <c r="A765" s="59" t="n"/>
      <c r="B765" s="60" t="n"/>
      <c r="C765" s="60" t="n"/>
      <c r="D765" s="45">
        <f>IF($C765="","",IFERROR(INDEX('Chain Program'!$B$6:$B$120,MATCH($C765,'Chain Program'!$A$6:$A$120,0)),"Unknown ID"))</f>
        <v/>
      </c>
      <c r="E765" s="45">
        <f>IF($C765="","",IFERROR(INDEX('Chain Program'!$D$6:$D$120,MATCH($C765,'Chain Program'!$A$6:$A$120,0)),"Unknown ID"))</f>
        <v/>
      </c>
      <c r="F765" s="60" t="n"/>
      <c r="G765" s="60" t="n"/>
      <c r="H765" s="56">
        <f>IF(OR($C765="",$A765=""),"",IF(COUNTIFS('Promo Calendar'!$A$6:$A$400,$C765,'Promo Calendar'!$D$6:$D$400,IF($G765="","All",$G765),'Promo Calendar'!$I$6:$I$400,"&lt;="&amp;$A765,'Promo Calendar'!$J$6:$J$400,"&gt;="&amp;$A765,'Promo Calendar'!$G$6:$G$400,"&gt;0")&gt;0,_xlfn.MINIFS('Promo Calendar'!$G$6:$G$400,'Promo Calendar'!$A$6:$A$400,$C765,'Promo Calendar'!$D$6:$D$400,IF($G765="","All",$G765),'Promo Calendar'!$I$6:$I$400,"&lt;="&amp;$A765,'Promo Calendar'!$J$6:$J$400,"&gt;="&amp;$A765,'Promo Calendar'!$G$6:$G$400,"&gt;0"),IF(COUNTIFS('Promo Calendar'!$A$6:$A$400,$C765,'Promo Calendar'!$D$6:$D$400,"All",'Promo Calendar'!$I$6:$I$400,"&lt;="&amp;$A765,'Promo Calendar'!$J$6:$J$400,"&gt;="&amp;$A765,'Promo Calendar'!$G$6:$G$400,"&gt;0")&gt;0,_xlfn.MINIFS('Promo Calendar'!$G$6:$G$400,'Promo Calendar'!$A$6:$A$400,$C765,'Promo Calendar'!$D$6:$D$400,"All",'Promo Calendar'!$I$6:$I$400,"&lt;="&amp;$A765,'Promo Calendar'!$J$6:$J$400,"&gt;="&amp;$A765,'Promo Calendar'!$G$6:$G$400,"&gt;0"),IFERROR(IF(INDEX('Chain Program'!$M$6:$M$120,MATCH($C765,'Chain Program'!$A$6:$A$120,0))="","Not set",INDEX('Chain Program'!$M$6:$M$120,MATCH($C765,'Chain Program'!$A$6:$A$120,0))),"Not set"))))</f>
        <v/>
      </c>
      <c r="I765" s="61" t="n"/>
      <c r="J765" s="45">
        <f>IF($I765="","",IF(NOT(ISNUMBER($H765)),"No plan price",IF(ABS($I765-$H765)&lt;0.005,"Match",IF($I765&gt;$H765,"Over plan","Under plan"))))</f>
        <v/>
      </c>
      <c r="K765" s="60" t="n"/>
      <c r="L765" s="60" t="n"/>
      <c r="M765" s="60" t="n"/>
      <c r="N765" s="60" t="n"/>
      <c r="O765" s="60" t="n"/>
      <c r="P765" s="62" t="n"/>
      <c r="Q765" s="62" t="n"/>
      <c r="R765" s="60" t="n"/>
      <c r="S765" s="59" t="n"/>
      <c r="T765" s="60" t="n"/>
      <c r="U765" s="59" t="n"/>
      <c r="V765" s="45">
        <f>IF(OR($A765="",$T765="",$T765="No Issue"),"",IF($T765="Resolved",IF($U765="","",$U765-$A765),TODAY()-$A765))</f>
        <v/>
      </c>
      <c r="W765" s="47">
        <f>IF(AND($C765&lt;&gt;"",$C765='Store History'!$C$4,OR('Store History'!$C$5="",$F765='Store History'!$C$5)),1,0)</f>
        <v/>
      </c>
      <c r="X765" s="47">
        <f>IF($W765=1,SUM($W765:$W$1005),"")</f>
        <v/>
      </c>
    </row>
    <row r="766">
      <c r="A766" s="59" t="n"/>
      <c r="B766" s="60" t="n"/>
      <c r="C766" s="60" t="n"/>
      <c r="D766" s="45">
        <f>IF($C766="","",IFERROR(INDEX('Chain Program'!$B$6:$B$120,MATCH($C766,'Chain Program'!$A$6:$A$120,0)),"Unknown ID"))</f>
        <v/>
      </c>
      <c r="E766" s="45">
        <f>IF($C766="","",IFERROR(INDEX('Chain Program'!$D$6:$D$120,MATCH($C766,'Chain Program'!$A$6:$A$120,0)),"Unknown ID"))</f>
        <v/>
      </c>
      <c r="F766" s="60" t="n"/>
      <c r="G766" s="60" t="n"/>
      <c r="H766" s="56">
        <f>IF(OR($C766="",$A766=""),"",IF(COUNTIFS('Promo Calendar'!$A$6:$A$400,$C766,'Promo Calendar'!$D$6:$D$400,IF($G766="","All",$G766),'Promo Calendar'!$I$6:$I$400,"&lt;="&amp;$A766,'Promo Calendar'!$J$6:$J$400,"&gt;="&amp;$A766,'Promo Calendar'!$G$6:$G$400,"&gt;0")&gt;0,_xlfn.MINIFS('Promo Calendar'!$G$6:$G$400,'Promo Calendar'!$A$6:$A$400,$C766,'Promo Calendar'!$D$6:$D$400,IF($G766="","All",$G766),'Promo Calendar'!$I$6:$I$400,"&lt;="&amp;$A766,'Promo Calendar'!$J$6:$J$400,"&gt;="&amp;$A766,'Promo Calendar'!$G$6:$G$400,"&gt;0"),IF(COUNTIFS('Promo Calendar'!$A$6:$A$400,$C766,'Promo Calendar'!$D$6:$D$400,"All",'Promo Calendar'!$I$6:$I$400,"&lt;="&amp;$A766,'Promo Calendar'!$J$6:$J$400,"&gt;="&amp;$A766,'Promo Calendar'!$G$6:$G$400,"&gt;0")&gt;0,_xlfn.MINIFS('Promo Calendar'!$G$6:$G$400,'Promo Calendar'!$A$6:$A$400,$C766,'Promo Calendar'!$D$6:$D$400,"All",'Promo Calendar'!$I$6:$I$400,"&lt;="&amp;$A766,'Promo Calendar'!$J$6:$J$400,"&gt;="&amp;$A766,'Promo Calendar'!$G$6:$G$400,"&gt;0"),IFERROR(IF(INDEX('Chain Program'!$M$6:$M$120,MATCH($C766,'Chain Program'!$A$6:$A$120,0))="","Not set",INDEX('Chain Program'!$M$6:$M$120,MATCH($C766,'Chain Program'!$A$6:$A$120,0))),"Not set"))))</f>
        <v/>
      </c>
      <c r="I766" s="61" t="n"/>
      <c r="J766" s="45">
        <f>IF($I766="","",IF(NOT(ISNUMBER($H766)),"No plan price",IF(ABS($I766-$H766)&lt;0.005,"Match",IF($I766&gt;$H766,"Over plan","Under plan"))))</f>
        <v/>
      </c>
      <c r="K766" s="60" t="n"/>
      <c r="L766" s="60" t="n"/>
      <c r="M766" s="60" t="n"/>
      <c r="N766" s="60" t="n"/>
      <c r="O766" s="60" t="n"/>
      <c r="P766" s="62" t="n"/>
      <c r="Q766" s="62" t="n"/>
      <c r="R766" s="60" t="n"/>
      <c r="S766" s="59" t="n"/>
      <c r="T766" s="60" t="n"/>
      <c r="U766" s="59" t="n"/>
      <c r="V766" s="45">
        <f>IF(OR($A766="",$T766="",$T766="No Issue"),"",IF($T766="Resolved",IF($U766="","",$U766-$A766),TODAY()-$A766))</f>
        <v/>
      </c>
      <c r="W766" s="47">
        <f>IF(AND($C766&lt;&gt;"",$C766='Store History'!$C$4,OR('Store History'!$C$5="",$F766='Store History'!$C$5)),1,0)</f>
        <v/>
      </c>
      <c r="X766" s="47">
        <f>IF($W766=1,SUM($W766:$W$1005),"")</f>
        <v/>
      </c>
    </row>
    <row r="767">
      <c r="A767" s="59" t="n"/>
      <c r="B767" s="60" t="n"/>
      <c r="C767" s="60" t="n"/>
      <c r="D767" s="45">
        <f>IF($C767="","",IFERROR(INDEX('Chain Program'!$B$6:$B$120,MATCH($C767,'Chain Program'!$A$6:$A$120,0)),"Unknown ID"))</f>
        <v/>
      </c>
      <c r="E767" s="45">
        <f>IF($C767="","",IFERROR(INDEX('Chain Program'!$D$6:$D$120,MATCH($C767,'Chain Program'!$A$6:$A$120,0)),"Unknown ID"))</f>
        <v/>
      </c>
      <c r="F767" s="60" t="n"/>
      <c r="G767" s="60" t="n"/>
      <c r="H767" s="56">
        <f>IF(OR($C767="",$A767=""),"",IF(COUNTIFS('Promo Calendar'!$A$6:$A$400,$C767,'Promo Calendar'!$D$6:$D$400,IF($G767="","All",$G767),'Promo Calendar'!$I$6:$I$400,"&lt;="&amp;$A767,'Promo Calendar'!$J$6:$J$400,"&gt;="&amp;$A767,'Promo Calendar'!$G$6:$G$400,"&gt;0")&gt;0,_xlfn.MINIFS('Promo Calendar'!$G$6:$G$400,'Promo Calendar'!$A$6:$A$400,$C767,'Promo Calendar'!$D$6:$D$400,IF($G767="","All",$G767),'Promo Calendar'!$I$6:$I$400,"&lt;="&amp;$A767,'Promo Calendar'!$J$6:$J$400,"&gt;="&amp;$A767,'Promo Calendar'!$G$6:$G$400,"&gt;0"),IF(COUNTIFS('Promo Calendar'!$A$6:$A$400,$C767,'Promo Calendar'!$D$6:$D$400,"All",'Promo Calendar'!$I$6:$I$400,"&lt;="&amp;$A767,'Promo Calendar'!$J$6:$J$400,"&gt;="&amp;$A767,'Promo Calendar'!$G$6:$G$400,"&gt;0")&gt;0,_xlfn.MINIFS('Promo Calendar'!$G$6:$G$400,'Promo Calendar'!$A$6:$A$400,$C767,'Promo Calendar'!$D$6:$D$400,"All",'Promo Calendar'!$I$6:$I$400,"&lt;="&amp;$A767,'Promo Calendar'!$J$6:$J$400,"&gt;="&amp;$A767,'Promo Calendar'!$G$6:$G$400,"&gt;0"),IFERROR(IF(INDEX('Chain Program'!$M$6:$M$120,MATCH($C767,'Chain Program'!$A$6:$A$120,0))="","Not set",INDEX('Chain Program'!$M$6:$M$120,MATCH($C767,'Chain Program'!$A$6:$A$120,0))),"Not set"))))</f>
        <v/>
      </c>
      <c r="I767" s="61" t="n"/>
      <c r="J767" s="45">
        <f>IF($I767="","",IF(NOT(ISNUMBER($H767)),"No plan price",IF(ABS($I767-$H767)&lt;0.005,"Match",IF($I767&gt;$H767,"Over plan","Under plan"))))</f>
        <v/>
      </c>
      <c r="K767" s="60" t="n"/>
      <c r="L767" s="60" t="n"/>
      <c r="M767" s="60" t="n"/>
      <c r="N767" s="60" t="n"/>
      <c r="O767" s="60" t="n"/>
      <c r="P767" s="62" t="n"/>
      <c r="Q767" s="62" t="n"/>
      <c r="R767" s="60" t="n"/>
      <c r="S767" s="59" t="n"/>
      <c r="T767" s="60" t="n"/>
      <c r="U767" s="59" t="n"/>
      <c r="V767" s="45">
        <f>IF(OR($A767="",$T767="",$T767="No Issue"),"",IF($T767="Resolved",IF($U767="","",$U767-$A767),TODAY()-$A767))</f>
        <v/>
      </c>
      <c r="W767" s="47">
        <f>IF(AND($C767&lt;&gt;"",$C767='Store History'!$C$4,OR('Store History'!$C$5="",$F767='Store History'!$C$5)),1,0)</f>
        <v/>
      </c>
      <c r="X767" s="47">
        <f>IF($W767=1,SUM($W767:$W$1005),"")</f>
        <v/>
      </c>
    </row>
    <row r="768">
      <c r="A768" s="59" t="n"/>
      <c r="B768" s="60" t="n"/>
      <c r="C768" s="60" t="n"/>
      <c r="D768" s="45">
        <f>IF($C768="","",IFERROR(INDEX('Chain Program'!$B$6:$B$120,MATCH($C768,'Chain Program'!$A$6:$A$120,0)),"Unknown ID"))</f>
        <v/>
      </c>
      <c r="E768" s="45">
        <f>IF($C768="","",IFERROR(INDEX('Chain Program'!$D$6:$D$120,MATCH($C768,'Chain Program'!$A$6:$A$120,0)),"Unknown ID"))</f>
        <v/>
      </c>
      <c r="F768" s="60" t="n"/>
      <c r="G768" s="60" t="n"/>
      <c r="H768" s="56">
        <f>IF(OR($C768="",$A768=""),"",IF(COUNTIFS('Promo Calendar'!$A$6:$A$400,$C768,'Promo Calendar'!$D$6:$D$400,IF($G768="","All",$G768),'Promo Calendar'!$I$6:$I$400,"&lt;="&amp;$A768,'Promo Calendar'!$J$6:$J$400,"&gt;="&amp;$A768,'Promo Calendar'!$G$6:$G$400,"&gt;0")&gt;0,_xlfn.MINIFS('Promo Calendar'!$G$6:$G$400,'Promo Calendar'!$A$6:$A$400,$C768,'Promo Calendar'!$D$6:$D$400,IF($G768="","All",$G768),'Promo Calendar'!$I$6:$I$400,"&lt;="&amp;$A768,'Promo Calendar'!$J$6:$J$400,"&gt;="&amp;$A768,'Promo Calendar'!$G$6:$G$400,"&gt;0"),IF(COUNTIFS('Promo Calendar'!$A$6:$A$400,$C768,'Promo Calendar'!$D$6:$D$400,"All",'Promo Calendar'!$I$6:$I$400,"&lt;="&amp;$A768,'Promo Calendar'!$J$6:$J$400,"&gt;="&amp;$A768,'Promo Calendar'!$G$6:$G$400,"&gt;0")&gt;0,_xlfn.MINIFS('Promo Calendar'!$G$6:$G$400,'Promo Calendar'!$A$6:$A$400,$C768,'Promo Calendar'!$D$6:$D$400,"All",'Promo Calendar'!$I$6:$I$400,"&lt;="&amp;$A768,'Promo Calendar'!$J$6:$J$400,"&gt;="&amp;$A768,'Promo Calendar'!$G$6:$G$400,"&gt;0"),IFERROR(IF(INDEX('Chain Program'!$M$6:$M$120,MATCH($C768,'Chain Program'!$A$6:$A$120,0))="","Not set",INDEX('Chain Program'!$M$6:$M$120,MATCH($C768,'Chain Program'!$A$6:$A$120,0))),"Not set"))))</f>
        <v/>
      </c>
      <c r="I768" s="61" t="n"/>
      <c r="J768" s="45">
        <f>IF($I768="","",IF(NOT(ISNUMBER($H768)),"No plan price",IF(ABS($I768-$H768)&lt;0.005,"Match",IF($I768&gt;$H768,"Over plan","Under plan"))))</f>
        <v/>
      </c>
      <c r="K768" s="60" t="n"/>
      <c r="L768" s="60" t="n"/>
      <c r="M768" s="60" t="n"/>
      <c r="N768" s="60" t="n"/>
      <c r="O768" s="60" t="n"/>
      <c r="P768" s="62" t="n"/>
      <c r="Q768" s="62" t="n"/>
      <c r="R768" s="60" t="n"/>
      <c r="S768" s="59" t="n"/>
      <c r="T768" s="60" t="n"/>
      <c r="U768" s="59" t="n"/>
      <c r="V768" s="45">
        <f>IF(OR($A768="",$T768="",$T768="No Issue"),"",IF($T768="Resolved",IF($U768="","",$U768-$A768),TODAY()-$A768))</f>
        <v/>
      </c>
      <c r="W768" s="47">
        <f>IF(AND($C768&lt;&gt;"",$C768='Store History'!$C$4,OR('Store History'!$C$5="",$F768='Store History'!$C$5)),1,0)</f>
        <v/>
      </c>
      <c r="X768" s="47">
        <f>IF($W768=1,SUM($W768:$W$1005),"")</f>
        <v/>
      </c>
    </row>
    <row r="769">
      <c r="A769" s="59" t="n"/>
      <c r="B769" s="60" t="n"/>
      <c r="C769" s="60" t="n"/>
      <c r="D769" s="45">
        <f>IF($C769="","",IFERROR(INDEX('Chain Program'!$B$6:$B$120,MATCH($C769,'Chain Program'!$A$6:$A$120,0)),"Unknown ID"))</f>
        <v/>
      </c>
      <c r="E769" s="45">
        <f>IF($C769="","",IFERROR(INDEX('Chain Program'!$D$6:$D$120,MATCH($C769,'Chain Program'!$A$6:$A$120,0)),"Unknown ID"))</f>
        <v/>
      </c>
      <c r="F769" s="60" t="n"/>
      <c r="G769" s="60" t="n"/>
      <c r="H769" s="56">
        <f>IF(OR($C769="",$A769=""),"",IF(COUNTIFS('Promo Calendar'!$A$6:$A$400,$C769,'Promo Calendar'!$D$6:$D$400,IF($G769="","All",$G769),'Promo Calendar'!$I$6:$I$400,"&lt;="&amp;$A769,'Promo Calendar'!$J$6:$J$400,"&gt;="&amp;$A769,'Promo Calendar'!$G$6:$G$400,"&gt;0")&gt;0,_xlfn.MINIFS('Promo Calendar'!$G$6:$G$400,'Promo Calendar'!$A$6:$A$400,$C769,'Promo Calendar'!$D$6:$D$400,IF($G769="","All",$G769),'Promo Calendar'!$I$6:$I$400,"&lt;="&amp;$A769,'Promo Calendar'!$J$6:$J$400,"&gt;="&amp;$A769,'Promo Calendar'!$G$6:$G$400,"&gt;0"),IF(COUNTIFS('Promo Calendar'!$A$6:$A$400,$C769,'Promo Calendar'!$D$6:$D$400,"All",'Promo Calendar'!$I$6:$I$400,"&lt;="&amp;$A769,'Promo Calendar'!$J$6:$J$400,"&gt;="&amp;$A769,'Promo Calendar'!$G$6:$G$400,"&gt;0")&gt;0,_xlfn.MINIFS('Promo Calendar'!$G$6:$G$400,'Promo Calendar'!$A$6:$A$400,$C769,'Promo Calendar'!$D$6:$D$400,"All",'Promo Calendar'!$I$6:$I$400,"&lt;="&amp;$A769,'Promo Calendar'!$J$6:$J$400,"&gt;="&amp;$A769,'Promo Calendar'!$G$6:$G$400,"&gt;0"),IFERROR(IF(INDEX('Chain Program'!$M$6:$M$120,MATCH($C769,'Chain Program'!$A$6:$A$120,0))="","Not set",INDEX('Chain Program'!$M$6:$M$120,MATCH($C769,'Chain Program'!$A$6:$A$120,0))),"Not set"))))</f>
        <v/>
      </c>
      <c r="I769" s="61" t="n"/>
      <c r="J769" s="45">
        <f>IF($I769="","",IF(NOT(ISNUMBER($H769)),"No plan price",IF(ABS($I769-$H769)&lt;0.005,"Match",IF($I769&gt;$H769,"Over plan","Under plan"))))</f>
        <v/>
      </c>
      <c r="K769" s="60" t="n"/>
      <c r="L769" s="60" t="n"/>
      <c r="M769" s="60" t="n"/>
      <c r="N769" s="60" t="n"/>
      <c r="O769" s="60" t="n"/>
      <c r="P769" s="62" t="n"/>
      <c r="Q769" s="62" t="n"/>
      <c r="R769" s="60" t="n"/>
      <c r="S769" s="59" t="n"/>
      <c r="T769" s="60" t="n"/>
      <c r="U769" s="59" t="n"/>
      <c r="V769" s="45">
        <f>IF(OR($A769="",$T769="",$T769="No Issue"),"",IF($T769="Resolved",IF($U769="","",$U769-$A769),TODAY()-$A769))</f>
        <v/>
      </c>
      <c r="W769" s="47">
        <f>IF(AND($C769&lt;&gt;"",$C769='Store History'!$C$4,OR('Store History'!$C$5="",$F769='Store History'!$C$5)),1,0)</f>
        <v/>
      </c>
      <c r="X769" s="47">
        <f>IF($W769=1,SUM($W769:$W$1005),"")</f>
        <v/>
      </c>
    </row>
    <row r="770">
      <c r="A770" s="59" t="n"/>
      <c r="B770" s="60" t="n"/>
      <c r="C770" s="60" t="n"/>
      <c r="D770" s="45">
        <f>IF($C770="","",IFERROR(INDEX('Chain Program'!$B$6:$B$120,MATCH($C770,'Chain Program'!$A$6:$A$120,0)),"Unknown ID"))</f>
        <v/>
      </c>
      <c r="E770" s="45">
        <f>IF($C770="","",IFERROR(INDEX('Chain Program'!$D$6:$D$120,MATCH($C770,'Chain Program'!$A$6:$A$120,0)),"Unknown ID"))</f>
        <v/>
      </c>
      <c r="F770" s="60" t="n"/>
      <c r="G770" s="60" t="n"/>
      <c r="H770" s="56">
        <f>IF(OR($C770="",$A770=""),"",IF(COUNTIFS('Promo Calendar'!$A$6:$A$400,$C770,'Promo Calendar'!$D$6:$D$400,IF($G770="","All",$G770),'Promo Calendar'!$I$6:$I$400,"&lt;="&amp;$A770,'Promo Calendar'!$J$6:$J$400,"&gt;="&amp;$A770,'Promo Calendar'!$G$6:$G$400,"&gt;0")&gt;0,_xlfn.MINIFS('Promo Calendar'!$G$6:$G$400,'Promo Calendar'!$A$6:$A$400,$C770,'Promo Calendar'!$D$6:$D$400,IF($G770="","All",$G770),'Promo Calendar'!$I$6:$I$400,"&lt;="&amp;$A770,'Promo Calendar'!$J$6:$J$400,"&gt;="&amp;$A770,'Promo Calendar'!$G$6:$G$400,"&gt;0"),IF(COUNTIFS('Promo Calendar'!$A$6:$A$400,$C770,'Promo Calendar'!$D$6:$D$400,"All",'Promo Calendar'!$I$6:$I$400,"&lt;="&amp;$A770,'Promo Calendar'!$J$6:$J$400,"&gt;="&amp;$A770,'Promo Calendar'!$G$6:$G$400,"&gt;0")&gt;0,_xlfn.MINIFS('Promo Calendar'!$G$6:$G$400,'Promo Calendar'!$A$6:$A$400,$C770,'Promo Calendar'!$D$6:$D$400,"All",'Promo Calendar'!$I$6:$I$400,"&lt;="&amp;$A770,'Promo Calendar'!$J$6:$J$400,"&gt;="&amp;$A770,'Promo Calendar'!$G$6:$G$400,"&gt;0"),IFERROR(IF(INDEX('Chain Program'!$M$6:$M$120,MATCH($C770,'Chain Program'!$A$6:$A$120,0))="","Not set",INDEX('Chain Program'!$M$6:$M$120,MATCH($C770,'Chain Program'!$A$6:$A$120,0))),"Not set"))))</f>
        <v/>
      </c>
      <c r="I770" s="61" t="n"/>
      <c r="J770" s="45">
        <f>IF($I770="","",IF(NOT(ISNUMBER($H770)),"No plan price",IF(ABS($I770-$H770)&lt;0.005,"Match",IF($I770&gt;$H770,"Over plan","Under plan"))))</f>
        <v/>
      </c>
      <c r="K770" s="60" t="n"/>
      <c r="L770" s="60" t="n"/>
      <c r="M770" s="60" t="n"/>
      <c r="N770" s="60" t="n"/>
      <c r="O770" s="60" t="n"/>
      <c r="P770" s="62" t="n"/>
      <c r="Q770" s="62" t="n"/>
      <c r="R770" s="60" t="n"/>
      <c r="S770" s="59" t="n"/>
      <c r="T770" s="60" t="n"/>
      <c r="U770" s="59" t="n"/>
      <c r="V770" s="45">
        <f>IF(OR($A770="",$T770="",$T770="No Issue"),"",IF($T770="Resolved",IF($U770="","",$U770-$A770),TODAY()-$A770))</f>
        <v/>
      </c>
      <c r="W770" s="47">
        <f>IF(AND($C770&lt;&gt;"",$C770='Store History'!$C$4,OR('Store History'!$C$5="",$F770='Store History'!$C$5)),1,0)</f>
        <v/>
      </c>
      <c r="X770" s="47">
        <f>IF($W770=1,SUM($W770:$W$1005),"")</f>
        <v/>
      </c>
    </row>
    <row r="771">
      <c r="A771" s="59" t="n"/>
      <c r="B771" s="60" t="n"/>
      <c r="C771" s="60" t="n"/>
      <c r="D771" s="45">
        <f>IF($C771="","",IFERROR(INDEX('Chain Program'!$B$6:$B$120,MATCH($C771,'Chain Program'!$A$6:$A$120,0)),"Unknown ID"))</f>
        <v/>
      </c>
      <c r="E771" s="45">
        <f>IF($C771="","",IFERROR(INDEX('Chain Program'!$D$6:$D$120,MATCH($C771,'Chain Program'!$A$6:$A$120,0)),"Unknown ID"))</f>
        <v/>
      </c>
      <c r="F771" s="60" t="n"/>
      <c r="G771" s="60" t="n"/>
      <c r="H771" s="56">
        <f>IF(OR($C771="",$A771=""),"",IF(COUNTIFS('Promo Calendar'!$A$6:$A$400,$C771,'Promo Calendar'!$D$6:$D$400,IF($G771="","All",$G771),'Promo Calendar'!$I$6:$I$400,"&lt;="&amp;$A771,'Promo Calendar'!$J$6:$J$400,"&gt;="&amp;$A771,'Promo Calendar'!$G$6:$G$400,"&gt;0")&gt;0,_xlfn.MINIFS('Promo Calendar'!$G$6:$G$400,'Promo Calendar'!$A$6:$A$400,$C771,'Promo Calendar'!$D$6:$D$400,IF($G771="","All",$G771),'Promo Calendar'!$I$6:$I$400,"&lt;="&amp;$A771,'Promo Calendar'!$J$6:$J$400,"&gt;="&amp;$A771,'Promo Calendar'!$G$6:$G$400,"&gt;0"),IF(COUNTIFS('Promo Calendar'!$A$6:$A$400,$C771,'Promo Calendar'!$D$6:$D$400,"All",'Promo Calendar'!$I$6:$I$400,"&lt;="&amp;$A771,'Promo Calendar'!$J$6:$J$400,"&gt;="&amp;$A771,'Promo Calendar'!$G$6:$G$400,"&gt;0")&gt;0,_xlfn.MINIFS('Promo Calendar'!$G$6:$G$400,'Promo Calendar'!$A$6:$A$400,$C771,'Promo Calendar'!$D$6:$D$400,"All",'Promo Calendar'!$I$6:$I$400,"&lt;="&amp;$A771,'Promo Calendar'!$J$6:$J$400,"&gt;="&amp;$A771,'Promo Calendar'!$G$6:$G$400,"&gt;0"),IFERROR(IF(INDEX('Chain Program'!$M$6:$M$120,MATCH($C771,'Chain Program'!$A$6:$A$120,0))="","Not set",INDEX('Chain Program'!$M$6:$M$120,MATCH($C771,'Chain Program'!$A$6:$A$120,0))),"Not set"))))</f>
        <v/>
      </c>
      <c r="I771" s="61" t="n"/>
      <c r="J771" s="45">
        <f>IF($I771="","",IF(NOT(ISNUMBER($H771)),"No plan price",IF(ABS($I771-$H771)&lt;0.005,"Match",IF($I771&gt;$H771,"Over plan","Under plan"))))</f>
        <v/>
      </c>
      <c r="K771" s="60" t="n"/>
      <c r="L771" s="60" t="n"/>
      <c r="M771" s="60" t="n"/>
      <c r="N771" s="60" t="n"/>
      <c r="O771" s="60" t="n"/>
      <c r="P771" s="62" t="n"/>
      <c r="Q771" s="62" t="n"/>
      <c r="R771" s="60" t="n"/>
      <c r="S771" s="59" t="n"/>
      <c r="T771" s="60" t="n"/>
      <c r="U771" s="59" t="n"/>
      <c r="V771" s="45">
        <f>IF(OR($A771="",$T771="",$T771="No Issue"),"",IF($T771="Resolved",IF($U771="","",$U771-$A771),TODAY()-$A771))</f>
        <v/>
      </c>
      <c r="W771" s="47">
        <f>IF(AND($C771&lt;&gt;"",$C771='Store History'!$C$4,OR('Store History'!$C$5="",$F771='Store History'!$C$5)),1,0)</f>
        <v/>
      </c>
      <c r="X771" s="47">
        <f>IF($W771=1,SUM($W771:$W$1005),"")</f>
        <v/>
      </c>
    </row>
    <row r="772">
      <c r="A772" s="59" t="n"/>
      <c r="B772" s="60" t="n"/>
      <c r="C772" s="60" t="n"/>
      <c r="D772" s="45">
        <f>IF($C772="","",IFERROR(INDEX('Chain Program'!$B$6:$B$120,MATCH($C772,'Chain Program'!$A$6:$A$120,0)),"Unknown ID"))</f>
        <v/>
      </c>
      <c r="E772" s="45">
        <f>IF($C772="","",IFERROR(INDEX('Chain Program'!$D$6:$D$120,MATCH($C772,'Chain Program'!$A$6:$A$120,0)),"Unknown ID"))</f>
        <v/>
      </c>
      <c r="F772" s="60" t="n"/>
      <c r="G772" s="60" t="n"/>
      <c r="H772" s="56">
        <f>IF(OR($C772="",$A772=""),"",IF(COUNTIFS('Promo Calendar'!$A$6:$A$400,$C772,'Promo Calendar'!$D$6:$D$400,IF($G772="","All",$G772),'Promo Calendar'!$I$6:$I$400,"&lt;="&amp;$A772,'Promo Calendar'!$J$6:$J$400,"&gt;="&amp;$A772,'Promo Calendar'!$G$6:$G$400,"&gt;0")&gt;0,_xlfn.MINIFS('Promo Calendar'!$G$6:$G$400,'Promo Calendar'!$A$6:$A$400,$C772,'Promo Calendar'!$D$6:$D$400,IF($G772="","All",$G772),'Promo Calendar'!$I$6:$I$400,"&lt;="&amp;$A772,'Promo Calendar'!$J$6:$J$400,"&gt;="&amp;$A772,'Promo Calendar'!$G$6:$G$400,"&gt;0"),IF(COUNTIFS('Promo Calendar'!$A$6:$A$400,$C772,'Promo Calendar'!$D$6:$D$400,"All",'Promo Calendar'!$I$6:$I$400,"&lt;="&amp;$A772,'Promo Calendar'!$J$6:$J$400,"&gt;="&amp;$A772,'Promo Calendar'!$G$6:$G$400,"&gt;0")&gt;0,_xlfn.MINIFS('Promo Calendar'!$G$6:$G$400,'Promo Calendar'!$A$6:$A$400,$C772,'Promo Calendar'!$D$6:$D$400,"All",'Promo Calendar'!$I$6:$I$400,"&lt;="&amp;$A772,'Promo Calendar'!$J$6:$J$400,"&gt;="&amp;$A772,'Promo Calendar'!$G$6:$G$400,"&gt;0"),IFERROR(IF(INDEX('Chain Program'!$M$6:$M$120,MATCH($C772,'Chain Program'!$A$6:$A$120,0))="","Not set",INDEX('Chain Program'!$M$6:$M$120,MATCH($C772,'Chain Program'!$A$6:$A$120,0))),"Not set"))))</f>
        <v/>
      </c>
      <c r="I772" s="61" t="n"/>
      <c r="J772" s="45">
        <f>IF($I772="","",IF(NOT(ISNUMBER($H772)),"No plan price",IF(ABS($I772-$H772)&lt;0.005,"Match",IF($I772&gt;$H772,"Over plan","Under plan"))))</f>
        <v/>
      </c>
      <c r="K772" s="60" t="n"/>
      <c r="L772" s="60" t="n"/>
      <c r="M772" s="60" t="n"/>
      <c r="N772" s="60" t="n"/>
      <c r="O772" s="60" t="n"/>
      <c r="P772" s="62" t="n"/>
      <c r="Q772" s="62" t="n"/>
      <c r="R772" s="60" t="n"/>
      <c r="S772" s="59" t="n"/>
      <c r="T772" s="60" t="n"/>
      <c r="U772" s="59" t="n"/>
      <c r="V772" s="45">
        <f>IF(OR($A772="",$T772="",$T772="No Issue"),"",IF($T772="Resolved",IF($U772="","",$U772-$A772),TODAY()-$A772))</f>
        <v/>
      </c>
      <c r="W772" s="47">
        <f>IF(AND($C772&lt;&gt;"",$C772='Store History'!$C$4,OR('Store History'!$C$5="",$F772='Store History'!$C$5)),1,0)</f>
        <v/>
      </c>
      <c r="X772" s="47">
        <f>IF($W772=1,SUM($W772:$W$1005),"")</f>
        <v/>
      </c>
    </row>
    <row r="773">
      <c r="A773" s="59" t="n"/>
      <c r="B773" s="60" t="n"/>
      <c r="C773" s="60" t="n"/>
      <c r="D773" s="45">
        <f>IF($C773="","",IFERROR(INDEX('Chain Program'!$B$6:$B$120,MATCH($C773,'Chain Program'!$A$6:$A$120,0)),"Unknown ID"))</f>
        <v/>
      </c>
      <c r="E773" s="45">
        <f>IF($C773="","",IFERROR(INDEX('Chain Program'!$D$6:$D$120,MATCH($C773,'Chain Program'!$A$6:$A$120,0)),"Unknown ID"))</f>
        <v/>
      </c>
      <c r="F773" s="60" t="n"/>
      <c r="G773" s="60" t="n"/>
      <c r="H773" s="56">
        <f>IF(OR($C773="",$A773=""),"",IF(COUNTIFS('Promo Calendar'!$A$6:$A$400,$C773,'Promo Calendar'!$D$6:$D$400,IF($G773="","All",$G773),'Promo Calendar'!$I$6:$I$400,"&lt;="&amp;$A773,'Promo Calendar'!$J$6:$J$400,"&gt;="&amp;$A773,'Promo Calendar'!$G$6:$G$400,"&gt;0")&gt;0,_xlfn.MINIFS('Promo Calendar'!$G$6:$G$400,'Promo Calendar'!$A$6:$A$400,$C773,'Promo Calendar'!$D$6:$D$400,IF($G773="","All",$G773),'Promo Calendar'!$I$6:$I$400,"&lt;="&amp;$A773,'Promo Calendar'!$J$6:$J$400,"&gt;="&amp;$A773,'Promo Calendar'!$G$6:$G$400,"&gt;0"),IF(COUNTIFS('Promo Calendar'!$A$6:$A$400,$C773,'Promo Calendar'!$D$6:$D$400,"All",'Promo Calendar'!$I$6:$I$400,"&lt;="&amp;$A773,'Promo Calendar'!$J$6:$J$400,"&gt;="&amp;$A773,'Promo Calendar'!$G$6:$G$400,"&gt;0")&gt;0,_xlfn.MINIFS('Promo Calendar'!$G$6:$G$400,'Promo Calendar'!$A$6:$A$400,$C773,'Promo Calendar'!$D$6:$D$400,"All",'Promo Calendar'!$I$6:$I$400,"&lt;="&amp;$A773,'Promo Calendar'!$J$6:$J$400,"&gt;="&amp;$A773,'Promo Calendar'!$G$6:$G$400,"&gt;0"),IFERROR(IF(INDEX('Chain Program'!$M$6:$M$120,MATCH($C773,'Chain Program'!$A$6:$A$120,0))="","Not set",INDEX('Chain Program'!$M$6:$M$120,MATCH($C773,'Chain Program'!$A$6:$A$120,0))),"Not set"))))</f>
        <v/>
      </c>
      <c r="I773" s="61" t="n"/>
      <c r="J773" s="45">
        <f>IF($I773="","",IF(NOT(ISNUMBER($H773)),"No plan price",IF(ABS($I773-$H773)&lt;0.005,"Match",IF($I773&gt;$H773,"Over plan","Under plan"))))</f>
        <v/>
      </c>
      <c r="K773" s="60" t="n"/>
      <c r="L773" s="60" t="n"/>
      <c r="M773" s="60" t="n"/>
      <c r="N773" s="60" t="n"/>
      <c r="O773" s="60" t="n"/>
      <c r="P773" s="62" t="n"/>
      <c r="Q773" s="62" t="n"/>
      <c r="R773" s="60" t="n"/>
      <c r="S773" s="59" t="n"/>
      <c r="T773" s="60" t="n"/>
      <c r="U773" s="59" t="n"/>
      <c r="V773" s="45">
        <f>IF(OR($A773="",$T773="",$T773="No Issue"),"",IF($T773="Resolved",IF($U773="","",$U773-$A773),TODAY()-$A773))</f>
        <v/>
      </c>
      <c r="W773" s="47">
        <f>IF(AND($C773&lt;&gt;"",$C773='Store History'!$C$4,OR('Store History'!$C$5="",$F773='Store History'!$C$5)),1,0)</f>
        <v/>
      </c>
      <c r="X773" s="47">
        <f>IF($W773=1,SUM($W773:$W$1005),"")</f>
        <v/>
      </c>
    </row>
    <row r="774">
      <c r="A774" s="59" t="n"/>
      <c r="B774" s="60" t="n"/>
      <c r="C774" s="60" t="n"/>
      <c r="D774" s="45">
        <f>IF($C774="","",IFERROR(INDEX('Chain Program'!$B$6:$B$120,MATCH($C774,'Chain Program'!$A$6:$A$120,0)),"Unknown ID"))</f>
        <v/>
      </c>
      <c r="E774" s="45">
        <f>IF($C774="","",IFERROR(INDEX('Chain Program'!$D$6:$D$120,MATCH($C774,'Chain Program'!$A$6:$A$120,0)),"Unknown ID"))</f>
        <v/>
      </c>
      <c r="F774" s="60" t="n"/>
      <c r="G774" s="60" t="n"/>
      <c r="H774" s="56">
        <f>IF(OR($C774="",$A774=""),"",IF(COUNTIFS('Promo Calendar'!$A$6:$A$400,$C774,'Promo Calendar'!$D$6:$D$400,IF($G774="","All",$G774),'Promo Calendar'!$I$6:$I$400,"&lt;="&amp;$A774,'Promo Calendar'!$J$6:$J$400,"&gt;="&amp;$A774,'Promo Calendar'!$G$6:$G$400,"&gt;0")&gt;0,_xlfn.MINIFS('Promo Calendar'!$G$6:$G$400,'Promo Calendar'!$A$6:$A$400,$C774,'Promo Calendar'!$D$6:$D$400,IF($G774="","All",$G774),'Promo Calendar'!$I$6:$I$400,"&lt;="&amp;$A774,'Promo Calendar'!$J$6:$J$400,"&gt;="&amp;$A774,'Promo Calendar'!$G$6:$G$400,"&gt;0"),IF(COUNTIFS('Promo Calendar'!$A$6:$A$400,$C774,'Promo Calendar'!$D$6:$D$400,"All",'Promo Calendar'!$I$6:$I$400,"&lt;="&amp;$A774,'Promo Calendar'!$J$6:$J$400,"&gt;="&amp;$A774,'Promo Calendar'!$G$6:$G$400,"&gt;0")&gt;0,_xlfn.MINIFS('Promo Calendar'!$G$6:$G$400,'Promo Calendar'!$A$6:$A$400,$C774,'Promo Calendar'!$D$6:$D$400,"All",'Promo Calendar'!$I$6:$I$400,"&lt;="&amp;$A774,'Promo Calendar'!$J$6:$J$400,"&gt;="&amp;$A774,'Promo Calendar'!$G$6:$G$400,"&gt;0"),IFERROR(IF(INDEX('Chain Program'!$M$6:$M$120,MATCH($C774,'Chain Program'!$A$6:$A$120,0))="","Not set",INDEX('Chain Program'!$M$6:$M$120,MATCH($C774,'Chain Program'!$A$6:$A$120,0))),"Not set"))))</f>
        <v/>
      </c>
      <c r="I774" s="61" t="n"/>
      <c r="J774" s="45">
        <f>IF($I774="","",IF(NOT(ISNUMBER($H774)),"No plan price",IF(ABS($I774-$H774)&lt;0.005,"Match",IF($I774&gt;$H774,"Over plan","Under plan"))))</f>
        <v/>
      </c>
      <c r="K774" s="60" t="n"/>
      <c r="L774" s="60" t="n"/>
      <c r="M774" s="60" t="n"/>
      <c r="N774" s="60" t="n"/>
      <c r="O774" s="60" t="n"/>
      <c r="P774" s="62" t="n"/>
      <c r="Q774" s="62" t="n"/>
      <c r="R774" s="60" t="n"/>
      <c r="S774" s="59" t="n"/>
      <c r="T774" s="60" t="n"/>
      <c r="U774" s="59" t="n"/>
      <c r="V774" s="45">
        <f>IF(OR($A774="",$T774="",$T774="No Issue"),"",IF($T774="Resolved",IF($U774="","",$U774-$A774),TODAY()-$A774))</f>
        <v/>
      </c>
      <c r="W774" s="47">
        <f>IF(AND($C774&lt;&gt;"",$C774='Store History'!$C$4,OR('Store History'!$C$5="",$F774='Store History'!$C$5)),1,0)</f>
        <v/>
      </c>
      <c r="X774" s="47">
        <f>IF($W774=1,SUM($W774:$W$1005),"")</f>
        <v/>
      </c>
    </row>
    <row r="775">
      <c r="A775" s="59" t="n"/>
      <c r="B775" s="60" t="n"/>
      <c r="C775" s="60" t="n"/>
      <c r="D775" s="45">
        <f>IF($C775="","",IFERROR(INDEX('Chain Program'!$B$6:$B$120,MATCH($C775,'Chain Program'!$A$6:$A$120,0)),"Unknown ID"))</f>
        <v/>
      </c>
      <c r="E775" s="45">
        <f>IF($C775="","",IFERROR(INDEX('Chain Program'!$D$6:$D$120,MATCH($C775,'Chain Program'!$A$6:$A$120,0)),"Unknown ID"))</f>
        <v/>
      </c>
      <c r="F775" s="60" t="n"/>
      <c r="G775" s="60" t="n"/>
      <c r="H775" s="56">
        <f>IF(OR($C775="",$A775=""),"",IF(COUNTIFS('Promo Calendar'!$A$6:$A$400,$C775,'Promo Calendar'!$D$6:$D$400,IF($G775="","All",$G775),'Promo Calendar'!$I$6:$I$400,"&lt;="&amp;$A775,'Promo Calendar'!$J$6:$J$400,"&gt;="&amp;$A775,'Promo Calendar'!$G$6:$G$400,"&gt;0")&gt;0,_xlfn.MINIFS('Promo Calendar'!$G$6:$G$400,'Promo Calendar'!$A$6:$A$400,$C775,'Promo Calendar'!$D$6:$D$400,IF($G775="","All",$G775),'Promo Calendar'!$I$6:$I$400,"&lt;="&amp;$A775,'Promo Calendar'!$J$6:$J$400,"&gt;="&amp;$A775,'Promo Calendar'!$G$6:$G$400,"&gt;0"),IF(COUNTIFS('Promo Calendar'!$A$6:$A$400,$C775,'Promo Calendar'!$D$6:$D$400,"All",'Promo Calendar'!$I$6:$I$400,"&lt;="&amp;$A775,'Promo Calendar'!$J$6:$J$400,"&gt;="&amp;$A775,'Promo Calendar'!$G$6:$G$400,"&gt;0")&gt;0,_xlfn.MINIFS('Promo Calendar'!$G$6:$G$400,'Promo Calendar'!$A$6:$A$400,$C775,'Promo Calendar'!$D$6:$D$400,"All",'Promo Calendar'!$I$6:$I$400,"&lt;="&amp;$A775,'Promo Calendar'!$J$6:$J$400,"&gt;="&amp;$A775,'Promo Calendar'!$G$6:$G$400,"&gt;0"),IFERROR(IF(INDEX('Chain Program'!$M$6:$M$120,MATCH($C775,'Chain Program'!$A$6:$A$120,0))="","Not set",INDEX('Chain Program'!$M$6:$M$120,MATCH($C775,'Chain Program'!$A$6:$A$120,0))),"Not set"))))</f>
        <v/>
      </c>
      <c r="I775" s="61" t="n"/>
      <c r="J775" s="45">
        <f>IF($I775="","",IF(NOT(ISNUMBER($H775)),"No plan price",IF(ABS($I775-$H775)&lt;0.005,"Match",IF($I775&gt;$H775,"Over plan","Under plan"))))</f>
        <v/>
      </c>
      <c r="K775" s="60" t="n"/>
      <c r="L775" s="60" t="n"/>
      <c r="M775" s="60" t="n"/>
      <c r="N775" s="60" t="n"/>
      <c r="O775" s="60" t="n"/>
      <c r="P775" s="62" t="n"/>
      <c r="Q775" s="62" t="n"/>
      <c r="R775" s="60" t="n"/>
      <c r="S775" s="59" t="n"/>
      <c r="T775" s="60" t="n"/>
      <c r="U775" s="59" t="n"/>
      <c r="V775" s="45">
        <f>IF(OR($A775="",$T775="",$T775="No Issue"),"",IF($T775="Resolved",IF($U775="","",$U775-$A775),TODAY()-$A775))</f>
        <v/>
      </c>
      <c r="W775" s="47">
        <f>IF(AND($C775&lt;&gt;"",$C775='Store History'!$C$4,OR('Store History'!$C$5="",$F775='Store History'!$C$5)),1,0)</f>
        <v/>
      </c>
      <c r="X775" s="47">
        <f>IF($W775=1,SUM($W775:$W$1005),"")</f>
        <v/>
      </c>
    </row>
    <row r="776">
      <c r="A776" s="59" t="n"/>
      <c r="B776" s="60" t="n"/>
      <c r="C776" s="60" t="n"/>
      <c r="D776" s="45">
        <f>IF($C776="","",IFERROR(INDEX('Chain Program'!$B$6:$B$120,MATCH($C776,'Chain Program'!$A$6:$A$120,0)),"Unknown ID"))</f>
        <v/>
      </c>
      <c r="E776" s="45">
        <f>IF($C776="","",IFERROR(INDEX('Chain Program'!$D$6:$D$120,MATCH($C776,'Chain Program'!$A$6:$A$120,0)),"Unknown ID"))</f>
        <v/>
      </c>
      <c r="F776" s="60" t="n"/>
      <c r="G776" s="60" t="n"/>
      <c r="H776" s="56">
        <f>IF(OR($C776="",$A776=""),"",IF(COUNTIFS('Promo Calendar'!$A$6:$A$400,$C776,'Promo Calendar'!$D$6:$D$400,IF($G776="","All",$G776),'Promo Calendar'!$I$6:$I$400,"&lt;="&amp;$A776,'Promo Calendar'!$J$6:$J$400,"&gt;="&amp;$A776,'Promo Calendar'!$G$6:$G$400,"&gt;0")&gt;0,_xlfn.MINIFS('Promo Calendar'!$G$6:$G$400,'Promo Calendar'!$A$6:$A$400,$C776,'Promo Calendar'!$D$6:$D$400,IF($G776="","All",$G776),'Promo Calendar'!$I$6:$I$400,"&lt;="&amp;$A776,'Promo Calendar'!$J$6:$J$400,"&gt;="&amp;$A776,'Promo Calendar'!$G$6:$G$400,"&gt;0"),IF(COUNTIFS('Promo Calendar'!$A$6:$A$400,$C776,'Promo Calendar'!$D$6:$D$400,"All",'Promo Calendar'!$I$6:$I$400,"&lt;="&amp;$A776,'Promo Calendar'!$J$6:$J$400,"&gt;="&amp;$A776,'Promo Calendar'!$G$6:$G$400,"&gt;0")&gt;0,_xlfn.MINIFS('Promo Calendar'!$G$6:$G$400,'Promo Calendar'!$A$6:$A$400,$C776,'Promo Calendar'!$D$6:$D$400,"All",'Promo Calendar'!$I$6:$I$400,"&lt;="&amp;$A776,'Promo Calendar'!$J$6:$J$400,"&gt;="&amp;$A776,'Promo Calendar'!$G$6:$G$400,"&gt;0"),IFERROR(IF(INDEX('Chain Program'!$M$6:$M$120,MATCH($C776,'Chain Program'!$A$6:$A$120,0))="","Not set",INDEX('Chain Program'!$M$6:$M$120,MATCH($C776,'Chain Program'!$A$6:$A$120,0))),"Not set"))))</f>
        <v/>
      </c>
      <c r="I776" s="61" t="n"/>
      <c r="J776" s="45">
        <f>IF($I776="","",IF(NOT(ISNUMBER($H776)),"No plan price",IF(ABS($I776-$H776)&lt;0.005,"Match",IF($I776&gt;$H776,"Over plan","Under plan"))))</f>
        <v/>
      </c>
      <c r="K776" s="60" t="n"/>
      <c r="L776" s="60" t="n"/>
      <c r="M776" s="60" t="n"/>
      <c r="N776" s="60" t="n"/>
      <c r="O776" s="60" t="n"/>
      <c r="P776" s="62" t="n"/>
      <c r="Q776" s="62" t="n"/>
      <c r="R776" s="60" t="n"/>
      <c r="S776" s="59" t="n"/>
      <c r="T776" s="60" t="n"/>
      <c r="U776" s="59" t="n"/>
      <c r="V776" s="45">
        <f>IF(OR($A776="",$T776="",$T776="No Issue"),"",IF($T776="Resolved",IF($U776="","",$U776-$A776),TODAY()-$A776))</f>
        <v/>
      </c>
      <c r="W776" s="47">
        <f>IF(AND($C776&lt;&gt;"",$C776='Store History'!$C$4,OR('Store History'!$C$5="",$F776='Store History'!$C$5)),1,0)</f>
        <v/>
      </c>
      <c r="X776" s="47">
        <f>IF($W776=1,SUM($W776:$W$1005),"")</f>
        <v/>
      </c>
    </row>
    <row r="777">
      <c r="A777" s="59" t="n"/>
      <c r="B777" s="60" t="n"/>
      <c r="C777" s="60" t="n"/>
      <c r="D777" s="45">
        <f>IF($C777="","",IFERROR(INDEX('Chain Program'!$B$6:$B$120,MATCH($C777,'Chain Program'!$A$6:$A$120,0)),"Unknown ID"))</f>
        <v/>
      </c>
      <c r="E777" s="45">
        <f>IF($C777="","",IFERROR(INDEX('Chain Program'!$D$6:$D$120,MATCH($C777,'Chain Program'!$A$6:$A$120,0)),"Unknown ID"))</f>
        <v/>
      </c>
      <c r="F777" s="60" t="n"/>
      <c r="G777" s="60" t="n"/>
      <c r="H777" s="56">
        <f>IF(OR($C777="",$A777=""),"",IF(COUNTIFS('Promo Calendar'!$A$6:$A$400,$C777,'Promo Calendar'!$D$6:$D$400,IF($G777="","All",$G777),'Promo Calendar'!$I$6:$I$400,"&lt;="&amp;$A777,'Promo Calendar'!$J$6:$J$400,"&gt;="&amp;$A777,'Promo Calendar'!$G$6:$G$400,"&gt;0")&gt;0,_xlfn.MINIFS('Promo Calendar'!$G$6:$G$400,'Promo Calendar'!$A$6:$A$400,$C777,'Promo Calendar'!$D$6:$D$400,IF($G777="","All",$G777),'Promo Calendar'!$I$6:$I$400,"&lt;="&amp;$A777,'Promo Calendar'!$J$6:$J$400,"&gt;="&amp;$A777,'Promo Calendar'!$G$6:$G$400,"&gt;0"),IF(COUNTIFS('Promo Calendar'!$A$6:$A$400,$C777,'Promo Calendar'!$D$6:$D$400,"All",'Promo Calendar'!$I$6:$I$400,"&lt;="&amp;$A777,'Promo Calendar'!$J$6:$J$400,"&gt;="&amp;$A777,'Promo Calendar'!$G$6:$G$400,"&gt;0")&gt;0,_xlfn.MINIFS('Promo Calendar'!$G$6:$G$400,'Promo Calendar'!$A$6:$A$400,$C777,'Promo Calendar'!$D$6:$D$400,"All",'Promo Calendar'!$I$6:$I$400,"&lt;="&amp;$A777,'Promo Calendar'!$J$6:$J$400,"&gt;="&amp;$A777,'Promo Calendar'!$G$6:$G$400,"&gt;0"),IFERROR(IF(INDEX('Chain Program'!$M$6:$M$120,MATCH($C777,'Chain Program'!$A$6:$A$120,0))="","Not set",INDEX('Chain Program'!$M$6:$M$120,MATCH($C777,'Chain Program'!$A$6:$A$120,0))),"Not set"))))</f>
        <v/>
      </c>
      <c r="I777" s="61" t="n"/>
      <c r="J777" s="45">
        <f>IF($I777="","",IF(NOT(ISNUMBER($H777)),"No plan price",IF(ABS($I777-$H777)&lt;0.005,"Match",IF($I777&gt;$H777,"Over plan","Under plan"))))</f>
        <v/>
      </c>
      <c r="K777" s="60" t="n"/>
      <c r="L777" s="60" t="n"/>
      <c r="M777" s="60" t="n"/>
      <c r="N777" s="60" t="n"/>
      <c r="O777" s="60" t="n"/>
      <c r="P777" s="62" t="n"/>
      <c r="Q777" s="62" t="n"/>
      <c r="R777" s="60" t="n"/>
      <c r="S777" s="59" t="n"/>
      <c r="T777" s="60" t="n"/>
      <c r="U777" s="59" t="n"/>
      <c r="V777" s="45">
        <f>IF(OR($A777="",$T777="",$T777="No Issue"),"",IF($T777="Resolved",IF($U777="","",$U777-$A777),TODAY()-$A777))</f>
        <v/>
      </c>
      <c r="W777" s="47">
        <f>IF(AND($C777&lt;&gt;"",$C777='Store History'!$C$4,OR('Store History'!$C$5="",$F777='Store History'!$C$5)),1,0)</f>
        <v/>
      </c>
      <c r="X777" s="47">
        <f>IF($W777=1,SUM($W777:$W$1005),"")</f>
        <v/>
      </c>
    </row>
    <row r="778">
      <c r="A778" s="59" t="n"/>
      <c r="B778" s="60" t="n"/>
      <c r="C778" s="60" t="n"/>
      <c r="D778" s="45">
        <f>IF($C778="","",IFERROR(INDEX('Chain Program'!$B$6:$B$120,MATCH($C778,'Chain Program'!$A$6:$A$120,0)),"Unknown ID"))</f>
        <v/>
      </c>
      <c r="E778" s="45">
        <f>IF($C778="","",IFERROR(INDEX('Chain Program'!$D$6:$D$120,MATCH($C778,'Chain Program'!$A$6:$A$120,0)),"Unknown ID"))</f>
        <v/>
      </c>
      <c r="F778" s="60" t="n"/>
      <c r="G778" s="60" t="n"/>
      <c r="H778" s="56">
        <f>IF(OR($C778="",$A778=""),"",IF(COUNTIFS('Promo Calendar'!$A$6:$A$400,$C778,'Promo Calendar'!$D$6:$D$400,IF($G778="","All",$G778),'Promo Calendar'!$I$6:$I$400,"&lt;="&amp;$A778,'Promo Calendar'!$J$6:$J$400,"&gt;="&amp;$A778,'Promo Calendar'!$G$6:$G$400,"&gt;0")&gt;0,_xlfn.MINIFS('Promo Calendar'!$G$6:$G$400,'Promo Calendar'!$A$6:$A$400,$C778,'Promo Calendar'!$D$6:$D$400,IF($G778="","All",$G778),'Promo Calendar'!$I$6:$I$400,"&lt;="&amp;$A778,'Promo Calendar'!$J$6:$J$400,"&gt;="&amp;$A778,'Promo Calendar'!$G$6:$G$400,"&gt;0"),IF(COUNTIFS('Promo Calendar'!$A$6:$A$400,$C778,'Promo Calendar'!$D$6:$D$400,"All",'Promo Calendar'!$I$6:$I$400,"&lt;="&amp;$A778,'Promo Calendar'!$J$6:$J$400,"&gt;="&amp;$A778,'Promo Calendar'!$G$6:$G$400,"&gt;0")&gt;0,_xlfn.MINIFS('Promo Calendar'!$G$6:$G$400,'Promo Calendar'!$A$6:$A$400,$C778,'Promo Calendar'!$D$6:$D$400,"All",'Promo Calendar'!$I$6:$I$400,"&lt;="&amp;$A778,'Promo Calendar'!$J$6:$J$400,"&gt;="&amp;$A778,'Promo Calendar'!$G$6:$G$400,"&gt;0"),IFERROR(IF(INDEX('Chain Program'!$M$6:$M$120,MATCH($C778,'Chain Program'!$A$6:$A$120,0))="","Not set",INDEX('Chain Program'!$M$6:$M$120,MATCH($C778,'Chain Program'!$A$6:$A$120,0))),"Not set"))))</f>
        <v/>
      </c>
      <c r="I778" s="61" t="n"/>
      <c r="J778" s="45">
        <f>IF($I778="","",IF(NOT(ISNUMBER($H778)),"No plan price",IF(ABS($I778-$H778)&lt;0.005,"Match",IF($I778&gt;$H778,"Over plan","Under plan"))))</f>
        <v/>
      </c>
      <c r="K778" s="60" t="n"/>
      <c r="L778" s="60" t="n"/>
      <c r="M778" s="60" t="n"/>
      <c r="N778" s="60" t="n"/>
      <c r="O778" s="60" t="n"/>
      <c r="P778" s="62" t="n"/>
      <c r="Q778" s="62" t="n"/>
      <c r="R778" s="60" t="n"/>
      <c r="S778" s="59" t="n"/>
      <c r="T778" s="60" t="n"/>
      <c r="U778" s="59" t="n"/>
      <c r="V778" s="45">
        <f>IF(OR($A778="",$T778="",$T778="No Issue"),"",IF($T778="Resolved",IF($U778="","",$U778-$A778),TODAY()-$A778))</f>
        <v/>
      </c>
      <c r="W778" s="47">
        <f>IF(AND($C778&lt;&gt;"",$C778='Store History'!$C$4,OR('Store History'!$C$5="",$F778='Store History'!$C$5)),1,0)</f>
        <v/>
      </c>
      <c r="X778" s="47">
        <f>IF($W778=1,SUM($W778:$W$1005),"")</f>
        <v/>
      </c>
    </row>
    <row r="779">
      <c r="A779" s="59" t="n"/>
      <c r="B779" s="60" t="n"/>
      <c r="C779" s="60" t="n"/>
      <c r="D779" s="45">
        <f>IF($C779="","",IFERROR(INDEX('Chain Program'!$B$6:$B$120,MATCH($C779,'Chain Program'!$A$6:$A$120,0)),"Unknown ID"))</f>
        <v/>
      </c>
      <c r="E779" s="45">
        <f>IF($C779="","",IFERROR(INDEX('Chain Program'!$D$6:$D$120,MATCH($C779,'Chain Program'!$A$6:$A$120,0)),"Unknown ID"))</f>
        <v/>
      </c>
      <c r="F779" s="60" t="n"/>
      <c r="G779" s="60" t="n"/>
      <c r="H779" s="56">
        <f>IF(OR($C779="",$A779=""),"",IF(COUNTIFS('Promo Calendar'!$A$6:$A$400,$C779,'Promo Calendar'!$D$6:$D$400,IF($G779="","All",$G779),'Promo Calendar'!$I$6:$I$400,"&lt;="&amp;$A779,'Promo Calendar'!$J$6:$J$400,"&gt;="&amp;$A779,'Promo Calendar'!$G$6:$G$400,"&gt;0")&gt;0,_xlfn.MINIFS('Promo Calendar'!$G$6:$G$400,'Promo Calendar'!$A$6:$A$400,$C779,'Promo Calendar'!$D$6:$D$400,IF($G779="","All",$G779),'Promo Calendar'!$I$6:$I$400,"&lt;="&amp;$A779,'Promo Calendar'!$J$6:$J$400,"&gt;="&amp;$A779,'Promo Calendar'!$G$6:$G$400,"&gt;0"),IF(COUNTIFS('Promo Calendar'!$A$6:$A$400,$C779,'Promo Calendar'!$D$6:$D$400,"All",'Promo Calendar'!$I$6:$I$400,"&lt;="&amp;$A779,'Promo Calendar'!$J$6:$J$400,"&gt;="&amp;$A779,'Promo Calendar'!$G$6:$G$400,"&gt;0")&gt;0,_xlfn.MINIFS('Promo Calendar'!$G$6:$G$400,'Promo Calendar'!$A$6:$A$400,$C779,'Promo Calendar'!$D$6:$D$400,"All",'Promo Calendar'!$I$6:$I$400,"&lt;="&amp;$A779,'Promo Calendar'!$J$6:$J$400,"&gt;="&amp;$A779,'Promo Calendar'!$G$6:$G$400,"&gt;0"),IFERROR(IF(INDEX('Chain Program'!$M$6:$M$120,MATCH($C779,'Chain Program'!$A$6:$A$120,0))="","Not set",INDEX('Chain Program'!$M$6:$M$120,MATCH($C779,'Chain Program'!$A$6:$A$120,0))),"Not set"))))</f>
        <v/>
      </c>
      <c r="I779" s="61" t="n"/>
      <c r="J779" s="45">
        <f>IF($I779="","",IF(NOT(ISNUMBER($H779)),"No plan price",IF(ABS($I779-$H779)&lt;0.005,"Match",IF($I779&gt;$H779,"Over plan","Under plan"))))</f>
        <v/>
      </c>
      <c r="K779" s="60" t="n"/>
      <c r="L779" s="60" t="n"/>
      <c r="M779" s="60" t="n"/>
      <c r="N779" s="60" t="n"/>
      <c r="O779" s="60" t="n"/>
      <c r="P779" s="62" t="n"/>
      <c r="Q779" s="62" t="n"/>
      <c r="R779" s="60" t="n"/>
      <c r="S779" s="59" t="n"/>
      <c r="T779" s="60" t="n"/>
      <c r="U779" s="59" t="n"/>
      <c r="V779" s="45">
        <f>IF(OR($A779="",$T779="",$T779="No Issue"),"",IF($T779="Resolved",IF($U779="","",$U779-$A779),TODAY()-$A779))</f>
        <v/>
      </c>
      <c r="W779" s="47">
        <f>IF(AND($C779&lt;&gt;"",$C779='Store History'!$C$4,OR('Store History'!$C$5="",$F779='Store History'!$C$5)),1,0)</f>
        <v/>
      </c>
      <c r="X779" s="47">
        <f>IF($W779=1,SUM($W779:$W$1005),"")</f>
        <v/>
      </c>
    </row>
    <row r="780">
      <c r="A780" s="59" t="n"/>
      <c r="B780" s="60" t="n"/>
      <c r="C780" s="60" t="n"/>
      <c r="D780" s="45">
        <f>IF($C780="","",IFERROR(INDEX('Chain Program'!$B$6:$B$120,MATCH($C780,'Chain Program'!$A$6:$A$120,0)),"Unknown ID"))</f>
        <v/>
      </c>
      <c r="E780" s="45">
        <f>IF($C780="","",IFERROR(INDEX('Chain Program'!$D$6:$D$120,MATCH($C780,'Chain Program'!$A$6:$A$120,0)),"Unknown ID"))</f>
        <v/>
      </c>
      <c r="F780" s="60" t="n"/>
      <c r="G780" s="60" t="n"/>
      <c r="H780" s="56">
        <f>IF(OR($C780="",$A780=""),"",IF(COUNTIFS('Promo Calendar'!$A$6:$A$400,$C780,'Promo Calendar'!$D$6:$D$400,IF($G780="","All",$G780),'Promo Calendar'!$I$6:$I$400,"&lt;="&amp;$A780,'Promo Calendar'!$J$6:$J$400,"&gt;="&amp;$A780,'Promo Calendar'!$G$6:$G$400,"&gt;0")&gt;0,_xlfn.MINIFS('Promo Calendar'!$G$6:$G$400,'Promo Calendar'!$A$6:$A$400,$C780,'Promo Calendar'!$D$6:$D$400,IF($G780="","All",$G780),'Promo Calendar'!$I$6:$I$400,"&lt;="&amp;$A780,'Promo Calendar'!$J$6:$J$400,"&gt;="&amp;$A780,'Promo Calendar'!$G$6:$G$400,"&gt;0"),IF(COUNTIFS('Promo Calendar'!$A$6:$A$400,$C780,'Promo Calendar'!$D$6:$D$400,"All",'Promo Calendar'!$I$6:$I$400,"&lt;="&amp;$A780,'Promo Calendar'!$J$6:$J$400,"&gt;="&amp;$A780,'Promo Calendar'!$G$6:$G$400,"&gt;0")&gt;0,_xlfn.MINIFS('Promo Calendar'!$G$6:$G$400,'Promo Calendar'!$A$6:$A$400,$C780,'Promo Calendar'!$D$6:$D$400,"All",'Promo Calendar'!$I$6:$I$400,"&lt;="&amp;$A780,'Promo Calendar'!$J$6:$J$400,"&gt;="&amp;$A780,'Promo Calendar'!$G$6:$G$400,"&gt;0"),IFERROR(IF(INDEX('Chain Program'!$M$6:$M$120,MATCH($C780,'Chain Program'!$A$6:$A$120,0))="","Not set",INDEX('Chain Program'!$M$6:$M$120,MATCH($C780,'Chain Program'!$A$6:$A$120,0))),"Not set"))))</f>
        <v/>
      </c>
      <c r="I780" s="61" t="n"/>
      <c r="J780" s="45">
        <f>IF($I780="","",IF(NOT(ISNUMBER($H780)),"No plan price",IF(ABS($I780-$H780)&lt;0.005,"Match",IF($I780&gt;$H780,"Over plan","Under plan"))))</f>
        <v/>
      </c>
      <c r="K780" s="60" t="n"/>
      <c r="L780" s="60" t="n"/>
      <c r="M780" s="60" t="n"/>
      <c r="N780" s="60" t="n"/>
      <c r="O780" s="60" t="n"/>
      <c r="P780" s="62" t="n"/>
      <c r="Q780" s="62" t="n"/>
      <c r="R780" s="60" t="n"/>
      <c r="S780" s="59" t="n"/>
      <c r="T780" s="60" t="n"/>
      <c r="U780" s="59" t="n"/>
      <c r="V780" s="45">
        <f>IF(OR($A780="",$T780="",$T780="No Issue"),"",IF($T780="Resolved",IF($U780="","",$U780-$A780),TODAY()-$A780))</f>
        <v/>
      </c>
      <c r="W780" s="47">
        <f>IF(AND($C780&lt;&gt;"",$C780='Store History'!$C$4,OR('Store History'!$C$5="",$F780='Store History'!$C$5)),1,0)</f>
        <v/>
      </c>
      <c r="X780" s="47">
        <f>IF($W780=1,SUM($W780:$W$1005),"")</f>
        <v/>
      </c>
    </row>
    <row r="781">
      <c r="A781" s="59" t="n"/>
      <c r="B781" s="60" t="n"/>
      <c r="C781" s="60" t="n"/>
      <c r="D781" s="45">
        <f>IF($C781="","",IFERROR(INDEX('Chain Program'!$B$6:$B$120,MATCH($C781,'Chain Program'!$A$6:$A$120,0)),"Unknown ID"))</f>
        <v/>
      </c>
      <c r="E781" s="45">
        <f>IF($C781="","",IFERROR(INDEX('Chain Program'!$D$6:$D$120,MATCH($C781,'Chain Program'!$A$6:$A$120,0)),"Unknown ID"))</f>
        <v/>
      </c>
      <c r="F781" s="60" t="n"/>
      <c r="G781" s="60" t="n"/>
      <c r="H781" s="56">
        <f>IF(OR($C781="",$A781=""),"",IF(COUNTIFS('Promo Calendar'!$A$6:$A$400,$C781,'Promo Calendar'!$D$6:$D$400,IF($G781="","All",$G781),'Promo Calendar'!$I$6:$I$400,"&lt;="&amp;$A781,'Promo Calendar'!$J$6:$J$400,"&gt;="&amp;$A781,'Promo Calendar'!$G$6:$G$400,"&gt;0")&gt;0,_xlfn.MINIFS('Promo Calendar'!$G$6:$G$400,'Promo Calendar'!$A$6:$A$400,$C781,'Promo Calendar'!$D$6:$D$400,IF($G781="","All",$G781),'Promo Calendar'!$I$6:$I$400,"&lt;="&amp;$A781,'Promo Calendar'!$J$6:$J$400,"&gt;="&amp;$A781,'Promo Calendar'!$G$6:$G$400,"&gt;0"),IF(COUNTIFS('Promo Calendar'!$A$6:$A$400,$C781,'Promo Calendar'!$D$6:$D$400,"All",'Promo Calendar'!$I$6:$I$400,"&lt;="&amp;$A781,'Promo Calendar'!$J$6:$J$400,"&gt;="&amp;$A781,'Promo Calendar'!$G$6:$G$400,"&gt;0")&gt;0,_xlfn.MINIFS('Promo Calendar'!$G$6:$G$400,'Promo Calendar'!$A$6:$A$400,$C781,'Promo Calendar'!$D$6:$D$400,"All",'Promo Calendar'!$I$6:$I$400,"&lt;="&amp;$A781,'Promo Calendar'!$J$6:$J$400,"&gt;="&amp;$A781,'Promo Calendar'!$G$6:$G$400,"&gt;0"),IFERROR(IF(INDEX('Chain Program'!$M$6:$M$120,MATCH($C781,'Chain Program'!$A$6:$A$120,0))="","Not set",INDEX('Chain Program'!$M$6:$M$120,MATCH($C781,'Chain Program'!$A$6:$A$120,0))),"Not set"))))</f>
        <v/>
      </c>
      <c r="I781" s="61" t="n"/>
      <c r="J781" s="45">
        <f>IF($I781="","",IF(NOT(ISNUMBER($H781)),"No plan price",IF(ABS($I781-$H781)&lt;0.005,"Match",IF($I781&gt;$H781,"Over plan","Under plan"))))</f>
        <v/>
      </c>
      <c r="K781" s="60" t="n"/>
      <c r="L781" s="60" t="n"/>
      <c r="M781" s="60" t="n"/>
      <c r="N781" s="60" t="n"/>
      <c r="O781" s="60" t="n"/>
      <c r="P781" s="62" t="n"/>
      <c r="Q781" s="62" t="n"/>
      <c r="R781" s="60" t="n"/>
      <c r="S781" s="59" t="n"/>
      <c r="T781" s="60" t="n"/>
      <c r="U781" s="59" t="n"/>
      <c r="V781" s="45">
        <f>IF(OR($A781="",$T781="",$T781="No Issue"),"",IF($T781="Resolved",IF($U781="","",$U781-$A781),TODAY()-$A781))</f>
        <v/>
      </c>
      <c r="W781" s="47">
        <f>IF(AND($C781&lt;&gt;"",$C781='Store History'!$C$4,OR('Store History'!$C$5="",$F781='Store History'!$C$5)),1,0)</f>
        <v/>
      </c>
      <c r="X781" s="47">
        <f>IF($W781=1,SUM($W781:$W$1005),"")</f>
        <v/>
      </c>
    </row>
    <row r="782">
      <c r="A782" s="59" t="n"/>
      <c r="B782" s="60" t="n"/>
      <c r="C782" s="60" t="n"/>
      <c r="D782" s="45">
        <f>IF($C782="","",IFERROR(INDEX('Chain Program'!$B$6:$B$120,MATCH($C782,'Chain Program'!$A$6:$A$120,0)),"Unknown ID"))</f>
        <v/>
      </c>
      <c r="E782" s="45">
        <f>IF($C782="","",IFERROR(INDEX('Chain Program'!$D$6:$D$120,MATCH($C782,'Chain Program'!$A$6:$A$120,0)),"Unknown ID"))</f>
        <v/>
      </c>
      <c r="F782" s="60" t="n"/>
      <c r="G782" s="60" t="n"/>
      <c r="H782" s="56">
        <f>IF(OR($C782="",$A782=""),"",IF(COUNTIFS('Promo Calendar'!$A$6:$A$400,$C782,'Promo Calendar'!$D$6:$D$400,IF($G782="","All",$G782),'Promo Calendar'!$I$6:$I$400,"&lt;="&amp;$A782,'Promo Calendar'!$J$6:$J$400,"&gt;="&amp;$A782,'Promo Calendar'!$G$6:$G$400,"&gt;0")&gt;0,_xlfn.MINIFS('Promo Calendar'!$G$6:$G$400,'Promo Calendar'!$A$6:$A$400,$C782,'Promo Calendar'!$D$6:$D$400,IF($G782="","All",$G782),'Promo Calendar'!$I$6:$I$400,"&lt;="&amp;$A782,'Promo Calendar'!$J$6:$J$400,"&gt;="&amp;$A782,'Promo Calendar'!$G$6:$G$400,"&gt;0"),IF(COUNTIFS('Promo Calendar'!$A$6:$A$400,$C782,'Promo Calendar'!$D$6:$D$400,"All",'Promo Calendar'!$I$6:$I$400,"&lt;="&amp;$A782,'Promo Calendar'!$J$6:$J$400,"&gt;="&amp;$A782,'Promo Calendar'!$G$6:$G$400,"&gt;0")&gt;0,_xlfn.MINIFS('Promo Calendar'!$G$6:$G$400,'Promo Calendar'!$A$6:$A$400,$C782,'Promo Calendar'!$D$6:$D$400,"All",'Promo Calendar'!$I$6:$I$400,"&lt;="&amp;$A782,'Promo Calendar'!$J$6:$J$400,"&gt;="&amp;$A782,'Promo Calendar'!$G$6:$G$400,"&gt;0"),IFERROR(IF(INDEX('Chain Program'!$M$6:$M$120,MATCH($C782,'Chain Program'!$A$6:$A$120,0))="","Not set",INDEX('Chain Program'!$M$6:$M$120,MATCH($C782,'Chain Program'!$A$6:$A$120,0))),"Not set"))))</f>
        <v/>
      </c>
      <c r="I782" s="61" t="n"/>
      <c r="J782" s="45">
        <f>IF($I782="","",IF(NOT(ISNUMBER($H782)),"No plan price",IF(ABS($I782-$H782)&lt;0.005,"Match",IF($I782&gt;$H782,"Over plan","Under plan"))))</f>
        <v/>
      </c>
      <c r="K782" s="60" t="n"/>
      <c r="L782" s="60" t="n"/>
      <c r="M782" s="60" t="n"/>
      <c r="N782" s="60" t="n"/>
      <c r="O782" s="60" t="n"/>
      <c r="P782" s="62" t="n"/>
      <c r="Q782" s="62" t="n"/>
      <c r="R782" s="60" t="n"/>
      <c r="S782" s="59" t="n"/>
      <c r="T782" s="60" t="n"/>
      <c r="U782" s="59" t="n"/>
      <c r="V782" s="45">
        <f>IF(OR($A782="",$T782="",$T782="No Issue"),"",IF($T782="Resolved",IF($U782="","",$U782-$A782),TODAY()-$A782))</f>
        <v/>
      </c>
      <c r="W782" s="47">
        <f>IF(AND($C782&lt;&gt;"",$C782='Store History'!$C$4,OR('Store History'!$C$5="",$F782='Store History'!$C$5)),1,0)</f>
        <v/>
      </c>
      <c r="X782" s="47">
        <f>IF($W782=1,SUM($W782:$W$1005),"")</f>
        <v/>
      </c>
    </row>
    <row r="783">
      <c r="A783" s="59" t="n"/>
      <c r="B783" s="60" t="n"/>
      <c r="C783" s="60" t="n"/>
      <c r="D783" s="45">
        <f>IF($C783="","",IFERROR(INDEX('Chain Program'!$B$6:$B$120,MATCH($C783,'Chain Program'!$A$6:$A$120,0)),"Unknown ID"))</f>
        <v/>
      </c>
      <c r="E783" s="45">
        <f>IF($C783="","",IFERROR(INDEX('Chain Program'!$D$6:$D$120,MATCH($C783,'Chain Program'!$A$6:$A$120,0)),"Unknown ID"))</f>
        <v/>
      </c>
      <c r="F783" s="60" t="n"/>
      <c r="G783" s="60" t="n"/>
      <c r="H783" s="56">
        <f>IF(OR($C783="",$A783=""),"",IF(COUNTIFS('Promo Calendar'!$A$6:$A$400,$C783,'Promo Calendar'!$D$6:$D$400,IF($G783="","All",$G783),'Promo Calendar'!$I$6:$I$400,"&lt;="&amp;$A783,'Promo Calendar'!$J$6:$J$400,"&gt;="&amp;$A783,'Promo Calendar'!$G$6:$G$400,"&gt;0")&gt;0,_xlfn.MINIFS('Promo Calendar'!$G$6:$G$400,'Promo Calendar'!$A$6:$A$400,$C783,'Promo Calendar'!$D$6:$D$400,IF($G783="","All",$G783),'Promo Calendar'!$I$6:$I$400,"&lt;="&amp;$A783,'Promo Calendar'!$J$6:$J$400,"&gt;="&amp;$A783,'Promo Calendar'!$G$6:$G$400,"&gt;0"),IF(COUNTIFS('Promo Calendar'!$A$6:$A$400,$C783,'Promo Calendar'!$D$6:$D$400,"All",'Promo Calendar'!$I$6:$I$400,"&lt;="&amp;$A783,'Promo Calendar'!$J$6:$J$400,"&gt;="&amp;$A783,'Promo Calendar'!$G$6:$G$400,"&gt;0")&gt;0,_xlfn.MINIFS('Promo Calendar'!$G$6:$G$400,'Promo Calendar'!$A$6:$A$400,$C783,'Promo Calendar'!$D$6:$D$400,"All",'Promo Calendar'!$I$6:$I$400,"&lt;="&amp;$A783,'Promo Calendar'!$J$6:$J$400,"&gt;="&amp;$A783,'Promo Calendar'!$G$6:$G$400,"&gt;0"),IFERROR(IF(INDEX('Chain Program'!$M$6:$M$120,MATCH($C783,'Chain Program'!$A$6:$A$120,0))="","Not set",INDEX('Chain Program'!$M$6:$M$120,MATCH($C783,'Chain Program'!$A$6:$A$120,0))),"Not set"))))</f>
        <v/>
      </c>
      <c r="I783" s="61" t="n"/>
      <c r="J783" s="45">
        <f>IF($I783="","",IF(NOT(ISNUMBER($H783)),"No plan price",IF(ABS($I783-$H783)&lt;0.005,"Match",IF($I783&gt;$H783,"Over plan","Under plan"))))</f>
        <v/>
      </c>
      <c r="K783" s="60" t="n"/>
      <c r="L783" s="60" t="n"/>
      <c r="M783" s="60" t="n"/>
      <c r="N783" s="60" t="n"/>
      <c r="O783" s="60" t="n"/>
      <c r="P783" s="62" t="n"/>
      <c r="Q783" s="62" t="n"/>
      <c r="R783" s="60" t="n"/>
      <c r="S783" s="59" t="n"/>
      <c r="T783" s="60" t="n"/>
      <c r="U783" s="59" t="n"/>
      <c r="V783" s="45">
        <f>IF(OR($A783="",$T783="",$T783="No Issue"),"",IF($T783="Resolved",IF($U783="","",$U783-$A783),TODAY()-$A783))</f>
        <v/>
      </c>
      <c r="W783" s="47">
        <f>IF(AND($C783&lt;&gt;"",$C783='Store History'!$C$4,OR('Store History'!$C$5="",$F783='Store History'!$C$5)),1,0)</f>
        <v/>
      </c>
      <c r="X783" s="47">
        <f>IF($W783=1,SUM($W783:$W$1005),"")</f>
        <v/>
      </c>
    </row>
    <row r="784">
      <c r="A784" s="59" t="n"/>
      <c r="B784" s="60" t="n"/>
      <c r="C784" s="60" t="n"/>
      <c r="D784" s="45">
        <f>IF($C784="","",IFERROR(INDEX('Chain Program'!$B$6:$B$120,MATCH($C784,'Chain Program'!$A$6:$A$120,0)),"Unknown ID"))</f>
        <v/>
      </c>
      <c r="E784" s="45">
        <f>IF($C784="","",IFERROR(INDEX('Chain Program'!$D$6:$D$120,MATCH($C784,'Chain Program'!$A$6:$A$120,0)),"Unknown ID"))</f>
        <v/>
      </c>
      <c r="F784" s="60" t="n"/>
      <c r="G784" s="60" t="n"/>
      <c r="H784" s="56">
        <f>IF(OR($C784="",$A784=""),"",IF(COUNTIFS('Promo Calendar'!$A$6:$A$400,$C784,'Promo Calendar'!$D$6:$D$400,IF($G784="","All",$G784),'Promo Calendar'!$I$6:$I$400,"&lt;="&amp;$A784,'Promo Calendar'!$J$6:$J$400,"&gt;="&amp;$A784,'Promo Calendar'!$G$6:$G$400,"&gt;0")&gt;0,_xlfn.MINIFS('Promo Calendar'!$G$6:$G$400,'Promo Calendar'!$A$6:$A$400,$C784,'Promo Calendar'!$D$6:$D$400,IF($G784="","All",$G784),'Promo Calendar'!$I$6:$I$400,"&lt;="&amp;$A784,'Promo Calendar'!$J$6:$J$400,"&gt;="&amp;$A784,'Promo Calendar'!$G$6:$G$400,"&gt;0"),IF(COUNTIFS('Promo Calendar'!$A$6:$A$400,$C784,'Promo Calendar'!$D$6:$D$400,"All",'Promo Calendar'!$I$6:$I$400,"&lt;="&amp;$A784,'Promo Calendar'!$J$6:$J$400,"&gt;="&amp;$A784,'Promo Calendar'!$G$6:$G$400,"&gt;0")&gt;0,_xlfn.MINIFS('Promo Calendar'!$G$6:$G$400,'Promo Calendar'!$A$6:$A$400,$C784,'Promo Calendar'!$D$6:$D$400,"All",'Promo Calendar'!$I$6:$I$400,"&lt;="&amp;$A784,'Promo Calendar'!$J$6:$J$400,"&gt;="&amp;$A784,'Promo Calendar'!$G$6:$G$400,"&gt;0"),IFERROR(IF(INDEX('Chain Program'!$M$6:$M$120,MATCH($C784,'Chain Program'!$A$6:$A$120,0))="","Not set",INDEX('Chain Program'!$M$6:$M$120,MATCH($C784,'Chain Program'!$A$6:$A$120,0))),"Not set"))))</f>
        <v/>
      </c>
      <c r="I784" s="61" t="n"/>
      <c r="J784" s="45">
        <f>IF($I784="","",IF(NOT(ISNUMBER($H784)),"No plan price",IF(ABS($I784-$H784)&lt;0.005,"Match",IF($I784&gt;$H784,"Over plan","Under plan"))))</f>
        <v/>
      </c>
      <c r="K784" s="60" t="n"/>
      <c r="L784" s="60" t="n"/>
      <c r="M784" s="60" t="n"/>
      <c r="N784" s="60" t="n"/>
      <c r="O784" s="60" t="n"/>
      <c r="P784" s="62" t="n"/>
      <c r="Q784" s="62" t="n"/>
      <c r="R784" s="60" t="n"/>
      <c r="S784" s="59" t="n"/>
      <c r="T784" s="60" t="n"/>
      <c r="U784" s="59" t="n"/>
      <c r="V784" s="45">
        <f>IF(OR($A784="",$T784="",$T784="No Issue"),"",IF($T784="Resolved",IF($U784="","",$U784-$A784),TODAY()-$A784))</f>
        <v/>
      </c>
      <c r="W784" s="47">
        <f>IF(AND($C784&lt;&gt;"",$C784='Store History'!$C$4,OR('Store History'!$C$5="",$F784='Store History'!$C$5)),1,0)</f>
        <v/>
      </c>
      <c r="X784" s="47">
        <f>IF($W784=1,SUM($W784:$W$1005),"")</f>
        <v/>
      </c>
    </row>
    <row r="785">
      <c r="A785" s="59" t="n"/>
      <c r="B785" s="60" t="n"/>
      <c r="C785" s="60" t="n"/>
      <c r="D785" s="45">
        <f>IF($C785="","",IFERROR(INDEX('Chain Program'!$B$6:$B$120,MATCH($C785,'Chain Program'!$A$6:$A$120,0)),"Unknown ID"))</f>
        <v/>
      </c>
      <c r="E785" s="45">
        <f>IF($C785="","",IFERROR(INDEX('Chain Program'!$D$6:$D$120,MATCH($C785,'Chain Program'!$A$6:$A$120,0)),"Unknown ID"))</f>
        <v/>
      </c>
      <c r="F785" s="60" t="n"/>
      <c r="G785" s="60" t="n"/>
      <c r="H785" s="56">
        <f>IF(OR($C785="",$A785=""),"",IF(COUNTIFS('Promo Calendar'!$A$6:$A$400,$C785,'Promo Calendar'!$D$6:$D$400,IF($G785="","All",$G785),'Promo Calendar'!$I$6:$I$400,"&lt;="&amp;$A785,'Promo Calendar'!$J$6:$J$400,"&gt;="&amp;$A785,'Promo Calendar'!$G$6:$G$400,"&gt;0")&gt;0,_xlfn.MINIFS('Promo Calendar'!$G$6:$G$400,'Promo Calendar'!$A$6:$A$400,$C785,'Promo Calendar'!$D$6:$D$400,IF($G785="","All",$G785),'Promo Calendar'!$I$6:$I$400,"&lt;="&amp;$A785,'Promo Calendar'!$J$6:$J$400,"&gt;="&amp;$A785,'Promo Calendar'!$G$6:$G$400,"&gt;0"),IF(COUNTIFS('Promo Calendar'!$A$6:$A$400,$C785,'Promo Calendar'!$D$6:$D$400,"All",'Promo Calendar'!$I$6:$I$400,"&lt;="&amp;$A785,'Promo Calendar'!$J$6:$J$400,"&gt;="&amp;$A785,'Promo Calendar'!$G$6:$G$400,"&gt;0")&gt;0,_xlfn.MINIFS('Promo Calendar'!$G$6:$G$400,'Promo Calendar'!$A$6:$A$400,$C785,'Promo Calendar'!$D$6:$D$400,"All",'Promo Calendar'!$I$6:$I$400,"&lt;="&amp;$A785,'Promo Calendar'!$J$6:$J$400,"&gt;="&amp;$A785,'Promo Calendar'!$G$6:$G$400,"&gt;0"),IFERROR(IF(INDEX('Chain Program'!$M$6:$M$120,MATCH($C785,'Chain Program'!$A$6:$A$120,0))="","Not set",INDEX('Chain Program'!$M$6:$M$120,MATCH($C785,'Chain Program'!$A$6:$A$120,0))),"Not set"))))</f>
        <v/>
      </c>
      <c r="I785" s="61" t="n"/>
      <c r="J785" s="45">
        <f>IF($I785="","",IF(NOT(ISNUMBER($H785)),"No plan price",IF(ABS($I785-$H785)&lt;0.005,"Match",IF($I785&gt;$H785,"Over plan","Under plan"))))</f>
        <v/>
      </c>
      <c r="K785" s="60" t="n"/>
      <c r="L785" s="60" t="n"/>
      <c r="M785" s="60" t="n"/>
      <c r="N785" s="60" t="n"/>
      <c r="O785" s="60" t="n"/>
      <c r="P785" s="62" t="n"/>
      <c r="Q785" s="62" t="n"/>
      <c r="R785" s="60" t="n"/>
      <c r="S785" s="59" t="n"/>
      <c r="T785" s="60" t="n"/>
      <c r="U785" s="59" t="n"/>
      <c r="V785" s="45">
        <f>IF(OR($A785="",$T785="",$T785="No Issue"),"",IF($T785="Resolved",IF($U785="","",$U785-$A785),TODAY()-$A785))</f>
        <v/>
      </c>
      <c r="W785" s="47">
        <f>IF(AND($C785&lt;&gt;"",$C785='Store History'!$C$4,OR('Store History'!$C$5="",$F785='Store History'!$C$5)),1,0)</f>
        <v/>
      </c>
      <c r="X785" s="47">
        <f>IF($W785=1,SUM($W785:$W$1005),"")</f>
        <v/>
      </c>
    </row>
    <row r="786">
      <c r="A786" s="59" t="n"/>
      <c r="B786" s="60" t="n"/>
      <c r="C786" s="60" t="n"/>
      <c r="D786" s="45">
        <f>IF($C786="","",IFERROR(INDEX('Chain Program'!$B$6:$B$120,MATCH($C786,'Chain Program'!$A$6:$A$120,0)),"Unknown ID"))</f>
        <v/>
      </c>
      <c r="E786" s="45">
        <f>IF($C786="","",IFERROR(INDEX('Chain Program'!$D$6:$D$120,MATCH($C786,'Chain Program'!$A$6:$A$120,0)),"Unknown ID"))</f>
        <v/>
      </c>
      <c r="F786" s="60" t="n"/>
      <c r="G786" s="60" t="n"/>
      <c r="H786" s="56">
        <f>IF(OR($C786="",$A786=""),"",IF(COUNTIFS('Promo Calendar'!$A$6:$A$400,$C786,'Promo Calendar'!$D$6:$D$400,IF($G786="","All",$G786),'Promo Calendar'!$I$6:$I$400,"&lt;="&amp;$A786,'Promo Calendar'!$J$6:$J$400,"&gt;="&amp;$A786,'Promo Calendar'!$G$6:$G$400,"&gt;0")&gt;0,_xlfn.MINIFS('Promo Calendar'!$G$6:$G$400,'Promo Calendar'!$A$6:$A$400,$C786,'Promo Calendar'!$D$6:$D$400,IF($G786="","All",$G786),'Promo Calendar'!$I$6:$I$400,"&lt;="&amp;$A786,'Promo Calendar'!$J$6:$J$400,"&gt;="&amp;$A786,'Promo Calendar'!$G$6:$G$400,"&gt;0"),IF(COUNTIFS('Promo Calendar'!$A$6:$A$400,$C786,'Promo Calendar'!$D$6:$D$400,"All",'Promo Calendar'!$I$6:$I$400,"&lt;="&amp;$A786,'Promo Calendar'!$J$6:$J$400,"&gt;="&amp;$A786,'Promo Calendar'!$G$6:$G$400,"&gt;0")&gt;0,_xlfn.MINIFS('Promo Calendar'!$G$6:$G$400,'Promo Calendar'!$A$6:$A$400,$C786,'Promo Calendar'!$D$6:$D$400,"All",'Promo Calendar'!$I$6:$I$400,"&lt;="&amp;$A786,'Promo Calendar'!$J$6:$J$400,"&gt;="&amp;$A786,'Promo Calendar'!$G$6:$G$400,"&gt;0"),IFERROR(IF(INDEX('Chain Program'!$M$6:$M$120,MATCH($C786,'Chain Program'!$A$6:$A$120,0))="","Not set",INDEX('Chain Program'!$M$6:$M$120,MATCH($C786,'Chain Program'!$A$6:$A$120,0))),"Not set"))))</f>
        <v/>
      </c>
      <c r="I786" s="61" t="n"/>
      <c r="J786" s="45">
        <f>IF($I786="","",IF(NOT(ISNUMBER($H786)),"No plan price",IF(ABS($I786-$H786)&lt;0.005,"Match",IF($I786&gt;$H786,"Over plan","Under plan"))))</f>
        <v/>
      </c>
      <c r="K786" s="60" t="n"/>
      <c r="L786" s="60" t="n"/>
      <c r="M786" s="60" t="n"/>
      <c r="N786" s="60" t="n"/>
      <c r="O786" s="60" t="n"/>
      <c r="P786" s="62" t="n"/>
      <c r="Q786" s="62" t="n"/>
      <c r="R786" s="60" t="n"/>
      <c r="S786" s="59" t="n"/>
      <c r="T786" s="60" t="n"/>
      <c r="U786" s="59" t="n"/>
      <c r="V786" s="45">
        <f>IF(OR($A786="",$T786="",$T786="No Issue"),"",IF($T786="Resolved",IF($U786="","",$U786-$A786),TODAY()-$A786))</f>
        <v/>
      </c>
      <c r="W786" s="47">
        <f>IF(AND($C786&lt;&gt;"",$C786='Store History'!$C$4,OR('Store History'!$C$5="",$F786='Store History'!$C$5)),1,0)</f>
        <v/>
      </c>
      <c r="X786" s="47">
        <f>IF($W786=1,SUM($W786:$W$1005),"")</f>
        <v/>
      </c>
    </row>
    <row r="787">
      <c r="A787" s="59" t="n"/>
      <c r="B787" s="60" t="n"/>
      <c r="C787" s="60" t="n"/>
      <c r="D787" s="45">
        <f>IF($C787="","",IFERROR(INDEX('Chain Program'!$B$6:$B$120,MATCH($C787,'Chain Program'!$A$6:$A$120,0)),"Unknown ID"))</f>
        <v/>
      </c>
      <c r="E787" s="45">
        <f>IF($C787="","",IFERROR(INDEX('Chain Program'!$D$6:$D$120,MATCH($C787,'Chain Program'!$A$6:$A$120,0)),"Unknown ID"))</f>
        <v/>
      </c>
      <c r="F787" s="60" t="n"/>
      <c r="G787" s="60" t="n"/>
      <c r="H787" s="56">
        <f>IF(OR($C787="",$A787=""),"",IF(COUNTIFS('Promo Calendar'!$A$6:$A$400,$C787,'Promo Calendar'!$D$6:$D$400,IF($G787="","All",$G787),'Promo Calendar'!$I$6:$I$400,"&lt;="&amp;$A787,'Promo Calendar'!$J$6:$J$400,"&gt;="&amp;$A787,'Promo Calendar'!$G$6:$G$400,"&gt;0")&gt;0,_xlfn.MINIFS('Promo Calendar'!$G$6:$G$400,'Promo Calendar'!$A$6:$A$400,$C787,'Promo Calendar'!$D$6:$D$400,IF($G787="","All",$G787),'Promo Calendar'!$I$6:$I$400,"&lt;="&amp;$A787,'Promo Calendar'!$J$6:$J$400,"&gt;="&amp;$A787,'Promo Calendar'!$G$6:$G$400,"&gt;0"),IF(COUNTIFS('Promo Calendar'!$A$6:$A$400,$C787,'Promo Calendar'!$D$6:$D$400,"All",'Promo Calendar'!$I$6:$I$400,"&lt;="&amp;$A787,'Promo Calendar'!$J$6:$J$400,"&gt;="&amp;$A787,'Promo Calendar'!$G$6:$G$400,"&gt;0")&gt;0,_xlfn.MINIFS('Promo Calendar'!$G$6:$G$400,'Promo Calendar'!$A$6:$A$400,$C787,'Promo Calendar'!$D$6:$D$400,"All",'Promo Calendar'!$I$6:$I$400,"&lt;="&amp;$A787,'Promo Calendar'!$J$6:$J$400,"&gt;="&amp;$A787,'Promo Calendar'!$G$6:$G$400,"&gt;0"),IFERROR(IF(INDEX('Chain Program'!$M$6:$M$120,MATCH($C787,'Chain Program'!$A$6:$A$120,0))="","Not set",INDEX('Chain Program'!$M$6:$M$120,MATCH($C787,'Chain Program'!$A$6:$A$120,0))),"Not set"))))</f>
        <v/>
      </c>
      <c r="I787" s="61" t="n"/>
      <c r="J787" s="45">
        <f>IF($I787="","",IF(NOT(ISNUMBER($H787)),"No plan price",IF(ABS($I787-$H787)&lt;0.005,"Match",IF($I787&gt;$H787,"Over plan","Under plan"))))</f>
        <v/>
      </c>
      <c r="K787" s="60" t="n"/>
      <c r="L787" s="60" t="n"/>
      <c r="M787" s="60" t="n"/>
      <c r="N787" s="60" t="n"/>
      <c r="O787" s="60" t="n"/>
      <c r="P787" s="62" t="n"/>
      <c r="Q787" s="62" t="n"/>
      <c r="R787" s="60" t="n"/>
      <c r="S787" s="59" t="n"/>
      <c r="T787" s="60" t="n"/>
      <c r="U787" s="59" t="n"/>
      <c r="V787" s="45">
        <f>IF(OR($A787="",$T787="",$T787="No Issue"),"",IF($T787="Resolved",IF($U787="","",$U787-$A787),TODAY()-$A787))</f>
        <v/>
      </c>
      <c r="W787" s="47">
        <f>IF(AND($C787&lt;&gt;"",$C787='Store History'!$C$4,OR('Store History'!$C$5="",$F787='Store History'!$C$5)),1,0)</f>
        <v/>
      </c>
      <c r="X787" s="47">
        <f>IF($W787=1,SUM($W787:$W$1005),"")</f>
        <v/>
      </c>
    </row>
    <row r="788">
      <c r="A788" s="59" t="n"/>
      <c r="B788" s="60" t="n"/>
      <c r="C788" s="60" t="n"/>
      <c r="D788" s="45">
        <f>IF($C788="","",IFERROR(INDEX('Chain Program'!$B$6:$B$120,MATCH($C788,'Chain Program'!$A$6:$A$120,0)),"Unknown ID"))</f>
        <v/>
      </c>
      <c r="E788" s="45">
        <f>IF($C788="","",IFERROR(INDEX('Chain Program'!$D$6:$D$120,MATCH($C788,'Chain Program'!$A$6:$A$120,0)),"Unknown ID"))</f>
        <v/>
      </c>
      <c r="F788" s="60" t="n"/>
      <c r="G788" s="60" t="n"/>
      <c r="H788" s="56">
        <f>IF(OR($C788="",$A788=""),"",IF(COUNTIFS('Promo Calendar'!$A$6:$A$400,$C788,'Promo Calendar'!$D$6:$D$400,IF($G788="","All",$G788),'Promo Calendar'!$I$6:$I$400,"&lt;="&amp;$A788,'Promo Calendar'!$J$6:$J$400,"&gt;="&amp;$A788,'Promo Calendar'!$G$6:$G$400,"&gt;0")&gt;0,_xlfn.MINIFS('Promo Calendar'!$G$6:$G$400,'Promo Calendar'!$A$6:$A$400,$C788,'Promo Calendar'!$D$6:$D$400,IF($G788="","All",$G788),'Promo Calendar'!$I$6:$I$400,"&lt;="&amp;$A788,'Promo Calendar'!$J$6:$J$400,"&gt;="&amp;$A788,'Promo Calendar'!$G$6:$G$400,"&gt;0"),IF(COUNTIFS('Promo Calendar'!$A$6:$A$400,$C788,'Promo Calendar'!$D$6:$D$400,"All",'Promo Calendar'!$I$6:$I$400,"&lt;="&amp;$A788,'Promo Calendar'!$J$6:$J$400,"&gt;="&amp;$A788,'Promo Calendar'!$G$6:$G$400,"&gt;0")&gt;0,_xlfn.MINIFS('Promo Calendar'!$G$6:$G$400,'Promo Calendar'!$A$6:$A$400,$C788,'Promo Calendar'!$D$6:$D$400,"All",'Promo Calendar'!$I$6:$I$400,"&lt;="&amp;$A788,'Promo Calendar'!$J$6:$J$400,"&gt;="&amp;$A788,'Promo Calendar'!$G$6:$G$400,"&gt;0"),IFERROR(IF(INDEX('Chain Program'!$M$6:$M$120,MATCH($C788,'Chain Program'!$A$6:$A$120,0))="","Not set",INDEX('Chain Program'!$M$6:$M$120,MATCH($C788,'Chain Program'!$A$6:$A$120,0))),"Not set"))))</f>
        <v/>
      </c>
      <c r="I788" s="61" t="n"/>
      <c r="J788" s="45">
        <f>IF($I788="","",IF(NOT(ISNUMBER($H788)),"No plan price",IF(ABS($I788-$H788)&lt;0.005,"Match",IF($I788&gt;$H788,"Over plan","Under plan"))))</f>
        <v/>
      </c>
      <c r="K788" s="60" t="n"/>
      <c r="L788" s="60" t="n"/>
      <c r="M788" s="60" t="n"/>
      <c r="N788" s="60" t="n"/>
      <c r="O788" s="60" t="n"/>
      <c r="P788" s="62" t="n"/>
      <c r="Q788" s="62" t="n"/>
      <c r="R788" s="60" t="n"/>
      <c r="S788" s="59" t="n"/>
      <c r="T788" s="60" t="n"/>
      <c r="U788" s="59" t="n"/>
      <c r="V788" s="45">
        <f>IF(OR($A788="",$T788="",$T788="No Issue"),"",IF($T788="Resolved",IF($U788="","",$U788-$A788),TODAY()-$A788))</f>
        <v/>
      </c>
      <c r="W788" s="47">
        <f>IF(AND($C788&lt;&gt;"",$C788='Store History'!$C$4,OR('Store History'!$C$5="",$F788='Store History'!$C$5)),1,0)</f>
        <v/>
      </c>
      <c r="X788" s="47">
        <f>IF($W788=1,SUM($W788:$W$1005),"")</f>
        <v/>
      </c>
    </row>
    <row r="789">
      <c r="A789" s="59" t="n"/>
      <c r="B789" s="60" t="n"/>
      <c r="C789" s="60" t="n"/>
      <c r="D789" s="45">
        <f>IF($C789="","",IFERROR(INDEX('Chain Program'!$B$6:$B$120,MATCH($C789,'Chain Program'!$A$6:$A$120,0)),"Unknown ID"))</f>
        <v/>
      </c>
      <c r="E789" s="45">
        <f>IF($C789="","",IFERROR(INDEX('Chain Program'!$D$6:$D$120,MATCH($C789,'Chain Program'!$A$6:$A$120,0)),"Unknown ID"))</f>
        <v/>
      </c>
      <c r="F789" s="60" t="n"/>
      <c r="G789" s="60" t="n"/>
      <c r="H789" s="56">
        <f>IF(OR($C789="",$A789=""),"",IF(COUNTIFS('Promo Calendar'!$A$6:$A$400,$C789,'Promo Calendar'!$D$6:$D$400,IF($G789="","All",$G789),'Promo Calendar'!$I$6:$I$400,"&lt;="&amp;$A789,'Promo Calendar'!$J$6:$J$400,"&gt;="&amp;$A789,'Promo Calendar'!$G$6:$G$400,"&gt;0")&gt;0,_xlfn.MINIFS('Promo Calendar'!$G$6:$G$400,'Promo Calendar'!$A$6:$A$400,$C789,'Promo Calendar'!$D$6:$D$400,IF($G789="","All",$G789),'Promo Calendar'!$I$6:$I$400,"&lt;="&amp;$A789,'Promo Calendar'!$J$6:$J$400,"&gt;="&amp;$A789,'Promo Calendar'!$G$6:$G$400,"&gt;0"),IF(COUNTIFS('Promo Calendar'!$A$6:$A$400,$C789,'Promo Calendar'!$D$6:$D$400,"All",'Promo Calendar'!$I$6:$I$400,"&lt;="&amp;$A789,'Promo Calendar'!$J$6:$J$400,"&gt;="&amp;$A789,'Promo Calendar'!$G$6:$G$400,"&gt;0")&gt;0,_xlfn.MINIFS('Promo Calendar'!$G$6:$G$400,'Promo Calendar'!$A$6:$A$400,$C789,'Promo Calendar'!$D$6:$D$400,"All",'Promo Calendar'!$I$6:$I$400,"&lt;="&amp;$A789,'Promo Calendar'!$J$6:$J$400,"&gt;="&amp;$A789,'Promo Calendar'!$G$6:$G$400,"&gt;0"),IFERROR(IF(INDEX('Chain Program'!$M$6:$M$120,MATCH($C789,'Chain Program'!$A$6:$A$120,0))="","Not set",INDEX('Chain Program'!$M$6:$M$120,MATCH($C789,'Chain Program'!$A$6:$A$120,0))),"Not set"))))</f>
        <v/>
      </c>
      <c r="I789" s="61" t="n"/>
      <c r="J789" s="45">
        <f>IF($I789="","",IF(NOT(ISNUMBER($H789)),"No plan price",IF(ABS($I789-$H789)&lt;0.005,"Match",IF($I789&gt;$H789,"Over plan","Under plan"))))</f>
        <v/>
      </c>
      <c r="K789" s="60" t="n"/>
      <c r="L789" s="60" t="n"/>
      <c r="M789" s="60" t="n"/>
      <c r="N789" s="60" t="n"/>
      <c r="O789" s="60" t="n"/>
      <c r="P789" s="62" t="n"/>
      <c r="Q789" s="62" t="n"/>
      <c r="R789" s="60" t="n"/>
      <c r="S789" s="59" t="n"/>
      <c r="T789" s="60" t="n"/>
      <c r="U789" s="59" t="n"/>
      <c r="V789" s="45">
        <f>IF(OR($A789="",$T789="",$T789="No Issue"),"",IF($T789="Resolved",IF($U789="","",$U789-$A789),TODAY()-$A789))</f>
        <v/>
      </c>
      <c r="W789" s="47">
        <f>IF(AND($C789&lt;&gt;"",$C789='Store History'!$C$4,OR('Store History'!$C$5="",$F789='Store History'!$C$5)),1,0)</f>
        <v/>
      </c>
      <c r="X789" s="47">
        <f>IF($W789=1,SUM($W789:$W$1005),"")</f>
        <v/>
      </c>
    </row>
    <row r="790">
      <c r="A790" s="59" t="n"/>
      <c r="B790" s="60" t="n"/>
      <c r="C790" s="60" t="n"/>
      <c r="D790" s="45">
        <f>IF($C790="","",IFERROR(INDEX('Chain Program'!$B$6:$B$120,MATCH($C790,'Chain Program'!$A$6:$A$120,0)),"Unknown ID"))</f>
        <v/>
      </c>
      <c r="E790" s="45">
        <f>IF($C790="","",IFERROR(INDEX('Chain Program'!$D$6:$D$120,MATCH($C790,'Chain Program'!$A$6:$A$120,0)),"Unknown ID"))</f>
        <v/>
      </c>
      <c r="F790" s="60" t="n"/>
      <c r="G790" s="60" t="n"/>
      <c r="H790" s="56">
        <f>IF(OR($C790="",$A790=""),"",IF(COUNTIFS('Promo Calendar'!$A$6:$A$400,$C790,'Promo Calendar'!$D$6:$D$400,IF($G790="","All",$G790),'Promo Calendar'!$I$6:$I$400,"&lt;="&amp;$A790,'Promo Calendar'!$J$6:$J$400,"&gt;="&amp;$A790,'Promo Calendar'!$G$6:$G$400,"&gt;0")&gt;0,_xlfn.MINIFS('Promo Calendar'!$G$6:$G$400,'Promo Calendar'!$A$6:$A$400,$C790,'Promo Calendar'!$D$6:$D$400,IF($G790="","All",$G790),'Promo Calendar'!$I$6:$I$400,"&lt;="&amp;$A790,'Promo Calendar'!$J$6:$J$400,"&gt;="&amp;$A790,'Promo Calendar'!$G$6:$G$400,"&gt;0"),IF(COUNTIFS('Promo Calendar'!$A$6:$A$400,$C790,'Promo Calendar'!$D$6:$D$400,"All",'Promo Calendar'!$I$6:$I$400,"&lt;="&amp;$A790,'Promo Calendar'!$J$6:$J$400,"&gt;="&amp;$A790,'Promo Calendar'!$G$6:$G$400,"&gt;0")&gt;0,_xlfn.MINIFS('Promo Calendar'!$G$6:$G$400,'Promo Calendar'!$A$6:$A$400,$C790,'Promo Calendar'!$D$6:$D$400,"All",'Promo Calendar'!$I$6:$I$400,"&lt;="&amp;$A790,'Promo Calendar'!$J$6:$J$400,"&gt;="&amp;$A790,'Promo Calendar'!$G$6:$G$400,"&gt;0"),IFERROR(IF(INDEX('Chain Program'!$M$6:$M$120,MATCH($C790,'Chain Program'!$A$6:$A$120,0))="","Not set",INDEX('Chain Program'!$M$6:$M$120,MATCH($C790,'Chain Program'!$A$6:$A$120,0))),"Not set"))))</f>
        <v/>
      </c>
      <c r="I790" s="61" t="n"/>
      <c r="J790" s="45">
        <f>IF($I790="","",IF(NOT(ISNUMBER($H790)),"No plan price",IF(ABS($I790-$H790)&lt;0.005,"Match",IF($I790&gt;$H790,"Over plan","Under plan"))))</f>
        <v/>
      </c>
      <c r="K790" s="60" t="n"/>
      <c r="L790" s="60" t="n"/>
      <c r="M790" s="60" t="n"/>
      <c r="N790" s="60" t="n"/>
      <c r="O790" s="60" t="n"/>
      <c r="P790" s="62" t="n"/>
      <c r="Q790" s="62" t="n"/>
      <c r="R790" s="60" t="n"/>
      <c r="S790" s="59" t="n"/>
      <c r="T790" s="60" t="n"/>
      <c r="U790" s="59" t="n"/>
      <c r="V790" s="45">
        <f>IF(OR($A790="",$T790="",$T790="No Issue"),"",IF($T790="Resolved",IF($U790="","",$U790-$A790),TODAY()-$A790))</f>
        <v/>
      </c>
      <c r="W790" s="47">
        <f>IF(AND($C790&lt;&gt;"",$C790='Store History'!$C$4,OR('Store History'!$C$5="",$F790='Store History'!$C$5)),1,0)</f>
        <v/>
      </c>
      <c r="X790" s="47">
        <f>IF($W790=1,SUM($W790:$W$1005),"")</f>
        <v/>
      </c>
    </row>
    <row r="791">
      <c r="A791" s="59" t="n"/>
      <c r="B791" s="60" t="n"/>
      <c r="C791" s="60" t="n"/>
      <c r="D791" s="45">
        <f>IF($C791="","",IFERROR(INDEX('Chain Program'!$B$6:$B$120,MATCH($C791,'Chain Program'!$A$6:$A$120,0)),"Unknown ID"))</f>
        <v/>
      </c>
      <c r="E791" s="45">
        <f>IF($C791="","",IFERROR(INDEX('Chain Program'!$D$6:$D$120,MATCH($C791,'Chain Program'!$A$6:$A$120,0)),"Unknown ID"))</f>
        <v/>
      </c>
      <c r="F791" s="60" t="n"/>
      <c r="G791" s="60" t="n"/>
      <c r="H791" s="56">
        <f>IF(OR($C791="",$A791=""),"",IF(COUNTIFS('Promo Calendar'!$A$6:$A$400,$C791,'Promo Calendar'!$D$6:$D$400,IF($G791="","All",$G791),'Promo Calendar'!$I$6:$I$400,"&lt;="&amp;$A791,'Promo Calendar'!$J$6:$J$400,"&gt;="&amp;$A791,'Promo Calendar'!$G$6:$G$400,"&gt;0")&gt;0,_xlfn.MINIFS('Promo Calendar'!$G$6:$G$400,'Promo Calendar'!$A$6:$A$400,$C791,'Promo Calendar'!$D$6:$D$400,IF($G791="","All",$G791),'Promo Calendar'!$I$6:$I$400,"&lt;="&amp;$A791,'Promo Calendar'!$J$6:$J$400,"&gt;="&amp;$A791,'Promo Calendar'!$G$6:$G$400,"&gt;0"),IF(COUNTIFS('Promo Calendar'!$A$6:$A$400,$C791,'Promo Calendar'!$D$6:$D$400,"All",'Promo Calendar'!$I$6:$I$400,"&lt;="&amp;$A791,'Promo Calendar'!$J$6:$J$400,"&gt;="&amp;$A791,'Promo Calendar'!$G$6:$G$400,"&gt;0")&gt;0,_xlfn.MINIFS('Promo Calendar'!$G$6:$G$400,'Promo Calendar'!$A$6:$A$400,$C791,'Promo Calendar'!$D$6:$D$400,"All",'Promo Calendar'!$I$6:$I$400,"&lt;="&amp;$A791,'Promo Calendar'!$J$6:$J$400,"&gt;="&amp;$A791,'Promo Calendar'!$G$6:$G$400,"&gt;0"),IFERROR(IF(INDEX('Chain Program'!$M$6:$M$120,MATCH($C791,'Chain Program'!$A$6:$A$120,0))="","Not set",INDEX('Chain Program'!$M$6:$M$120,MATCH($C791,'Chain Program'!$A$6:$A$120,0))),"Not set"))))</f>
        <v/>
      </c>
      <c r="I791" s="61" t="n"/>
      <c r="J791" s="45">
        <f>IF($I791="","",IF(NOT(ISNUMBER($H791)),"No plan price",IF(ABS($I791-$H791)&lt;0.005,"Match",IF($I791&gt;$H791,"Over plan","Under plan"))))</f>
        <v/>
      </c>
      <c r="K791" s="60" t="n"/>
      <c r="L791" s="60" t="n"/>
      <c r="M791" s="60" t="n"/>
      <c r="N791" s="60" t="n"/>
      <c r="O791" s="60" t="n"/>
      <c r="P791" s="62" t="n"/>
      <c r="Q791" s="62" t="n"/>
      <c r="R791" s="60" t="n"/>
      <c r="S791" s="59" t="n"/>
      <c r="T791" s="60" t="n"/>
      <c r="U791" s="59" t="n"/>
      <c r="V791" s="45">
        <f>IF(OR($A791="",$T791="",$T791="No Issue"),"",IF($T791="Resolved",IF($U791="","",$U791-$A791),TODAY()-$A791))</f>
        <v/>
      </c>
      <c r="W791" s="47">
        <f>IF(AND($C791&lt;&gt;"",$C791='Store History'!$C$4,OR('Store History'!$C$5="",$F791='Store History'!$C$5)),1,0)</f>
        <v/>
      </c>
      <c r="X791" s="47">
        <f>IF($W791=1,SUM($W791:$W$1005),"")</f>
        <v/>
      </c>
    </row>
    <row r="792">
      <c r="A792" s="59" t="n"/>
      <c r="B792" s="60" t="n"/>
      <c r="C792" s="60" t="n"/>
      <c r="D792" s="45">
        <f>IF($C792="","",IFERROR(INDEX('Chain Program'!$B$6:$B$120,MATCH($C792,'Chain Program'!$A$6:$A$120,0)),"Unknown ID"))</f>
        <v/>
      </c>
      <c r="E792" s="45">
        <f>IF($C792="","",IFERROR(INDEX('Chain Program'!$D$6:$D$120,MATCH($C792,'Chain Program'!$A$6:$A$120,0)),"Unknown ID"))</f>
        <v/>
      </c>
      <c r="F792" s="60" t="n"/>
      <c r="G792" s="60" t="n"/>
      <c r="H792" s="56">
        <f>IF(OR($C792="",$A792=""),"",IF(COUNTIFS('Promo Calendar'!$A$6:$A$400,$C792,'Promo Calendar'!$D$6:$D$400,IF($G792="","All",$G792),'Promo Calendar'!$I$6:$I$400,"&lt;="&amp;$A792,'Promo Calendar'!$J$6:$J$400,"&gt;="&amp;$A792,'Promo Calendar'!$G$6:$G$400,"&gt;0")&gt;0,_xlfn.MINIFS('Promo Calendar'!$G$6:$G$400,'Promo Calendar'!$A$6:$A$400,$C792,'Promo Calendar'!$D$6:$D$400,IF($G792="","All",$G792),'Promo Calendar'!$I$6:$I$400,"&lt;="&amp;$A792,'Promo Calendar'!$J$6:$J$400,"&gt;="&amp;$A792,'Promo Calendar'!$G$6:$G$400,"&gt;0"),IF(COUNTIFS('Promo Calendar'!$A$6:$A$400,$C792,'Promo Calendar'!$D$6:$D$400,"All",'Promo Calendar'!$I$6:$I$400,"&lt;="&amp;$A792,'Promo Calendar'!$J$6:$J$400,"&gt;="&amp;$A792,'Promo Calendar'!$G$6:$G$400,"&gt;0")&gt;0,_xlfn.MINIFS('Promo Calendar'!$G$6:$G$400,'Promo Calendar'!$A$6:$A$400,$C792,'Promo Calendar'!$D$6:$D$400,"All",'Promo Calendar'!$I$6:$I$400,"&lt;="&amp;$A792,'Promo Calendar'!$J$6:$J$400,"&gt;="&amp;$A792,'Promo Calendar'!$G$6:$G$400,"&gt;0"),IFERROR(IF(INDEX('Chain Program'!$M$6:$M$120,MATCH($C792,'Chain Program'!$A$6:$A$120,0))="","Not set",INDEX('Chain Program'!$M$6:$M$120,MATCH($C792,'Chain Program'!$A$6:$A$120,0))),"Not set"))))</f>
        <v/>
      </c>
      <c r="I792" s="61" t="n"/>
      <c r="J792" s="45">
        <f>IF($I792="","",IF(NOT(ISNUMBER($H792)),"No plan price",IF(ABS($I792-$H792)&lt;0.005,"Match",IF($I792&gt;$H792,"Over plan","Under plan"))))</f>
        <v/>
      </c>
      <c r="K792" s="60" t="n"/>
      <c r="L792" s="60" t="n"/>
      <c r="M792" s="60" t="n"/>
      <c r="N792" s="60" t="n"/>
      <c r="O792" s="60" t="n"/>
      <c r="P792" s="62" t="n"/>
      <c r="Q792" s="62" t="n"/>
      <c r="R792" s="60" t="n"/>
      <c r="S792" s="59" t="n"/>
      <c r="T792" s="60" t="n"/>
      <c r="U792" s="59" t="n"/>
      <c r="V792" s="45">
        <f>IF(OR($A792="",$T792="",$T792="No Issue"),"",IF($T792="Resolved",IF($U792="","",$U792-$A792),TODAY()-$A792))</f>
        <v/>
      </c>
      <c r="W792" s="47">
        <f>IF(AND($C792&lt;&gt;"",$C792='Store History'!$C$4,OR('Store History'!$C$5="",$F792='Store History'!$C$5)),1,0)</f>
        <v/>
      </c>
      <c r="X792" s="47">
        <f>IF($W792=1,SUM($W792:$W$1005),"")</f>
        <v/>
      </c>
    </row>
    <row r="793">
      <c r="A793" s="59" t="n"/>
      <c r="B793" s="60" t="n"/>
      <c r="C793" s="60" t="n"/>
      <c r="D793" s="45">
        <f>IF($C793="","",IFERROR(INDEX('Chain Program'!$B$6:$B$120,MATCH($C793,'Chain Program'!$A$6:$A$120,0)),"Unknown ID"))</f>
        <v/>
      </c>
      <c r="E793" s="45">
        <f>IF($C793="","",IFERROR(INDEX('Chain Program'!$D$6:$D$120,MATCH($C793,'Chain Program'!$A$6:$A$120,0)),"Unknown ID"))</f>
        <v/>
      </c>
      <c r="F793" s="60" t="n"/>
      <c r="G793" s="60" t="n"/>
      <c r="H793" s="56">
        <f>IF(OR($C793="",$A793=""),"",IF(COUNTIFS('Promo Calendar'!$A$6:$A$400,$C793,'Promo Calendar'!$D$6:$D$400,IF($G793="","All",$G793),'Promo Calendar'!$I$6:$I$400,"&lt;="&amp;$A793,'Promo Calendar'!$J$6:$J$400,"&gt;="&amp;$A793,'Promo Calendar'!$G$6:$G$400,"&gt;0")&gt;0,_xlfn.MINIFS('Promo Calendar'!$G$6:$G$400,'Promo Calendar'!$A$6:$A$400,$C793,'Promo Calendar'!$D$6:$D$400,IF($G793="","All",$G793),'Promo Calendar'!$I$6:$I$400,"&lt;="&amp;$A793,'Promo Calendar'!$J$6:$J$400,"&gt;="&amp;$A793,'Promo Calendar'!$G$6:$G$400,"&gt;0"),IF(COUNTIFS('Promo Calendar'!$A$6:$A$400,$C793,'Promo Calendar'!$D$6:$D$400,"All",'Promo Calendar'!$I$6:$I$400,"&lt;="&amp;$A793,'Promo Calendar'!$J$6:$J$400,"&gt;="&amp;$A793,'Promo Calendar'!$G$6:$G$400,"&gt;0")&gt;0,_xlfn.MINIFS('Promo Calendar'!$G$6:$G$400,'Promo Calendar'!$A$6:$A$400,$C793,'Promo Calendar'!$D$6:$D$400,"All",'Promo Calendar'!$I$6:$I$400,"&lt;="&amp;$A793,'Promo Calendar'!$J$6:$J$400,"&gt;="&amp;$A793,'Promo Calendar'!$G$6:$G$400,"&gt;0"),IFERROR(IF(INDEX('Chain Program'!$M$6:$M$120,MATCH($C793,'Chain Program'!$A$6:$A$120,0))="","Not set",INDEX('Chain Program'!$M$6:$M$120,MATCH($C793,'Chain Program'!$A$6:$A$120,0))),"Not set"))))</f>
        <v/>
      </c>
      <c r="I793" s="61" t="n"/>
      <c r="J793" s="45">
        <f>IF($I793="","",IF(NOT(ISNUMBER($H793)),"No plan price",IF(ABS($I793-$H793)&lt;0.005,"Match",IF($I793&gt;$H793,"Over plan","Under plan"))))</f>
        <v/>
      </c>
      <c r="K793" s="60" t="n"/>
      <c r="L793" s="60" t="n"/>
      <c r="M793" s="60" t="n"/>
      <c r="N793" s="60" t="n"/>
      <c r="O793" s="60" t="n"/>
      <c r="P793" s="62" t="n"/>
      <c r="Q793" s="62" t="n"/>
      <c r="R793" s="60" t="n"/>
      <c r="S793" s="59" t="n"/>
      <c r="T793" s="60" t="n"/>
      <c r="U793" s="59" t="n"/>
      <c r="V793" s="45">
        <f>IF(OR($A793="",$T793="",$T793="No Issue"),"",IF($T793="Resolved",IF($U793="","",$U793-$A793),TODAY()-$A793))</f>
        <v/>
      </c>
      <c r="W793" s="47">
        <f>IF(AND($C793&lt;&gt;"",$C793='Store History'!$C$4,OR('Store History'!$C$5="",$F793='Store History'!$C$5)),1,0)</f>
        <v/>
      </c>
      <c r="X793" s="47">
        <f>IF($W793=1,SUM($W793:$W$1005),"")</f>
        <v/>
      </c>
    </row>
    <row r="794">
      <c r="A794" s="59" t="n"/>
      <c r="B794" s="60" t="n"/>
      <c r="C794" s="60" t="n"/>
      <c r="D794" s="45">
        <f>IF($C794="","",IFERROR(INDEX('Chain Program'!$B$6:$B$120,MATCH($C794,'Chain Program'!$A$6:$A$120,0)),"Unknown ID"))</f>
        <v/>
      </c>
      <c r="E794" s="45">
        <f>IF($C794="","",IFERROR(INDEX('Chain Program'!$D$6:$D$120,MATCH($C794,'Chain Program'!$A$6:$A$120,0)),"Unknown ID"))</f>
        <v/>
      </c>
      <c r="F794" s="60" t="n"/>
      <c r="G794" s="60" t="n"/>
      <c r="H794" s="56">
        <f>IF(OR($C794="",$A794=""),"",IF(COUNTIFS('Promo Calendar'!$A$6:$A$400,$C794,'Promo Calendar'!$D$6:$D$400,IF($G794="","All",$G794),'Promo Calendar'!$I$6:$I$400,"&lt;="&amp;$A794,'Promo Calendar'!$J$6:$J$400,"&gt;="&amp;$A794,'Promo Calendar'!$G$6:$G$400,"&gt;0")&gt;0,_xlfn.MINIFS('Promo Calendar'!$G$6:$G$400,'Promo Calendar'!$A$6:$A$400,$C794,'Promo Calendar'!$D$6:$D$400,IF($G794="","All",$G794),'Promo Calendar'!$I$6:$I$400,"&lt;="&amp;$A794,'Promo Calendar'!$J$6:$J$400,"&gt;="&amp;$A794,'Promo Calendar'!$G$6:$G$400,"&gt;0"),IF(COUNTIFS('Promo Calendar'!$A$6:$A$400,$C794,'Promo Calendar'!$D$6:$D$400,"All",'Promo Calendar'!$I$6:$I$400,"&lt;="&amp;$A794,'Promo Calendar'!$J$6:$J$400,"&gt;="&amp;$A794,'Promo Calendar'!$G$6:$G$400,"&gt;0")&gt;0,_xlfn.MINIFS('Promo Calendar'!$G$6:$G$400,'Promo Calendar'!$A$6:$A$400,$C794,'Promo Calendar'!$D$6:$D$400,"All",'Promo Calendar'!$I$6:$I$400,"&lt;="&amp;$A794,'Promo Calendar'!$J$6:$J$400,"&gt;="&amp;$A794,'Promo Calendar'!$G$6:$G$400,"&gt;0"),IFERROR(IF(INDEX('Chain Program'!$M$6:$M$120,MATCH($C794,'Chain Program'!$A$6:$A$120,0))="","Not set",INDEX('Chain Program'!$M$6:$M$120,MATCH($C794,'Chain Program'!$A$6:$A$120,0))),"Not set"))))</f>
        <v/>
      </c>
      <c r="I794" s="61" t="n"/>
      <c r="J794" s="45">
        <f>IF($I794="","",IF(NOT(ISNUMBER($H794)),"No plan price",IF(ABS($I794-$H794)&lt;0.005,"Match",IF($I794&gt;$H794,"Over plan","Under plan"))))</f>
        <v/>
      </c>
      <c r="K794" s="60" t="n"/>
      <c r="L794" s="60" t="n"/>
      <c r="M794" s="60" t="n"/>
      <c r="N794" s="60" t="n"/>
      <c r="O794" s="60" t="n"/>
      <c r="P794" s="62" t="n"/>
      <c r="Q794" s="62" t="n"/>
      <c r="R794" s="60" t="n"/>
      <c r="S794" s="59" t="n"/>
      <c r="T794" s="60" t="n"/>
      <c r="U794" s="59" t="n"/>
      <c r="V794" s="45">
        <f>IF(OR($A794="",$T794="",$T794="No Issue"),"",IF($T794="Resolved",IF($U794="","",$U794-$A794),TODAY()-$A794))</f>
        <v/>
      </c>
      <c r="W794" s="47">
        <f>IF(AND($C794&lt;&gt;"",$C794='Store History'!$C$4,OR('Store History'!$C$5="",$F794='Store History'!$C$5)),1,0)</f>
        <v/>
      </c>
      <c r="X794" s="47">
        <f>IF($W794=1,SUM($W794:$W$1005),"")</f>
        <v/>
      </c>
    </row>
    <row r="795">
      <c r="A795" s="59" t="n"/>
      <c r="B795" s="60" t="n"/>
      <c r="C795" s="60" t="n"/>
      <c r="D795" s="45">
        <f>IF($C795="","",IFERROR(INDEX('Chain Program'!$B$6:$B$120,MATCH($C795,'Chain Program'!$A$6:$A$120,0)),"Unknown ID"))</f>
        <v/>
      </c>
      <c r="E795" s="45">
        <f>IF($C795="","",IFERROR(INDEX('Chain Program'!$D$6:$D$120,MATCH($C795,'Chain Program'!$A$6:$A$120,0)),"Unknown ID"))</f>
        <v/>
      </c>
      <c r="F795" s="60" t="n"/>
      <c r="G795" s="60" t="n"/>
      <c r="H795" s="56">
        <f>IF(OR($C795="",$A795=""),"",IF(COUNTIFS('Promo Calendar'!$A$6:$A$400,$C795,'Promo Calendar'!$D$6:$D$400,IF($G795="","All",$G795),'Promo Calendar'!$I$6:$I$400,"&lt;="&amp;$A795,'Promo Calendar'!$J$6:$J$400,"&gt;="&amp;$A795,'Promo Calendar'!$G$6:$G$400,"&gt;0")&gt;0,_xlfn.MINIFS('Promo Calendar'!$G$6:$G$400,'Promo Calendar'!$A$6:$A$400,$C795,'Promo Calendar'!$D$6:$D$400,IF($G795="","All",$G795),'Promo Calendar'!$I$6:$I$400,"&lt;="&amp;$A795,'Promo Calendar'!$J$6:$J$400,"&gt;="&amp;$A795,'Promo Calendar'!$G$6:$G$400,"&gt;0"),IF(COUNTIFS('Promo Calendar'!$A$6:$A$400,$C795,'Promo Calendar'!$D$6:$D$400,"All",'Promo Calendar'!$I$6:$I$400,"&lt;="&amp;$A795,'Promo Calendar'!$J$6:$J$400,"&gt;="&amp;$A795,'Promo Calendar'!$G$6:$G$400,"&gt;0")&gt;0,_xlfn.MINIFS('Promo Calendar'!$G$6:$G$400,'Promo Calendar'!$A$6:$A$400,$C795,'Promo Calendar'!$D$6:$D$400,"All",'Promo Calendar'!$I$6:$I$400,"&lt;="&amp;$A795,'Promo Calendar'!$J$6:$J$400,"&gt;="&amp;$A795,'Promo Calendar'!$G$6:$G$400,"&gt;0"),IFERROR(IF(INDEX('Chain Program'!$M$6:$M$120,MATCH($C795,'Chain Program'!$A$6:$A$120,0))="","Not set",INDEX('Chain Program'!$M$6:$M$120,MATCH($C795,'Chain Program'!$A$6:$A$120,0))),"Not set"))))</f>
        <v/>
      </c>
      <c r="I795" s="61" t="n"/>
      <c r="J795" s="45">
        <f>IF($I795="","",IF(NOT(ISNUMBER($H795)),"No plan price",IF(ABS($I795-$H795)&lt;0.005,"Match",IF($I795&gt;$H795,"Over plan","Under plan"))))</f>
        <v/>
      </c>
      <c r="K795" s="60" t="n"/>
      <c r="L795" s="60" t="n"/>
      <c r="M795" s="60" t="n"/>
      <c r="N795" s="60" t="n"/>
      <c r="O795" s="60" t="n"/>
      <c r="P795" s="62" t="n"/>
      <c r="Q795" s="62" t="n"/>
      <c r="R795" s="60" t="n"/>
      <c r="S795" s="59" t="n"/>
      <c r="T795" s="60" t="n"/>
      <c r="U795" s="59" t="n"/>
      <c r="V795" s="45">
        <f>IF(OR($A795="",$T795="",$T795="No Issue"),"",IF($T795="Resolved",IF($U795="","",$U795-$A795),TODAY()-$A795))</f>
        <v/>
      </c>
      <c r="W795" s="47">
        <f>IF(AND($C795&lt;&gt;"",$C795='Store History'!$C$4,OR('Store History'!$C$5="",$F795='Store History'!$C$5)),1,0)</f>
        <v/>
      </c>
      <c r="X795" s="47">
        <f>IF($W795=1,SUM($W795:$W$1005),"")</f>
        <v/>
      </c>
    </row>
    <row r="796">
      <c r="A796" s="59" t="n"/>
      <c r="B796" s="60" t="n"/>
      <c r="C796" s="60" t="n"/>
      <c r="D796" s="45">
        <f>IF($C796="","",IFERROR(INDEX('Chain Program'!$B$6:$B$120,MATCH($C796,'Chain Program'!$A$6:$A$120,0)),"Unknown ID"))</f>
        <v/>
      </c>
      <c r="E796" s="45">
        <f>IF($C796="","",IFERROR(INDEX('Chain Program'!$D$6:$D$120,MATCH($C796,'Chain Program'!$A$6:$A$120,0)),"Unknown ID"))</f>
        <v/>
      </c>
      <c r="F796" s="60" t="n"/>
      <c r="G796" s="60" t="n"/>
      <c r="H796" s="56">
        <f>IF(OR($C796="",$A796=""),"",IF(COUNTIFS('Promo Calendar'!$A$6:$A$400,$C796,'Promo Calendar'!$D$6:$D$400,IF($G796="","All",$G796),'Promo Calendar'!$I$6:$I$400,"&lt;="&amp;$A796,'Promo Calendar'!$J$6:$J$400,"&gt;="&amp;$A796,'Promo Calendar'!$G$6:$G$400,"&gt;0")&gt;0,_xlfn.MINIFS('Promo Calendar'!$G$6:$G$400,'Promo Calendar'!$A$6:$A$400,$C796,'Promo Calendar'!$D$6:$D$400,IF($G796="","All",$G796),'Promo Calendar'!$I$6:$I$400,"&lt;="&amp;$A796,'Promo Calendar'!$J$6:$J$400,"&gt;="&amp;$A796,'Promo Calendar'!$G$6:$G$400,"&gt;0"),IF(COUNTIFS('Promo Calendar'!$A$6:$A$400,$C796,'Promo Calendar'!$D$6:$D$400,"All",'Promo Calendar'!$I$6:$I$400,"&lt;="&amp;$A796,'Promo Calendar'!$J$6:$J$400,"&gt;="&amp;$A796,'Promo Calendar'!$G$6:$G$400,"&gt;0")&gt;0,_xlfn.MINIFS('Promo Calendar'!$G$6:$G$400,'Promo Calendar'!$A$6:$A$400,$C796,'Promo Calendar'!$D$6:$D$400,"All",'Promo Calendar'!$I$6:$I$400,"&lt;="&amp;$A796,'Promo Calendar'!$J$6:$J$400,"&gt;="&amp;$A796,'Promo Calendar'!$G$6:$G$400,"&gt;0"),IFERROR(IF(INDEX('Chain Program'!$M$6:$M$120,MATCH($C796,'Chain Program'!$A$6:$A$120,0))="","Not set",INDEX('Chain Program'!$M$6:$M$120,MATCH($C796,'Chain Program'!$A$6:$A$120,0))),"Not set"))))</f>
        <v/>
      </c>
      <c r="I796" s="61" t="n"/>
      <c r="J796" s="45">
        <f>IF($I796="","",IF(NOT(ISNUMBER($H796)),"No plan price",IF(ABS($I796-$H796)&lt;0.005,"Match",IF($I796&gt;$H796,"Over plan","Under plan"))))</f>
        <v/>
      </c>
      <c r="K796" s="60" t="n"/>
      <c r="L796" s="60" t="n"/>
      <c r="M796" s="60" t="n"/>
      <c r="N796" s="60" t="n"/>
      <c r="O796" s="60" t="n"/>
      <c r="P796" s="62" t="n"/>
      <c r="Q796" s="62" t="n"/>
      <c r="R796" s="60" t="n"/>
      <c r="S796" s="59" t="n"/>
      <c r="T796" s="60" t="n"/>
      <c r="U796" s="59" t="n"/>
      <c r="V796" s="45">
        <f>IF(OR($A796="",$T796="",$T796="No Issue"),"",IF($T796="Resolved",IF($U796="","",$U796-$A796),TODAY()-$A796))</f>
        <v/>
      </c>
      <c r="W796" s="47">
        <f>IF(AND($C796&lt;&gt;"",$C796='Store History'!$C$4,OR('Store History'!$C$5="",$F796='Store History'!$C$5)),1,0)</f>
        <v/>
      </c>
      <c r="X796" s="47">
        <f>IF($W796=1,SUM($W796:$W$1005),"")</f>
        <v/>
      </c>
    </row>
    <row r="797">
      <c r="A797" s="59" t="n"/>
      <c r="B797" s="60" t="n"/>
      <c r="C797" s="60" t="n"/>
      <c r="D797" s="45">
        <f>IF($C797="","",IFERROR(INDEX('Chain Program'!$B$6:$B$120,MATCH($C797,'Chain Program'!$A$6:$A$120,0)),"Unknown ID"))</f>
        <v/>
      </c>
      <c r="E797" s="45">
        <f>IF($C797="","",IFERROR(INDEX('Chain Program'!$D$6:$D$120,MATCH($C797,'Chain Program'!$A$6:$A$120,0)),"Unknown ID"))</f>
        <v/>
      </c>
      <c r="F797" s="60" t="n"/>
      <c r="G797" s="60" t="n"/>
      <c r="H797" s="56">
        <f>IF(OR($C797="",$A797=""),"",IF(COUNTIFS('Promo Calendar'!$A$6:$A$400,$C797,'Promo Calendar'!$D$6:$D$400,IF($G797="","All",$G797),'Promo Calendar'!$I$6:$I$400,"&lt;="&amp;$A797,'Promo Calendar'!$J$6:$J$400,"&gt;="&amp;$A797,'Promo Calendar'!$G$6:$G$400,"&gt;0")&gt;0,_xlfn.MINIFS('Promo Calendar'!$G$6:$G$400,'Promo Calendar'!$A$6:$A$400,$C797,'Promo Calendar'!$D$6:$D$400,IF($G797="","All",$G797),'Promo Calendar'!$I$6:$I$400,"&lt;="&amp;$A797,'Promo Calendar'!$J$6:$J$400,"&gt;="&amp;$A797,'Promo Calendar'!$G$6:$G$400,"&gt;0"),IF(COUNTIFS('Promo Calendar'!$A$6:$A$400,$C797,'Promo Calendar'!$D$6:$D$400,"All",'Promo Calendar'!$I$6:$I$400,"&lt;="&amp;$A797,'Promo Calendar'!$J$6:$J$400,"&gt;="&amp;$A797,'Promo Calendar'!$G$6:$G$400,"&gt;0")&gt;0,_xlfn.MINIFS('Promo Calendar'!$G$6:$G$400,'Promo Calendar'!$A$6:$A$400,$C797,'Promo Calendar'!$D$6:$D$400,"All",'Promo Calendar'!$I$6:$I$400,"&lt;="&amp;$A797,'Promo Calendar'!$J$6:$J$400,"&gt;="&amp;$A797,'Promo Calendar'!$G$6:$G$400,"&gt;0"),IFERROR(IF(INDEX('Chain Program'!$M$6:$M$120,MATCH($C797,'Chain Program'!$A$6:$A$120,0))="","Not set",INDEX('Chain Program'!$M$6:$M$120,MATCH($C797,'Chain Program'!$A$6:$A$120,0))),"Not set"))))</f>
        <v/>
      </c>
      <c r="I797" s="61" t="n"/>
      <c r="J797" s="45">
        <f>IF($I797="","",IF(NOT(ISNUMBER($H797)),"No plan price",IF(ABS($I797-$H797)&lt;0.005,"Match",IF($I797&gt;$H797,"Over plan","Under plan"))))</f>
        <v/>
      </c>
      <c r="K797" s="60" t="n"/>
      <c r="L797" s="60" t="n"/>
      <c r="M797" s="60" t="n"/>
      <c r="N797" s="60" t="n"/>
      <c r="O797" s="60" t="n"/>
      <c r="P797" s="62" t="n"/>
      <c r="Q797" s="62" t="n"/>
      <c r="R797" s="60" t="n"/>
      <c r="S797" s="59" t="n"/>
      <c r="T797" s="60" t="n"/>
      <c r="U797" s="59" t="n"/>
      <c r="V797" s="45">
        <f>IF(OR($A797="",$T797="",$T797="No Issue"),"",IF($T797="Resolved",IF($U797="","",$U797-$A797),TODAY()-$A797))</f>
        <v/>
      </c>
      <c r="W797" s="47">
        <f>IF(AND($C797&lt;&gt;"",$C797='Store History'!$C$4,OR('Store History'!$C$5="",$F797='Store History'!$C$5)),1,0)</f>
        <v/>
      </c>
      <c r="X797" s="47">
        <f>IF($W797=1,SUM($W797:$W$1005),"")</f>
        <v/>
      </c>
    </row>
    <row r="798">
      <c r="A798" s="59" t="n"/>
      <c r="B798" s="60" t="n"/>
      <c r="C798" s="60" t="n"/>
      <c r="D798" s="45">
        <f>IF($C798="","",IFERROR(INDEX('Chain Program'!$B$6:$B$120,MATCH($C798,'Chain Program'!$A$6:$A$120,0)),"Unknown ID"))</f>
        <v/>
      </c>
      <c r="E798" s="45">
        <f>IF($C798="","",IFERROR(INDEX('Chain Program'!$D$6:$D$120,MATCH($C798,'Chain Program'!$A$6:$A$120,0)),"Unknown ID"))</f>
        <v/>
      </c>
      <c r="F798" s="60" t="n"/>
      <c r="G798" s="60" t="n"/>
      <c r="H798" s="56">
        <f>IF(OR($C798="",$A798=""),"",IF(COUNTIFS('Promo Calendar'!$A$6:$A$400,$C798,'Promo Calendar'!$D$6:$D$400,IF($G798="","All",$G798),'Promo Calendar'!$I$6:$I$400,"&lt;="&amp;$A798,'Promo Calendar'!$J$6:$J$400,"&gt;="&amp;$A798,'Promo Calendar'!$G$6:$G$400,"&gt;0")&gt;0,_xlfn.MINIFS('Promo Calendar'!$G$6:$G$400,'Promo Calendar'!$A$6:$A$400,$C798,'Promo Calendar'!$D$6:$D$400,IF($G798="","All",$G798),'Promo Calendar'!$I$6:$I$400,"&lt;="&amp;$A798,'Promo Calendar'!$J$6:$J$400,"&gt;="&amp;$A798,'Promo Calendar'!$G$6:$G$400,"&gt;0"),IF(COUNTIFS('Promo Calendar'!$A$6:$A$400,$C798,'Promo Calendar'!$D$6:$D$400,"All",'Promo Calendar'!$I$6:$I$400,"&lt;="&amp;$A798,'Promo Calendar'!$J$6:$J$400,"&gt;="&amp;$A798,'Promo Calendar'!$G$6:$G$400,"&gt;0")&gt;0,_xlfn.MINIFS('Promo Calendar'!$G$6:$G$400,'Promo Calendar'!$A$6:$A$400,$C798,'Promo Calendar'!$D$6:$D$400,"All",'Promo Calendar'!$I$6:$I$400,"&lt;="&amp;$A798,'Promo Calendar'!$J$6:$J$400,"&gt;="&amp;$A798,'Promo Calendar'!$G$6:$G$400,"&gt;0"),IFERROR(IF(INDEX('Chain Program'!$M$6:$M$120,MATCH($C798,'Chain Program'!$A$6:$A$120,0))="","Not set",INDEX('Chain Program'!$M$6:$M$120,MATCH($C798,'Chain Program'!$A$6:$A$120,0))),"Not set"))))</f>
        <v/>
      </c>
      <c r="I798" s="61" t="n"/>
      <c r="J798" s="45">
        <f>IF($I798="","",IF(NOT(ISNUMBER($H798)),"No plan price",IF(ABS($I798-$H798)&lt;0.005,"Match",IF($I798&gt;$H798,"Over plan","Under plan"))))</f>
        <v/>
      </c>
      <c r="K798" s="60" t="n"/>
      <c r="L798" s="60" t="n"/>
      <c r="M798" s="60" t="n"/>
      <c r="N798" s="60" t="n"/>
      <c r="O798" s="60" t="n"/>
      <c r="P798" s="62" t="n"/>
      <c r="Q798" s="62" t="n"/>
      <c r="R798" s="60" t="n"/>
      <c r="S798" s="59" t="n"/>
      <c r="T798" s="60" t="n"/>
      <c r="U798" s="59" t="n"/>
      <c r="V798" s="45">
        <f>IF(OR($A798="",$T798="",$T798="No Issue"),"",IF($T798="Resolved",IF($U798="","",$U798-$A798),TODAY()-$A798))</f>
        <v/>
      </c>
      <c r="W798" s="47">
        <f>IF(AND($C798&lt;&gt;"",$C798='Store History'!$C$4,OR('Store History'!$C$5="",$F798='Store History'!$C$5)),1,0)</f>
        <v/>
      </c>
      <c r="X798" s="47">
        <f>IF($W798=1,SUM($W798:$W$1005),"")</f>
        <v/>
      </c>
    </row>
    <row r="799">
      <c r="A799" s="59" t="n"/>
      <c r="B799" s="60" t="n"/>
      <c r="C799" s="60" t="n"/>
      <c r="D799" s="45">
        <f>IF($C799="","",IFERROR(INDEX('Chain Program'!$B$6:$B$120,MATCH($C799,'Chain Program'!$A$6:$A$120,0)),"Unknown ID"))</f>
        <v/>
      </c>
      <c r="E799" s="45">
        <f>IF($C799="","",IFERROR(INDEX('Chain Program'!$D$6:$D$120,MATCH($C799,'Chain Program'!$A$6:$A$120,0)),"Unknown ID"))</f>
        <v/>
      </c>
      <c r="F799" s="60" t="n"/>
      <c r="G799" s="60" t="n"/>
      <c r="H799" s="56">
        <f>IF(OR($C799="",$A799=""),"",IF(COUNTIFS('Promo Calendar'!$A$6:$A$400,$C799,'Promo Calendar'!$D$6:$D$400,IF($G799="","All",$G799),'Promo Calendar'!$I$6:$I$400,"&lt;="&amp;$A799,'Promo Calendar'!$J$6:$J$400,"&gt;="&amp;$A799,'Promo Calendar'!$G$6:$G$400,"&gt;0")&gt;0,_xlfn.MINIFS('Promo Calendar'!$G$6:$G$400,'Promo Calendar'!$A$6:$A$400,$C799,'Promo Calendar'!$D$6:$D$400,IF($G799="","All",$G799),'Promo Calendar'!$I$6:$I$400,"&lt;="&amp;$A799,'Promo Calendar'!$J$6:$J$400,"&gt;="&amp;$A799,'Promo Calendar'!$G$6:$G$400,"&gt;0"),IF(COUNTIFS('Promo Calendar'!$A$6:$A$400,$C799,'Promo Calendar'!$D$6:$D$400,"All",'Promo Calendar'!$I$6:$I$400,"&lt;="&amp;$A799,'Promo Calendar'!$J$6:$J$400,"&gt;="&amp;$A799,'Promo Calendar'!$G$6:$G$400,"&gt;0")&gt;0,_xlfn.MINIFS('Promo Calendar'!$G$6:$G$400,'Promo Calendar'!$A$6:$A$400,$C799,'Promo Calendar'!$D$6:$D$400,"All",'Promo Calendar'!$I$6:$I$400,"&lt;="&amp;$A799,'Promo Calendar'!$J$6:$J$400,"&gt;="&amp;$A799,'Promo Calendar'!$G$6:$G$400,"&gt;0"),IFERROR(IF(INDEX('Chain Program'!$M$6:$M$120,MATCH($C799,'Chain Program'!$A$6:$A$120,0))="","Not set",INDEX('Chain Program'!$M$6:$M$120,MATCH($C799,'Chain Program'!$A$6:$A$120,0))),"Not set"))))</f>
        <v/>
      </c>
      <c r="I799" s="61" t="n"/>
      <c r="J799" s="45">
        <f>IF($I799="","",IF(NOT(ISNUMBER($H799)),"No plan price",IF(ABS($I799-$H799)&lt;0.005,"Match",IF($I799&gt;$H799,"Over plan","Under plan"))))</f>
        <v/>
      </c>
      <c r="K799" s="60" t="n"/>
      <c r="L799" s="60" t="n"/>
      <c r="M799" s="60" t="n"/>
      <c r="N799" s="60" t="n"/>
      <c r="O799" s="60" t="n"/>
      <c r="P799" s="62" t="n"/>
      <c r="Q799" s="62" t="n"/>
      <c r="R799" s="60" t="n"/>
      <c r="S799" s="59" t="n"/>
      <c r="T799" s="60" t="n"/>
      <c r="U799" s="59" t="n"/>
      <c r="V799" s="45">
        <f>IF(OR($A799="",$T799="",$T799="No Issue"),"",IF($T799="Resolved",IF($U799="","",$U799-$A799),TODAY()-$A799))</f>
        <v/>
      </c>
      <c r="W799" s="47">
        <f>IF(AND($C799&lt;&gt;"",$C799='Store History'!$C$4,OR('Store History'!$C$5="",$F799='Store History'!$C$5)),1,0)</f>
        <v/>
      </c>
      <c r="X799" s="47">
        <f>IF($W799=1,SUM($W799:$W$1005),"")</f>
        <v/>
      </c>
    </row>
    <row r="800">
      <c r="A800" s="59" t="n"/>
      <c r="B800" s="60" t="n"/>
      <c r="C800" s="60" t="n"/>
      <c r="D800" s="45">
        <f>IF($C800="","",IFERROR(INDEX('Chain Program'!$B$6:$B$120,MATCH($C800,'Chain Program'!$A$6:$A$120,0)),"Unknown ID"))</f>
        <v/>
      </c>
      <c r="E800" s="45">
        <f>IF($C800="","",IFERROR(INDEX('Chain Program'!$D$6:$D$120,MATCH($C800,'Chain Program'!$A$6:$A$120,0)),"Unknown ID"))</f>
        <v/>
      </c>
      <c r="F800" s="60" t="n"/>
      <c r="G800" s="60" t="n"/>
      <c r="H800" s="56">
        <f>IF(OR($C800="",$A800=""),"",IF(COUNTIFS('Promo Calendar'!$A$6:$A$400,$C800,'Promo Calendar'!$D$6:$D$400,IF($G800="","All",$G800),'Promo Calendar'!$I$6:$I$400,"&lt;="&amp;$A800,'Promo Calendar'!$J$6:$J$400,"&gt;="&amp;$A800,'Promo Calendar'!$G$6:$G$400,"&gt;0")&gt;0,_xlfn.MINIFS('Promo Calendar'!$G$6:$G$400,'Promo Calendar'!$A$6:$A$400,$C800,'Promo Calendar'!$D$6:$D$400,IF($G800="","All",$G800),'Promo Calendar'!$I$6:$I$400,"&lt;="&amp;$A800,'Promo Calendar'!$J$6:$J$400,"&gt;="&amp;$A800,'Promo Calendar'!$G$6:$G$400,"&gt;0"),IF(COUNTIFS('Promo Calendar'!$A$6:$A$400,$C800,'Promo Calendar'!$D$6:$D$400,"All",'Promo Calendar'!$I$6:$I$400,"&lt;="&amp;$A800,'Promo Calendar'!$J$6:$J$400,"&gt;="&amp;$A800,'Promo Calendar'!$G$6:$G$400,"&gt;0")&gt;0,_xlfn.MINIFS('Promo Calendar'!$G$6:$G$400,'Promo Calendar'!$A$6:$A$400,$C800,'Promo Calendar'!$D$6:$D$400,"All",'Promo Calendar'!$I$6:$I$400,"&lt;="&amp;$A800,'Promo Calendar'!$J$6:$J$400,"&gt;="&amp;$A800,'Promo Calendar'!$G$6:$G$400,"&gt;0"),IFERROR(IF(INDEX('Chain Program'!$M$6:$M$120,MATCH($C800,'Chain Program'!$A$6:$A$120,0))="","Not set",INDEX('Chain Program'!$M$6:$M$120,MATCH($C800,'Chain Program'!$A$6:$A$120,0))),"Not set"))))</f>
        <v/>
      </c>
      <c r="I800" s="61" t="n"/>
      <c r="J800" s="45">
        <f>IF($I800="","",IF(NOT(ISNUMBER($H800)),"No plan price",IF(ABS($I800-$H800)&lt;0.005,"Match",IF($I800&gt;$H800,"Over plan","Under plan"))))</f>
        <v/>
      </c>
      <c r="K800" s="60" t="n"/>
      <c r="L800" s="60" t="n"/>
      <c r="M800" s="60" t="n"/>
      <c r="N800" s="60" t="n"/>
      <c r="O800" s="60" t="n"/>
      <c r="P800" s="62" t="n"/>
      <c r="Q800" s="62" t="n"/>
      <c r="R800" s="60" t="n"/>
      <c r="S800" s="59" t="n"/>
      <c r="T800" s="60" t="n"/>
      <c r="U800" s="59" t="n"/>
      <c r="V800" s="45">
        <f>IF(OR($A800="",$T800="",$T800="No Issue"),"",IF($T800="Resolved",IF($U800="","",$U800-$A800),TODAY()-$A800))</f>
        <v/>
      </c>
      <c r="W800" s="47">
        <f>IF(AND($C800&lt;&gt;"",$C800='Store History'!$C$4,OR('Store History'!$C$5="",$F800='Store History'!$C$5)),1,0)</f>
        <v/>
      </c>
      <c r="X800" s="47">
        <f>IF($W800=1,SUM($W800:$W$1005),"")</f>
        <v/>
      </c>
    </row>
    <row r="801">
      <c r="A801" s="59" t="n"/>
      <c r="B801" s="60" t="n"/>
      <c r="C801" s="60" t="n"/>
      <c r="D801" s="45">
        <f>IF($C801="","",IFERROR(INDEX('Chain Program'!$B$6:$B$120,MATCH($C801,'Chain Program'!$A$6:$A$120,0)),"Unknown ID"))</f>
        <v/>
      </c>
      <c r="E801" s="45">
        <f>IF($C801="","",IFERROR(INDEX('Chain Program'!$D$6:$D$120,MATCH($C801,'Chain Program'!$A$6:$A$120,0)),"Unknown ID"))</f>
        <v/>
      </c>
      <c r="F801" s="60" t="n"/>
      <c r="G801" s="60" t="n"/>
      <c r="H801" s="56">
        <f>IF(OR($C801="",$A801=""),"",IF(COUNTIFS('Promo Calendar'!$A$6:$A$400,$C801,'Promo Calendar'!$D$6:$D$400,IF($G801="","All",$G801),'Promo Calendar'!$I$6:$I$400,"&lt;="&amp;$A801,'Promo Calendar'!$J$6:$J$400,"&gt;="&amp;$A801,'Promo Calendar'!$G$6:$G$400,"&gt;0")&gt;0,_xlfn.MINIFS('Promo Calendar'!$G$6:$G$400,'Promo Calendar'!$A$6:$A$400,$C801,'Promo Calendar'!$D$6:$D$400,IF($G801="","All",$G801),'Promo Calendar'!$I$6:$I$400,"&lt;="&amp;$A801,'Promo Calendar'!$J$6:$J$400,"&gt;="&amp;$A801,'Promo Calendar'!$G$6:$G$400,"&gt;0"),IF(COUNTIFS('Promo Calendar'!$A$6:$A$400,$C801,'Promo Calendar'!$D$6:$D$400,"All",'Promo Calendar'!$I$6:$I$400,"&lt;="&amp;$A801,'Promo Calendar'!$J$6:$J$400,"&gt;="&amp;$A801,'Promo Calendar'!$G$6:$G$400,"&gt;0")&gt;0,_xlfn.MINIFS('Promo Calendar'!$G$6:$G$400,'Promo Calendar'!$A$6:$A$400,$C801,'Promo Calendar'!$D$6:$D$400,"All",'Promo Calendar'!$I$6:$I$400,"&lt;="&amp;$A801,'Promo Calendar'!$J$6:$J$400,"&gt;="&amp;$A801,'Promo Calendar'!$G$6:$G$400,"&gt;0"),IFERROR(IF(INDEX('Chain Program'!$M$6:$M$120,MATCH($C801,'Chain Program'!$A$6:$A$120,0))="","Not set",INDEX('Chain Program'!$M$6:$M$120,MATCH($C801,'Chain Program'!$A$6:$A$120,0))),"Not set"))))</f>
        <v/>
      </c>
      <c r="I801" s="61" t="n"/>
      <c r="J801" s="45">
        <f>IF($I801="","",IF(NOT(ISNUMBER($H801)),"No plan price",IF(ABS($I801-$H801)&lt;0.005,"Match",IF($I801&gt;$H801,"Over plan","Under plan"))))</f>
        <v/>
      </c>
      <c r="K801" s="60" t="n"/>
      <c r="L801" s="60" t="n"/>
      <c r="M801" s="60" t="n"/>
      <c r="N801" s="60" t="n"/>
      <c r="O801" s="60" t="n"/>
      <c r="P801" s="62" t="n"/>
      <c r="Q801" s="62" t="n"/>
      <c r="R801" s="60" t="n"/>
      <c r="S801" s="59" t="n"/>
      <c r="T801" s="60" t="n"/>
      <c r="U801" s="59" t="n"/>
      <c r="V801" s="45">
        <f>IF(OR($A801="",$T801="",$T801="No Issue"),"",IF($T801="Resolved",IF($U801="","",$U801-$A801),TODAY()-$A801))</f>
        <v/>
      </c>
      <c r="W801" s="47">
        <f>IF(AND($C801&lt;&gt;"",$C801='Store History'!$C$4,OR('Store History'!$C$5="",$F801='Store History'!$C$5)),1,0)</f>
        <v/>
      </c>
      <c r="X801" s="47">
        <f>IF($W801=1,SUM($W801:$W$1005),"")</f>
        <v/>
      </c>
    </row>
    <row r="802">
      <c r="A802" s="59" t="n"/>
      <c r="B802" s="60" t="n"/>
      <c r="C802" s="60" t="n"/>
      <c r="D802" s="45">
        <f>IF($C802="","",IFERROR(INDEX('Chain Program'!$B$6:$B$120,MATCH($C802,'Chain Program'!$A$6:$A$120,0)),"Unknown ID"))</f>
        <v/>
      </c>
      <c r="E802" s="45">
        <f>IF($C802="","",IFERROR(INDEX('Chain Program'!$D$6:$D$120,MATCH($C802,'Chain Program'!$A$6:$A$120,0)),"Unknown ID"))</f>
        <v/>
      </c>
      <c r="F802" s="60" t="n"/>
      <c r="G802" s="60" t="n"/>
      <c r="H802" s="56">
        <f>IF(OR($C802="",$A802=""),"",IF(COUNTIFS('Promo Calendar'!$A$6:$A$400,$C802,'Promo Calendar'!$D$6:$D$400,IF($G802="","All",$G802),'Promo Calendar'!$I$6:$I$400,"&lt;="&amp;$A802,'Promo Calendar'!$J$6:$J$400,"&gt;="&amp;$A802,'Promo Calendar'!$G$6:$G$400,"&gt;0")&gt;0,_xlfn.MINIFS('Promo Calendar'!$G$6:$G$400,'Promo Calendar'!$A$6:$A$400,$C802,'Promo Calendar'!$D$6:$D$400,IF($G802="","All",$G802),'Promo Calendar'!$I$6:$I$400,"&lt;="&amp;$A802,'Promo Calendar'!$J$6:$J$400,"&gt;="&amp;$A802,'Promo Calendar'!$G$6:$G$400,"&gt;0"),IF(COUNTIFS('Promo Calendar'!$A$6:$A$400,$C802,'Promo Calendar'!$D$6:$D$400,"All",'Promo Calendar'!$I$6:$I$400,"&lt;="&amp;$A802,'Promo Calendar'!$J$6:$J$400,"&gt;="&amp;$A802,'Promo Calendar'!$G$6:$G$400,"&gt;0")&gt;0,_xlfn.MINIFS('Promo Calendar'!$G$6:$G$400,'Promo Calendar'!$A$6:$A$400,$C802,'Promo Calendar'!$D$6:$D$400,"All",'Promo Calendar'!$I$6:$I$400,"&lt;="&amp;$A802,'Promo Calendar'!$J$6:$J$400,"&gt;="&amp;$A802,'Promo Calendar'!$G$6:$G$400,"&gt;0"),IFERROR(IF(INDEX('Chain Program'!$M$6:$M$120,MATCH($C802,'Chain Program'!$A$6:$A$120,0))="","Not set",INDEX('Chain Program'!$M$6:$M$120,MATCH($C802,'Chain Program'!$A$6:$A$120,0))),"Not set"))))</f>
        <v/>
      </c>
      <c r="I802" s="61" t="n"/>
      <c r="J802" s="45">
        <f>IF($I802="","",IF(NOT(ISNUMBER($H802)),"No plan price",IF(ABS($I802-$H802)&lt;0.005,"Match",IF($I802&gt;$H802,"Over plan","Under plan"))))</f>
        <v/>
      </c>
      <c r="K802" s="60" t="n"/>
      <c r="L802" s="60" t="n"/>
      <c r="M802" s="60" t="n"/>
      <c r="N802" s="60" t="n"/>
      <c r="O802" s="60" t="n"/>
      <c r="P802" s="62" t="n"/>
      <c r="Q802" s="62" t="n"/>
      <c r="R802" s="60" t="n"/>
      <c r="S802" s="59" t="n"/>
      <c r="T802" s="60" t="n"/>
      <c r="U802" s="59" t="n"/>
      <c r="V802" s="45">
        <f>IF(OR($A802="",$T802="",$T802="No Issue"),"",IF($T802="Resolved",IF($U802="","",$U802-$A802),TODAY()-$A802))</f>
        <v/>
      </c>
      <c r="W802" s="47">
        <f>IF(AND($C802&lt;&gt;"",$C802='Store History'!$C$4,OR('Store History'!$C$5="",$F802='Store History'!$C$5)),1,0)</f>
        <v/>
      </c>
      <c r="X802" s="47">
        <f>IF($W802=1,SUM($W802:$W$1005),"")</f>
        <v/>
      </c>
    </row>
    <row r="803">
      <c r="A803" s="59" t="n"/>
      <c r="B803" s="60" t="n"/>
      <c r="C803" s="60" t="n"/>
      <c r="D803" s="45">
        <f>IF($C803="","",IFERROR(INDEX('Chain Program'!$B$6:$B$120,MATCH($C803,'Chain Program'!$A$6:$A$120,0)),"Unknown ID"))</f>
        <v/>
      </c>
      <c r="E803" s="45">
        <f>IF($C803="","",IFERROR(INDEX('Chain Program'!$D$6:$D$120,MATCH($C803,'Chain Program'!$A$6:$A$120,0)),"Unknown ID"))</f>
        <v/>
      </c>
      <c r="F803" s="60" t="n"/>
      <c r="G803" s="60" t="n"/>
      <c r="H803" s="56">
        <f>IF(OR($C803="",$A803=""),"",IF(COUNTIFS('Promo Calendar'!$A$6:$A$400,$C803,'Promo Calendar'!$D$6:$D$400,IF($G803="","All",$G803),'Promo Calendar'!$I$6:$I$400,"&lt;="&amp;$A803,'Promo Calendar'!$J$6:$J$400,"&gt;="&amp;$A803,'Promo Calendar'!$G$6:$G$400,"&gt;0")&gt;0,_xlfn.MINIFS('Promo Calendar'!$G$6:$G$400,'Promo Calendar'!$A$6:$A$400,$C803,'Promo Calendar'!$D$6:$D$400,IF($G803="","All",$G803),'Promo Calendar'!$I$6:$I$400,"&lt;="&amp;$A803,'Promo Calendar'!$J$6:$J$400,"&gt;="&amp;$A803,'Promo Calendar'!$G$6:$G$400,"&gt;0"),IF(COUNTIFS('Promo Calendar'!$A$6:$A$400,$C803,'Promo Calendar'!$D$6:$D$400,"All",'Promo Calendar'!$I$6:$I$400,"&lt;="&amp;$A803,'Promo Calendar'!$J$6:$J$400,"&gt;="&amp;$A803,'Promo Calendar'!$G$6:$G$400,"&gt;0")&gt;0,_xlfn.MINIFS('Promo Calendar'!$G$6:$G$400,'Promo Calendar'!$A$6:$A$400,$C803,'Promo Calendar'!$D$6:$D$400,"All",'Promo Calendar'!$I$6:$I$400,"&lt;="&amp;$A803,'Promo Calendar'!$J$6:$J$400,"&gt;="&amp;$A803,'Promo Calendar'!$G$6:$G$400,"&gt;0"),IFERROR(IF(INDEX('Chain Program'!$M$6:$M$120,MATCH($C803,'Chain Program'!$A$6:$A$120,0))="","Not set",INDEX('Chain Program'!$M$6:$M$120,MATCH($C803,'Chain Program'!$A$6:$A$120,0))),"Not set"))))</f>
        <v/>
      </c>
      <c r="I803" s="61" t="n"/>
      <c r="J803" s="45">
        <f>IF($I803="","",IF(NOT(ISNUMBER($H803)),"No plan price",IF(ABS($I803-$H803)&lt;0.005,"Match",IF($I803&gt;$H803,"Over plan","Under plan"))))</f>
        <v/>
      </c>
      <c r="K803" s="60" t="n"/>
      <c r="L803" s="60" t="n"/>
      <c r="M803" s="60" t="n"/>
      <c r="N803" s="60" t="n"/>
      <c r="O803" s="60" t="n"/>
      <c r="P803" s="62" t="n"/>
      <c r="Q803" s="62" t="n"/>
      <c r="R803" s="60" t="n"/>
      <c r="S803" s="59" t="n"/>
      <c r="T803" s="60" t="n"/>
      <c r="U803" s="59" t="n"/>
      <c r="V803" s="45">
        <f>IF(OR($A803="",$T803="",$T803="No Issue"),"",IF($T803="Resolved",IF($U803="","",$U803-$A803),TODAY()-$A803))</f>
        <v/>
      </c>
      <c r="W803" s="47">
        <f>IF(AND($C803&lt;&gt;"",$C803='Store History'!$C$4,OR('Store History'!$C$5="",$F803='Store History'!$C$5)),1,0)</f>
        <v/>
      </c>
      <c r="X803" s="47">
        <f>IF($W803=1,SUM($W803:$W$1005),"")</f>
        <v/>
      </c>
    </row>
    <row r="804">
      <c r="A804" s="59" t="n"/>
      <c r="B804" s="60" t="n"/>
      <c r="C804" s="60" t="n"/>
      <c r="D804" s="45">
        <f>IF($C804="","",IFERROR(INDEX('Chain Program'!$B$6:$B$120,MATCH($C804,'Chain Program'!$A$6:$A$120,0)),"Unknown ID"))</f>
        <v/>
      </c>
      <c r="E804" s="45">
        <f>IF($C804="","",IFERROR(INDEX('Chain Program'!$D$6:$D$120,MATCH($C804,'Chain Program'!$A$6:$A$120,0)),"Unknown ID"))</f>
        <v/>
      </c>
      <c r="F804" s="60" t="n"/>
      <c r="G804" s="60" t="n"/>
      <c r="H804" s="56">
        <f>IF(OR($C804="",$A804=""),"",IF(COUNTIFS('Promo Calendar'!$A$6:$A$400,$C804,'Promo Calendar'!$D$6:$D$400,IF($G804="","All",$G804),'Promo Calendar'!$I$6:$I$400,"&lt;="&amp;$A804,'Promo Calendar'!$J$6:$J$400,"&gt;="&amp;$A804,'Promo Calendar'!$G$6:$G$400,"&gt;0")&gt;0,_xlfn.MINIFS('Promo Calendar'!$G$6:$G$400,'Promo Calendar'!$A$6:$A$400,$C804,'Promo Calendar'!$D$6:$D$400,IF($G804="","All",$G804),'Promo Calendar'!$I$6:$I$400,"&lt;="&amp;$A804,'Promo Calendar'!$J$6:$J$400,"&gt;="&amp;$A804,'Promo Calendar'!$G$6:$G$400,"&gt;0"),IF(COUNTIFS('Promo Calendar'!$A$6:$A$400,$C804,'Promo Calendar'!$D$6:$D$400,"All",'Promo Calendar'!$I$6:$I$400,"&lt;="&amp;$A804,'Promo Calendar'!$J$6:$J$400,"&gt;="&amp;$A804,'Promo Calendar'!$G$6:$G$400,"&gt;0")&gt;0,_xlfn.MINIFS('Promo Calendar'!$G$6:$G$400,'Promo Calendar'!$A$6:$A$400,$C804,'Promo Calendar'!$D$6:$D$400,"All",'Promo Calendar'!$I$6:$I$400,"&lt;="&amp;$A804,'Promo Calendar'!$J$6:$J$400,"&gt;="&amp;$A804,'Promo Calendar'!$G$6:$G$400,"&gt;0"),IFERROR(IF(INDEX('Chain Program'!$M$6:$M$120,MATCH($C804,'Chain Program'!$A$6:$A$120,0))="","Not set",INDEX('Chain Program'!$M$6:$M$120,MATCH($C804,'Chain Program'!$A$6:$A$120,0))),"Not set"))))</f>
        <v/>
      </c>
      <c r="I804" s="61" t="n"/>
      <c r="J804" s="45">
        <f>IF($I804="","",IF(NOT(ISNUMBER($H804)),"No plan price",IF(ABS($I804-$H804)&lt;0.005,"Match",IF($I804&gt;$H804,"Over plan","Under plan"))))</f>
        <v/>
      </c>
      <c r="K804" s="60" t="n"/>
      <c r="L804" s="60" t="n"/>
      <c r="M804" s="60" t="n"/>
      <c r="N804" s="60" t="n"/>
      <c r="O804" s="60" t="n"/>
      <c r="P804" s="62" t="n"/>
      <c r="Q804" s="62" t="n"/>
      <c r="R804" s="60" t="n"/>
      <c r="S804" s="59" t="n"/>
      <c r="T804" s="60" t="n"/>
      <c r="U804" s="59" t="n"/>
      <c r="V804" s="45">
        <f>IF(OR($A804="",$T804="",$T804="No Issue"),"",IF($T804="Resolved",IF($U804="","",$U804-$A804),TODAY()-$A804))</f>
        <v/>
      </c>
      <c r="W804" s="47">
        <f>IF(AND($C804&lt;&gt;"",$C804='Store History'!$C$4,OR('Store History'!$C$5="",$F804='Store History'!$C$5)),1,0)</f>
        <v/>
      </c>
      <c r="X804" s="47">
        <f>IF($W804=1,SUM($W804:$W$1005),"")</f>
        <v/>
      </c>
    </row>
    <row r="805">
      <c r="A805" s="59" t="n"/>
      <c r="B805" s="60" t="n"/>
      <c r="C805" s="60" t="n"/>
      <c r="D805" s="45">
        <f>IF($C805="","",IFERROR(INDEX('Chain Program'!$B$6:$B$120,MATCH($C805,'Chain Program'!$A$6:$A$120,0)),"Unknown ID"))</f>
        <v/>
      </c>
      <c r="E805" s="45">
        <f>IF($C805="","",IFERROR(INDEX('Chain Program'!$D$6:$D$120,MATCH($C805,'Chain Program'!$A$6:$A$120,0)),"Unknown ID"))</f>
        <v/>
      </c>
      <c r="F805" s="60" t="n"/>
      <c r="G805" s="60" t="n"/>
      <c r="H805" s="56">
        <f>IF(OR($C805="",$A805=""),"",IF(COUNTIFS('Promo Calendar'!$A$6:$A$400,$C805,'Promo Calendar'!$D$6:$D$400,IF($G805="","All",$G805),'Promo Calendar'!$I$6:$I$400,"&lt;="&amp;$A805,'Promo Calendar'!$J$6:$J$400,"&gt;="&amp;$A805,'Promo Calendar'!$G$6:$G$400,"&gt;0")&gt;0,_xlfn.MINIFS('Promo Calendar'!$G$6:$G$400,'Promo Calendar'!$A$6:$A$400,$C805,'Promo Calendar'!$D$6:$D$400,IF($G805="","All",$G805),'Promo Calendar'!$I$6:$I$400,"&lt;="&amp;$A805,'Promo Calendar'!$J$6:$J$400,"&gt;="&amp;$A805,'Promo Calendar'!$G$6:$G$400,"&gt;0"),IF(COUNTIFS('Promo Calendar'!$A$6:$A$400,$C805,'Promo Calendar'!$D$6:$D$400,"All",'Promo Calendar'!$I$6:$I$400,"&lt;="&amp;$A805,'Promo Calendar'!$J$6:$J$400,"&gt;="&amp;$A805,'Promo Calendar'!$G$6:$G$400,"&gt;0")&gt;0,_xlfn.MINIFS('Promo Calendar'!$G$6:$G$400,'Promo Calendar'!$A$6:$A$400,$C805,'Promo Calendar'!$D$6:$D$400,"All",'Promo Calendar'!$I$6:$I$400,"&lt;="&amp;$A805,'Promo Calendar'!$J$6:$J$400,"&gt;="&amp;$A805,'Promo Calendar'!$G$6:$G$400,"&gt;0"),IFERROR(IF(INDEX('Chain Program'!$M$6:$M$120,MATCH($C805,'Chain Program'!$A$6:$A$120,0))="","Not set",INDEX('Chain Program'!$M$6:$M$120,MATCH($C805,'Chain Program'!$A$6:$A$120,0))),"Not set"))))</f>
        <v/>
      </c>
      <c r="I805" s="61" t="n"/>
      <c r="J805" s="45">
        <f>IF($I805="","",IF(NOT(ISNUMBER($H805)),"No plan price",IF(ABS($I805-$H805)&lt;0.005,"Match",IF($I805&gt;$H805,"Over plan","Under plan"))))</f>
        <v/>
      </c>
      <c r="K805" s="60" t="n"/>
      <c r="L805" s="60" t="n"/>
      <c r="M805" s="60" t="n"/>
      <c r="N805" s="60" t="n"/>
      <c r="O805" s="60" t="n"/>
      <c r="P805" s="62" t="n"/>
      <c r="Q805" s="62" t="n"/>
      <c r="R805" s="60" t="n"/>
      <c r="S805" s="59" t="n"/>
      <c r="T805" s="60" t="n"/>
      <c r="U805" s="59" t="n"/>
      <c r="V805" s="45">
        <f>IF(OR($A805="",$T805="",$T805="No Issue"),"",IF($T805="Resolved",IF($U805="","",$U805-$A805),TODAY()-$A805))</f>
        <v/>
      </c>
      <c r="W805" s="47">
        <f>IF(AND($C805&lt;&gt;"",$C805='Store History'!$C$4,OR('Store History'!$C$5="",$F805='Store History'!$C$5)),1,0)</f>
        <v/>
      </c>
      <c r="X805" s="47">
        <f>IF($W805=1,SUM($W805:$W$1005),"")</f>
        <v/>
      </c>
    </row>
    <row r="806">
      <c r="A806" s="59" t="n"/>
      <c r="B806" s="60" t="n"/>
      <c r="C806" s="60" t="n"/>
      <c r="D806" s="45">
        <f>IF($C806="","",IFERROR(INDEX('Chain Program'!$B$6:$B$120,MATCH($C806,'Chain Program'!$A$6:$A$120,0)),"Unknown ID"))</f>
        <v/>
      </c>
      <c r="E806" s="45">
        <f>IF($C806="","",IFERROR(INDEX('Chain Program'!$D$6:$D$120,MATCH($C806,'Chain Program'!$A$6:$A$120,0)),"Unknown ID"))</f>
        <v/>
      </c>
      <c r="F806" s="60" t="n"/>
      <c r="G806" s="60" t="n"/>
      <c r="H806" s="56">
        <f>IF(OR($C806="",$A806=""),"",IF(COUNTIFS('Promo Calendar'!$A$6:$A$400,$C806,'Promo Calendar'!$D$6:$D$400,IF($G806="","All",$G806),'Promo Calendar'!$I$6:$I$400,"&lt;="&amp;$A806,'Promo Calendar'!$J$6:$J$400,"&gt;="&amp;$A806,'Promo Calendar'!$G$6:$G$400,"&gt;0")&gt;0,_xlfn.MINIFS('Promo Calendar'!$G$6:$G$400,'Promo Calendar'!$A$6:$A$400,$C806,'Promo Calendar'!$D$6:$D$400,IF($G806="","All",$G806),'Promo Calendar'!$I$6:$I$400,"&lt;="&amp;$A806,'Promo Calendar'!$J$6:$J$400,"&gt;="&amp;$A806,'Promo Calendar'!$G$6:$G$400,"&gt;0"),IF(COUNTIFS('Promo Calendar'!$A$6:$A$400,$C806,'Promo Calendar'!$D$6:$D$400,"All",'Promo Calendar'!$I$6:$I$400,"&lt;="&amp;$A806,'Promo Calendar'!$J$6:$J$400,"&gt;="&amp;$A806,'Promo Calendar'!$G$6:$G$400,"&gt;0")&gt;0,_xlfn.MINIFS('Promo Calendar'!$G$6:$G$400,'Promo Calendar'!$A$6:$A$400,$C806,'Promo Calendar'!$D$6:$D$400,"All",'Promo Calendar'!$I$6:$I$400,"&lt;="&amp;$A806,'Promo Calendar'!$J$6:$J$400,"&gt;="&amp;$A806,'Promo Calendar'!$G$6:$G$400,"&gt;0"),IFERROR(IF(INDEX('Chain Program'!$M$6:$M$120,MATCH($C806,'Chain Program'!$A$6:$A$120,0))="","Not set",INDEX('Chain Program'!$M$6:$M$120,MATCH($C806,'Chain Program'!$A$6:$A$120,0))),"Not set"))))</f>
        <v/>
      </c>
      <c r="I806" s="61" t="n"/>
      <c r="J806" s="45">
        <f>IF($I806="","",IF(NOT(ISNUMBER($H806)),"No plan price",IF(ABS($I806-$H806)&lt;0.005,"Match",IF($I806&gt;$H806,"Over plan","Under plan"))))</f>
        <v/>
      </c>
      <c r="K806" s="60" t="n"/>
      <c r="L806" s="60" t="n"/>
      <c r="M806" s="60" t="n"/>
      <c r="N806" s="60" t="n"/>
      <c r="O806" s="60" t="n"/>
      <c r="P806" s="62" t="n"/>
      <c r="Q806" s="62" t="n"/>
      <c r="R806" s="60" t="n"/>
      <c r="S806" s="59" t="n"/>
      <c r="T806" s="60" t="n"/>
      <c r="U806" s="59" t="n"/>
      <c r="V806" s="45">
        <f>IF(OR($A806="",$T806="",$T806="No Issue"),"",IF($T806="Resolved",IF($U806="","",$U806-$A806),TODAY()-$A806))</f>
        <v/>
      </c>
      <c r="W806" s="47">
        <f>IF(AND($C806&lt;&gt;"",$C806='Store History'!$C$4,OR('Store History'!$C$5="",$F806='Store History'!$C$5)),1,0)</f>
        <v/>
      </c>
      <c r="X806" s="47">
        <f>IF($W806=1,SUM($W806:$W$1005),"")</f>
        <v/>
      </c>
    </row>
    <row r="807">
      <c r="A807" s="59" t="n"/>
      <c r="B807" s="60" t="n"/>
      <c r="C807" s="60" t="n"/>
      <c r="D807" s="45">
        <f>IF($C807="","",IFERROR(INDEX('Chain Program'!$B$6:$B$120,MATCH($C807,'Chain Program'!$A$6:$A$120,0)),"Unknown ID"))</f>
        <v/>
      </c>
      <c r="E807" s="45">
        <f>IF($C807="","",IFERROR(INDEX('Chain Program'!$D$6:$D$120,MATCH($C807,'Chain Program'!$A$6:$A$120,0)),"Unknown ID"))</f>
        <v/>
      </c>
      <c r="F807" s="60" t="n"/>
      <c r="G807" s="60" t="n"/>
      <c r="H807" s="56">
        <f>IF(OR($C807="",$A807=""),"",IF(COUNTIFS('Promo Calendar'!$A$6:$A$400,$C807,'Promo Calendar'!$D$6:$D$400,IF($G807="","All",$G807),'Promo Calendar'!$I$6:$I$400,"&lt;="&amp;$A807,'Promo Calendar'!$J$6:$J$400,"&gt;="&amp;$A807,'Promo Calendar'!$G$6:$G$400,"&gt;0")&gt;0,_xlfn.MINIFS('Promo Calendar'!$G$6:$G$400,'Promo Calendar'!$A$6:$A$400,$C807,'Promo Calendar'!$D$6:$D$400,IF($G807="","All",$G807),'Promo Calendar'!$I$6:$I$400,"&lt;="&amp;$A807,'Promo Calendar'!$J$6:$J$400,"&gt;="&amp;$A807,'Promo Calendar'!$G$6:$G$400,"&gt;0"),IF(COUNTIFS('Promo Calendar'!$A$6:$A$400,$C807,'Promo Calendar'!$D$6:$D$400,"All",'Promo Calendar'!$I$6:$I$400,"&lt;="&amp;$A807,'Promo Calendar'!$J$6:$J$400,"&gt;="&amp;$A807,'Promo Calendar'!$G$6:$G$400,"&gt;0")&gt;0,_xlfn.MINIFS('Promo Calendar'!$G$6:$G$400,'Promo Calendar'!$A$6:$A$400,$C807,'Promo Calendar'!$D$6:$D$400,"All",'Promo Calendar'!$I$6:$I$400,"&lt;="&amp;$A807,'Promo Calendar'!$J$6:$J$400,"&gt;="&amp;$A807,'Promo Calendar'!$G$6:$G$400,"&gt;0"),IFERROR(IF(INDEX('Chain Program'!$M$6:$M$120,MATCH($C807,'Chain Program'!$A$6:$A$120,0))="","Not set",INDEX('Chain Program'!$M$6:$M$120,MATCH($C807,'Chain Program'!$A$6:$A$120,0))),"Not set"))))</f>
        <v/>
      </c>
      <c r="I807" s="61" t="n"/>
      <c r="J807" s="45">
        <f>IF($I807="","",IF(NOT(ISNUMBER($H807)),"No plan price",IF(ABS($I807-$H807)&lt;0.005,"Match",IF($I807&gt;$H807,"Over plan","Under plan"))))</f>
        <v/>
      </c>
      <c r="K807" s="60" t="n"/>
      <c r="L807" s="60" t="n"/>
      <c r="M807" s="60" t="n"/>
      <c r="N807" s="60" t="n"/>
      <c r="O807" s="60" t="n"/>
      <c r="P807" s="62" t="n"/>
      <c r="Q807" s="62" t="n"/>
      <c r="R807" s="60" t="n"/>
      <c r="S807" s="59" t="n"/>
      <c r="T807" s="60" t="n"/>
      <c r="U807" s="59" t="n"/>
      <c r="V807" s="45">
        <f>IF(OR($A807="",$T807="",$T807="No Issue"),"",IF($T807="Resolved",IF($U807="","",$U807-$A807),TODAY()-$A807))</f>
        <v/>
      </c>
      <c r="W807" s="47">
        <f>IF(AND($C807&lt;&gt;"",$C807='Store History'!$C$4,OR('Store History'!$C$5="",$F807='Store History'!$C$5)),1,0)</f>
        <v/>
      </c>
      <c r="X807" s="47">
        <f>IF($W807=1,SUM($W807:$W$1005),"")</f>
        <v/>
      </c>
    </row>
    <row r="808">
      <c r="A808" s="59" t="n"/>
      <c r="B808" s="60" t="n"/>
      <c r="C808" s="60" t="n"/>
      <c r="D808" s="45">
        <f>IF($C808="","",IFERROR(INDEX('Chain Program'!$B$6:$B$120,MATCH($C808,'Chain Program'!$A$6:$A$120,0)),"Unknown ID"))</f>
        <v/>
      </c>
      <c r="E808" s="45">
        <f>IF($C808="","",IFERROR(INDEX('Chain Program'!$D$6:$D$120,MATCH($C808,'Chain Program'!$A$6:$A$120,0)),"Unknown ID"))</f>
        <v/>
      </c>
      <c r="F808" s="60" t="n"/>
      <c r="G808" s="60" t="n"/>
      <c r="H808" s="56">
        <f>IF(OR($C808="",$A808=""),"",IF(COUNTIFS('Promo Calendar'!$A$6:$A$400,$C808,'Promo Calendar'!$D$6:$D$400,IF($G808="","All",$G808),'Promo Calendar'!$I$6:$I$400,"&lt;="&amp;$A808,'Promo Calendar'!$J$6:$J$400,"&gt;="&amp;$A808,'Promo Calendar'!$G$6:$G$400,"&gt;0")&gt;0,_xlfn.MINIFS('Promo Calendar'!$G$6:$G$400,'Promo Calendar'!$A$6:$A$400,$C808,'Promo Calendar'!$D$6:$D$400,IF($G808="","All",$G808),'Promo Calendar'!$I$6:$I$400,"&lt;="&amp;$A808,'Promo Calendar'!$J$6:$J$400,"&gt;="&amp;$A808,'Promo Calendar'!$G$6:$G$400,"&gt;0"),IF(COUNTIFS('Promo Calendar'!$A$6:$A$400,$C808,'Promo Calendar'!$D$6:$D$400,"All",'Promo Calendar'!$I$6:$I$400,"&lt;="&amp;$A808,'Promo Calendar'!$J$6:$J$400,"&gt;="&amp;$A808,'Promo Calendar'!$G$6:$G$400,"&gt;0")&gt;0,_xlfn.MINIFS('Promo Calendar'!$G$6:$G$400,'Promo Calendar'!$A$6:$A$400,$C808,'Promo Calendar'!$D$6:$D$400,"All",'Promo Calendar'!$I$6:$I$400,"&lt;="&amp;$A808,'Promo Calendar'!$J$6:$J$400,"&gt;="&amp;$A808,'Promo Calendar'!$G$6:$G$400,"&gt;0"),IFERROR(IF(INDEX('Chain Program'!$M$6:$M$120,MATCH($C808,'Chain Program'!$A$6:$A$120,0))="","Not set",INDEX('Chain Program'!$M$6:$M$120,MATCH($C808,'Chain Program'!$A$6:$A$120,0))),"Not set"))))</f>
        <v/>
      </c>
      <c r="I808" s="61" t="n"/>
      <c r="J808" s="45">
        <f>IF($I808="","",IF(NOT(ISNUMBER($H808)),"No plan price",IF(ABS($I808-$H808)&lt;0.005,"Match",IF($I808&gt;$H808,"Over plan","Under plan"))))</f>
        <v/>
      </c>
      <c r="K808" s="60" t="n"/>
      <c r="L808" s="60" t="n"/>
      <c r="M808" s="60" t="n"/>
      <c r="N808" s="60" t="n"/>
      <c r="O808" s="60" t="n"/>
      <c r="P808" s="62" t="n"/>
      <c r="Q808" s="62" t="n"/>
      <c r="R808" s="60" t="n"/>
      <c r="S808" s="59" t="n"/>
      <c r="T808" s="60" t="n"/>
      <c r="U808" s="59" t="n"/>
      <c r="V808" s="45">
        <f>IF(OR($A808="",$T808="",$T808="No Issue"),"",IF($T808="Resolved",IF($U808="","",$U808-$A808),TODAY()-$A808))</f>
        <v/>
      </c>
      <c r="W808" s="47">
        <f>IF(AND($C808&lt;&gt;"",$C808='Store History'!$C$4,OR('Store History'!$C$5="",$F808='Store History'!$C$5)),1,0)</f>
        <v/>
      </c>
      <c r="X808" s="47">
        <f>IF($W808=1,SUM($W808:$W$1005),"")</f>
        <v/>
      </c>
    </row>
    <row r="809">
      <c r="A809" s="59" t="n"/>
      <c r="B809" s="60" t="n"/>
      <c r="C809" s="60" t="n"/>
      <c r="D809" s="45">
        <f>IF($C809="","",IFERROR(INDEX('Chain Program'!$B$6:$B$120,MATCH($C809,'Chain Program'!$A$6:$A$120,0)),"Unknown ID"))</f>
        <v/>
      </c>
      <c r="E809" s="45">
        <f>IF($C809="","",IFERROR(INDEX('Chain Program'!$D$6:$D$120,MATCH($C809,'Chain Program'!$A$6:$A$120,0)),"Unknown ID"))</f>
        <v/>
      </c>
      <c r="F809" s="60" t="n"/>
      <c r="G809" s="60" t="n"/>
      <c r="H809" s="56">
        <f>IF(OR($C809="",$A809=""),"",IF(COUNTIFS('Promo Calendar'!$A$6:$A$400,$C809,'Promo Calendar'!$D$6:$D$400,IF($G809="","All",$G809),'Promo Calendar'!$I$6:$I$400,"&lt;="&amp;$A809,'Promo Calendar'!$J$6:$J$400,"&gt;="&amp;$A809,'Promo Calendar'!$G$6:$G$400,"&gt;0")&gt;0,_xlfn.MINIFS('Promo Calendar'!$G$6:$G$400,'Promo Calendar'!$A$6:$A$400,$C809,'Promo Calendar'!$D$6:$D$400,IF($G809="","All",$G809),'Promo Calendar'!$I$6:$I$400,"&lt;="&amp;$A809,'Promo Calendar'!$J$6:$J$400,"&gt;="&amp;$A809,'Promo Calendar'!$G$6:$G$400,"&gt;0"),IF(COUNTIFS('Promo Calendar'!$A$6:$A$400,$C809,'Promo Calendar'!$D$6:$D$400,"All",'Promo Calendar'!$I$6:$I$400,"&lt;="&amp;$A809,'Promo Calendar'!$J$6:$J$400,"&gt;="&amp;$A809,'Promo Calendar'!$G$6:$G$400,"&gt;0")&gt;0,_xlfn.MINIFS('Promo Calendar'!$G$6:$G$400,'Promo Calendar'!$A$6:$A$400,$C809,'Promo Calendar'!$D$6:$D$400,"All",'Promo Calendar'!$I$6:$I$400,"&lt;="&amp;$A809,'Promo Calendar'!$J$6:$J$400,"&gt;="&amp;$A809,'Promo Calendar'!$G$6:$G$400,"&gt;0"),IFERROR(IF(INDEX('Chain Program'!$M$6:$M$120,MATCH($C809,'Chain Program'!$A$6:$A$120,0))="","Not set",INDEX('Chain Program'!$M$6:$M$120,MATCH($C809,'Chain Program'!$A$6:$A$120,0))),"Not set"))))</f>
        <v/>
      </c>
      <c r="I809" s="61" t="n"/>
      <c r="J809" s="45">
        <f>IF($I809="","",IF(NOT(ISNUMBER($H809)),"No plan price",IF(ABS($I809-$H809)&lt;0.005,"Match",IF($I809&gt;$H809,"Over plan","Under plan"))))</f>
        <v/>
      </c>
      <c r="K809" s="60" t="n"/>
      <c r="L809" s="60" t="n"/>
      <c r="M809" s="60" t="n"/>
      <c r="N809" s="60" t="n"/>
      <c r="O809" s="60" t="n"/>
      <c r="P809" s="62" t="n"/>
      <c r="Q809" s="62" t="n"/>
      <c r="R809" s="60" t="n"/>
      <c r="S809" s="59" t="n"/>
      <c r="T809" s="60" t="n"/>
      <c r="U809" s="59" t="n"/>
      <c r="V809" s="45">
        <f>IF(OR($A809="",$T809="",$T809="No Issue"),"",IF($T809="Resolved",IF($U809="","",$U809-$A809),TODAY()-$A809))</f>
        <v/>
      </c>
      <c r="W809" s="47">
        <f>IF(AND($C809&lt;&gt;"",$C809='Store History'!$C$4,OR('Store History'!$C$5="",$F809='Store History'!$C$5)),1,0)</f>
        <v/>
      </c>
      <c r="X809" s="47">
        <f>IF($W809=1,SUM($W809:$W$1005),"")</f>
        <v/>
      </c>
    </row>
    <row r="810">
      <c r="A810" s="59" t="n"/>
      <c r="B810" s="60" t="n"/>
      <c r="C810" s="60" t="n"/>
      <c r="D810" s="45">
        <f>IF($C810="","",IFERROR(INDEX('Chain Program'!$B$6:$B$120,MATCH($C810,'Chain Program'!$A$6:$A$120,0)),"Unknown ID"))</f>
        <v/>
      </c>
      <c r="E810" s="45">
        <f>IF($C810="","",IFERROR(INDEX('Chain Program'!$D$6:$D$120,MATCH($C810,'Chain Program'!$A$6:$A$120,0)),"Unknown ID"))</f>
        <v/>
      </c>
      <c r="F810" s="60" t="n"/>
      <c r="G810" s="60" t="n"/>
      <c r="H810" s="56">
        <f>IF(OR($C810="",$A810=""),"",IF(COUNTIFS('Promo Calendar'!$A$6:$A$400,$C810,'Promo Calendar'!$D$6:$D$400,IF($G810="","All",$G810),'Promo Calendar'!$I$6:$I$400,"&lt;="&amp;$A810,'Promo Calendar'!$J$6:$J$400,"&gt;="&amp;$A810,'Promo Calendar'!$G$6:$G$400,"&gt;0")&gt;0,_xlfn.MINIFS('Promo Calendar'!$G$6:$G$400,'Promo Calendar'!$A$6:$A$400,$C810,'Promo Calendar'!$D$6:$D$400,IF($G810="","All",$G810),'Promo Calendar'!$I$6:$I$400,"&lt;="&amp;$A810,'Promo Calendar'!$J$6:$J$400,"&gt;="&amp;$A810,'Promo Calendar'!$G$6:$G$400,"&gt;0"),IF(COUNTIFS('Promo Calendar'!$A$6:$A$400,$C810,'Promo Calendar'!$D$6:$D$400,"All",'Promo Calendar'!$I$6:$I$400,"&lt;="&amp;$A810,'Promo Calendar'!$J$6:$J$400,"&gt;="&amp;$A810,'Promo Calendar'!$G$6:$G$400,"&gt;0")&gt;0,_xlfn.MINIFS('Promo Calendar'!$G$6:$G$400,'Promo Calendar'!$A$6:$A$400,$C810,'Promo Calendar'!$D$6:$D$400,"All",'Promo Calendar'!$I$6:$I$400,"&lt;="&amp;$A810,'Promo Calendar'!$J$6:$J$400,"&gt;="&amp;$A810,'Promo Calendar'!$G$6:$G$400,"&gt;0"),IFERROR(IF(INDEX('Chain Program'!$M$6:$M$120,MATCH($C810,'Chain Program'!$A$6:$A$120,0))="","Not set",INDEX('Chain Program'!$M$6:$M$120,MATCH($C810,'Chain Program'!$A$6:$A$120,0))),"Not set"))))</f>
        <v/>
      </c>
      <c r="I810" s="61" t="n"/>
      <c r="J810" s="45">
        <f>IF($I810="","",IF(NOT(ISNUMBER($H810)),"No plan price",IF(ABS($I810-$H810)&lt;0.005,"Match",IF($I810&gt;$H810,"Over plan","Under plan"))))</f>
        <v/>
      </c>
      <c r="K810" s="60" t="n"/>
      <c r="L810" s="60" t="n"/>
      <c r="M810" s="60" t="n"/>
      <c r="N810" s="60" t="n"/>
      <c r="O810" s="60" t="n"/>
      <c r="P810" s="62" t="n"/>
      <c r="Q810" s="62" t="n"/>
      <c r="R810" s="60" t="n"/>
      <c r="S810" s="59" t="n"/>
      <c r="T810" s="60" t="n"/>
      <c r="U810" s="59" t="n"/>
      <c r="V810" s="45">
        <f>IF(OR($A810="",$T810="",$T810="No Issue"),"",IF($T810="Resolved",IF($U810="","",$U810-$A810),TODAY()-$A810))</f>
        <v/>
      </c>
      <c r="W810" s="47">
        <f>IF(AND($C810&lt;&gt;"",$C810='Store History'!$C$4,OR('Store History'!$C$5="",$F810='Store History'!$C$5)),1,0)</f>
        <v/>
      </c>
      <c r="X810" s="47">
        <f>IF($W810=1,SUM($W810:$W$1005),"")</f>
        <v/>
      </c>
    </row>
    <row r="811">
      <c r="A811" s="59" t="n"/>
      <c r="B811" s="60" t="n"/>
      <c r="C811" s="60" t="n"/>
      <c r="D811" s="45">
        <f>IF($C811="","",IFERROR(INDEX('Chain Program'!$B$6:$B$120,MATCH($C811,'Chain Program'!$A$6:$A$120,0)),"Unknown ID"))</f>
        <v/>
      </c>
      <c r="E811" s="45">
        <f>IF($C811="","",IFERROR(INDEX('Chain Program'!$D$6:$D$120,MATCH($C811,'Chain Program'!$A$6:$A$120,0)),"Unknown ID"))</f>
        <v/>
      </c>
      <c r="F811" s="60" t="n"/>
      <c r="G811" s="60" t="n"/>
      <c r="H811" s="56">
        <f>IF(OR($C811="",$A811=""),"",IF(COUNTIFS('Promo Calendar'!$A$6:$A$400,$C811,'Promo Calendar'!$D$6:$D$400,IF($G811="","All",$G811),'Promo Calendar'!$I$6:$I$400,"&lt;="&amp;$A811,'Promo Calendar'!$J$6:$J$400,"&gt;="&amp;$A811,'Promo Calendar'!$G$6:$G$400,"&gt;0")&gt;0,_xlfn.MINIFS('Promo Calendar'!$G$6:$G$400,'Promo Calendar'!$A$6:$A$400,$C811,'Promo Calendar'!$D$6:$D$400,IF($G811="","All",$G811),'Promo Calendar'!$I$6:$I$400,"&lt;="&amp;$A811,'Promo Calendar'!$J$6:$J$400,"&gt;="&amp;$A811,'Promo Calendar'!$G$6:$G$400,"&gt;0"),IF(COUNTIFS('Promo Calendar'!$A$6:$A$400,$C811,'Promo Calendar'!$D$6:$D$400,"All",'Promo Calendar'!$I$6:$I$400,"&lt;="&amp;$A811,'Promo Calendar'!$J$6:$J$400,"&gt;="&amp;$A811,'Promo Calendar'!$G$6:$G$400,"&gt;0")&gt;0,_xlfn.MINIFS('Promo Calendar'!$G$6:$G$400,'Promo Calendar'!$A$6:$A$400,$C811,'Promo Calendar'!$D$6:$D$400,"All",'Promo Calendar'!$I$6:$I$400,"&lt;="&amp;$A811,'Promo Calendar'!$J$6:$J$400,"&gt;="&amp;$A811,'Promo Calendar'!$G$6:$G$400,"&gt;0"),IFERROR(IF(INDEX('Chain Program'!$M$6:$M$120,MATCH($C811,'Chain Program'!$A$6:$A$120,0))="","Not set",INDEX('Chain Program'!$M$6:$M$120,MATCH($C811,'Chain Program'!$A$6:$A$120,0))),"Not set"))))</f>
        <v/>
      </c>
      <c r="I811" s="61" t="n"/>
      <c r="J811" s="45">
        <f>IF($I811="","",IF(NOT(ISNUMBER($H811)),"No plan price",IF(ABS($I811-$H811)&lt;0.005,"Match",IF($I811&gt;$H811,"Over plan","Under plan"))))</f>
        <v/>
      </c>
      <c r="K811" s="60" t="n"/>
      <c r="L811" s="60" t="n"/>
      <c r="M811" s="60" t="n"/>
      <c r="N811" s="60" t="n"/>
      <c r="O811" s="60" t="n"/>
      <c r="P811" s="62" t="n"/>
      <c r="Q811" s="62" t="n"/>
      <c r="R811" s="60" t="n"/>
      <c r="S811" s="59" t="n"/>
      <c r="T811" s="60" t="n"/>
      <c r="U811" s="59" t="n"/>
      <c r="V811" s="45">
        <f>IF(OR($A811="",$T811="",$T811="No Issue"),"",IF($T811="Resolved",IF($U811="","",$U811-$A811),TODAY()-$A811))</f>
        <v/>
      </c>
      <c r="W811" s="47">
        <f>IF(AND($C811&lt;&gt;"",$C811='Store History'!$C$4,OR('Store History'!$C$5="",$F811='Store History'!$C$5)),1,0)</f>
        <v/>
      </c>
      <c r="X811" s="47">
        <f>IF($W811=1,SUM($W811:$W$1005),"")</f>
        <v/>
      </c>
    </row>
    <row r="812">
      <c r="A812" s="59" t="n"/>
      <c r="B812" s="60" t="n"/>
      <c r="C812" s="60" t="n"/>
      <c r="D812" s="45">
        <f>IF($C812="","",IFERROR(INDEX('Chain Program'!$B$6:$B$120,MATCH($C812,'Chain Program'!$A$6:$A$120,0)),"Unknown ID"))</f>
        <v/>
      </c>
      <c r="E812" s="45">
        <f>IF($C812="","",IFERROR(INDEX('Chain Program'!$D$6:$D$120,MATCH($C812,'Chain Program'!$A$6:$A$120,0)),"Unknown ID"))</f>
        <v/>
      </c>
      <c r="F812" s="60" t="n"/>
      <c r="G812" s="60" t="n"/>
      <c r="H812" s="56">
        <f>IF(OR($C812="",$A812=""),"",IF(COUNTIFS('Promo Calendar'!$A$6:$A$400,$C812,'Promo Calendar'!$D$6:$D$400,IF($G812="","All",$G812),'Promo Calendar'!$I$6:$I$400,"&lt;="&amp;$A812,'Promo Calendar'!$J$6:$J$400,"&gt;="&amp;$A812,'Promo Calendar'!$G$6:$G$400,"&gt;0")&gt;0,_xlfn.MINIFS('Promo Calendar'!$G$6:$G$400,'Promo Calendar'!$A$6:$A$400,$C812,'Promo Calendar'!$D$6:$D$400,IF($G812="","All",$G812),'Promo Calendar'!$I$6:$I$400,"&lt;="&amp;$A812,'Promo Calendar'!$J$6:$J$400,"&gt;="&amp;$A812,'Promo Calendar'!$G$6:$G$400,"&gt;0"),IF(COUNTIFS('Promo Calendar'!$A$6:$A$400,$C812,'Promo Calendar'!$D$6:$D$400,"All",'Promo Calendar'!$I$6:$I$400,"&lt;="&amp;$A812,'Promo Calendar'!$J$6:$J$400,"&gt;="&amp;$A812,'Promo Calendar'!$G$6:$G$400,"&gt;0")&gt;0,_xlfn.MINIFS('Promo Calendar'!$G$6:$G$400,'Promo Calendar'!$A$6:$A$400,$C812,'Promo Calendar'!$D$6:$D$400,"All",'Promo Calendar'!$I$6:$I$400,"&lt;="&amp;$A812,'Promo Calendar'!$J$6:$J$400,"&gt;="&amp;$A812,'Promo Calendar'!$G$6:$G$400,"&gt;0"),IFERROR(IF(INDEX('Chain Program'!$M$6:$M$120,MATCH($C812,'Chain Program'!$A$6:$A$120,0))="","Not set",INDEX('Chain Program'!$M$6:$M$120,MATCH($C812,'Chain Program'!$A$6:$A$120,0))),"Not set"))))</f>
        <v/>
      </c>
      <c r="I812" s="61" t="n"/>
      <c r="J812" s="45">
        <f>IF($I812="","",IF(NOT(ISNUMBER($H812)),"No plan price",IF(ABS($I812-$H812)&lt;0.005,"Match",IF($I812&gt;$H812,"Over plan","Under plan"))))</f>
        <v/>
      </c>
      <c r="K812" s="60" t="n"/>
      <c r="L812" s="60" t="n"/>
      <c r="M812" s="60" t="n"/>
      <c r="N812" s="60" t="n"/>
      <c r="O812" s="60" t="n"/>
      <c r="P812" s="62" t="n"/>
      <c r="Q812" s="62" t="n"/>
      <c r="R812" s="60" t="n"/>
      <c r="S812" s="59" t="n"/>
      <c r="T812" s="60" t="n"/>
      <c r="U812" s="59" t="n"/>
      <c r="V812" s="45">
        <f>IF(OR($A812="",$T812="",$T812="No Issue"),"",IF($T812="Resolved",IF($U812="","",$U812-$A812),TODAY()-$A812))</f>
        <v/>
      </c>
      <c r="W812" s="47">
        <f>IF(AND($C812&lt;&gt;"",$C812='Store History'!$C$4,OR('Store History'!$C$5="",$F812='Store History'!$C$5)),1,0)</f>
        <v/>
      </c>
      <c r="X812" s="47">
        <f>IF($W812=1,SUM($W812:$W$1005),"")</f>
        <v/>
      </c>
    </row>
    <row r="813">
      <c r="A813" s="59" t="n"/>
      <c r="B813" s="60" t="n"/>
      <c r="C813" s="60" t="n"/>
      <c r="D813" s="45">
        <f>IF($C813="","",IFERROR(INDEX('Chain Program'!$B$6:$B$120,MATCH($C813,'Chain Program'!$A$6:$A$120,0)),"Unknown ID"))</f>
        <v/>
      </c>
      <c r="E813" s="45">
        <f>IF($C813="","",IFERROR(INDEX('Chain Program'!$D$6:$D$120,MATCH($C813,'Chain Program'!$A$6:$A$120,0)),"Unknown ID"))</f>
        <v/>
      </c>
      <c r="F813" s="60" t="n"/>
      <c r="G813" s="60" t="n"/>
      <c r="H813" s="56">
        <f>IF(OR($C813="",$A813=""),"",IF(COUNTIFS('Promo Calendar'!$A$6:$A$400,$C813,'Promo Calendar'!$D$6:$D$400,IF($G813="","All",$G813),'Promo Calendar'!$I$6:$I$400,"&lt;="&amp;$A813,'Promo Calendar'!$J$6:$J$400,"&gt;="&amp;$A813,'Promo Calendar'!$G$6:$G$400,"&gt;0")&gt;0,_xlfn.MINIFS('Promo Calendar'!$G$6:$G$400,'Promo Calendar'!$A$6:$A$400,$C813,'Promo Calendar'!$D$6:$D$400,IF($G813="","All",$G813),'Promo Calendar'!$I$6:$I$400,"&lt;="&amp;$A813,'Promo Calendar'!$J$6:$J$400,"&gt;="&amp;$A813,'Promo Calendar'!$G$6:$G$400,"&gt;0"),IF(COUNTIFS('Promo Calendar'!$A$6:$A$400,$C813,'Promo Calendar'!$D$6:$D$400,"All",'Promo Calendar'!$I$6:$I$400,"&lt;="&amp;$A813,'Promo Calendar'!$J$6:$J$400,"&gt;="&amp;$A813,'Promo Calendar'!$G$6:$G$400,"&gt;0")&gt;0,_xlfn.MINIFS('Promo Calendar'!$G$6:$G$400,'Promo Calendar'!$A$6:$A$400,$C813,'Promo Calendar'!$D$6:$D$400,"All",'Promo Calendar'!$I$6:$I$400,"&lt;="&amp;$A813,'Promo Calendar'!$J$6:$J$400,"&gt;="&amp;$A813,'Promo Calendar'!$G$6:$G$400,"&gt;0"),IFERROR(IF(INDEX('Chain Program'!$M$6:$M$120,MATCH($C813,'Chain Program'!$A$6:$A$120,0))="","Not set",INDEX('Chain Program'!$M$6:$M$120,MATCH($C813,'Chain Program'!$A$6:$A$120,0))),"Not set"))))</f>
        <v/>
      </c>
      <c r="I813" s="61" t="n"/>
      <c r="J813" s="45">
        <f>IF($I813="","",IF(NOT(ISNUMBER($H813)),"No plan price",IF(ABS($I813-$H813)&lt;0.005,"Match",IF($I813&gt;$H813,"Over plan","Under plan"))))</f>
        <v/>
      </c>
      <c r="K813" s="60" t="n"/>
      <c r="L813" s="60" t="n"/>
      <c r="M813" s="60" t="n"/>
      <c r="N813" s="60" t="n"/>
      <c r="O813" s="60" t="n"/>
      <c r="P813" s="62" t="n"/>
      <c r="Q813" s="62" t="n"/>
      <c r="R813" s="60" t="n"/>
      <c r="S813" s="59" t="n"/>
      <c r="T813" s="60" t="n"/>
      <c r="U813" s="59" t="n"/>
      <c r="V813" s="45">
        <f>IF(OR($A813="",$T813="",$T813="No Issue"),"",IF($T813="Resolved",IF($U813="","",$U813-$A813),TODAY()-$A813))</f>
        <v/>
      </c>
      <c r="W813" s="47">
        <f>IF(AND($C813&lt;&gt;"",$C813='Store History'!$C$4,OR('Store History'!$C$5="",$F813='Store History'!$C$5)),1,0)</f>
        <v/>
      </c>
      <c r="X813" s="47">
        <f>IF($W813=1,SUM($W813:$W$1005),"")</f>
        <v/>
      </c>
    </row>
    <row r="814">
      <c r="A814" s="59" t="n"/>
      <c r="B814" s="60" t="n"/>
      <c r="C814" s="60" t="n"/>
      <c r="D814" s="45">
        <f>IF($C814="","",IFERROR(INDEX('Chain Program'!$B$6:$B$120,MATCH($C814,'Chain Program'!$A$6:$A$120,0)),"Unknown ID"))</f>
        <v/>
      </c>
      <c r="E814" s="45">
        <f>IF($C814="","",IFERROR(INDEX('Chain Program'!$D$6:$D$120,MATCH($C814,'Chain Program'!$A$6:$A$120,0)),"Unknown ID"))</f>
        <v/>
      </c>
      <c r="F814" s="60" t="n"/>
      <c r="G814" s="60" t="n"/>
      <c r="H814" s="56">
        <f>IF(OR($C814="",$A814=""),"",IF(COUNTIFS('Promo Calendar'!$A$6:$A$400,$C814,'Promo Calendar'!$D$6:$D$400,IF($G814="","All",$G814),'Promo Calendar'!$I$6:$I$400,"&lt;="&amp;$A814,'Promo Calendar'!$J$6:$J$400,"&gt;="&amp;$A814,'Promo Calendar'!$G$6:$G$400,"&gt;0")&gt;0,_xlfn.MINIFS('Promo Calendar'!$G$6:$G$400,'Promo Calendar'!$A$6:$A$400,$C814,'Promo Calendar'!$D$6:$D$400,IF($G814="","All",$G814),'Promo Calendar'!$I$6:$I$400,"&lt;="&amp;$A814,'Promo Calendar'!$J$6:$J$400,"&gt;="&amp;$A814,'Promo Calendar'!$G$6:$G$400,"&gt;0"),IF(COUNTIFS('Promo Calendar'!$A$6:$A$400,$C814,'Promo Calendar'!$D$6:$D$400,"All",'Promo Calendar'!$I$6:$I$400,"&lt;="&amp;$A814,'Promo Calendar'!$J$6:$J$400,"&gt;="&amp;$A814,'Promo Calendar'!$G$6:$G$400,"&gt;0")&gt;0,_xlfn.MINIFS('Promo Calendar'!$G$6:$G$400,'Promo Calendar'!$A$6:$A$400,$C814,'Promo Calendar'!$D$6:$D$400,"All",'Promo Calendar'!$I$6:$I$400,"&lt;="&amp;$A814,'Promo Calendar'!$J$6:$J$400,"&gt;="&amp;$A814,'Promo Calendar'!$G$6:$G$400,"&gt;0"),IFERROR(IF(INDEX('Chain Program'!$M$6:$M$120,MATCH($C814,'Chain Program'!$A$6:$A$120,0))="","Not set",INDEX('Chain Program'!$M$6:$M$120,MATCH($C814,'Chain Program'!$A$6:$A$120,0))),"Not set"))))</f>
        <v/>
      </c>
      <c r="I814" s="61" t="n"/>
      <c r="J814" s="45">
        <f>IF($I814="","",IF(NOT(ISNUMBER($H814)),"No plan price",IF(ABS($I814-$H814)&lt;0.005,"Match",IF($I814&gt;$H814,"Over plan","Under plan"))))</f>
        <v/>
      </c>
      <c r="K814" s="60" t="n"/>
      <c r="L814" s="60" t="n"/>
      <c r="M814" s="60" t="n"/>
      <c r="N814" s="60" t="n"/>
      <c r="O814" s="60" t="n"/>
      <c r="P814" s="62" t="n"/>
      <c r="Q814" s="62" t="n"/>
      <c r="R814" s="60" t="n"/>
      <c r="S814" s="59" t="n"/>
      <c r="T814" s="60" t="n"/>
      <c r="U814" s="59" t="n"/>
      <c r="V814" s="45">
        <f>IF(OR($A814="",$T814="",$T814="No Issue"),"",IF($T814="Resolved",IF($U814="","",$U814-$A814),TODAY()-$A814))</f>
        <v/>
      </c>
      <c r="W814" s="47">
        <f>IF(AND($C814&lt;&gt;"",$C814='Store History'!$C$4,OR('Store History'!$C$5="",$F814='Store History'!$C$5)),1,0)</f>
        <v/>
      </c>
      <c r="X814" s="47">
        <f>IF($W814=1,SUM($W814:$W$1005),"")</f>
        <v/>
      </c>
    </row>
    <row r="815">
      <c r="A815" s="59" t="n"/>
      <c r="B815" s="60" t="n"/>
      <c r="C815" s="60" t="n"/>
      <c r="D815" s="45">
        <f>IF($C815="","",IFERROR(INDEX('Chain Program'!$B$6:$B$120,MATCH($C815,'Chain Program'!$A$6:$A$120,0)),"Unknown ID"))</f>
        <v/>
      </c>
      <c r="E815" s="45">
        <f>IF($C815="","",IFERROR(INDEX('Chain Program'!$D$6:$D$120,MATCH($C815,'Chain Program'!$A$6:$A$120,0)),"Unknown ID"))</f>
        <v/>
      </c>
      <c r="F815" s="60" t="n"/>
      <c r="G815" s="60" t="n"/>
      <c r="H815" s="56">
        <f>IF(OR($C815="",$A815=""),"",IF(COUNTIFS('Promo Calendar'!$A$6:$A$400,$C815,'Promo Calendar'!$D$6:$D$400,IF($G815="","All",$G815),'Promo Calendar'!$I$6:$I$400,"&lt;="&amp;$A815,'Promo Calendar'!$J$6:$J$400,"&gt;="&amp;$A815,'Promo Calendar'!$G$6:$G$400,"&gt;0")&gt;0,_xlfn.MINIFS('Promo Calendar'!$G$6:$G$400,'Promo Calendar'!$A$6:$A$400,$C815,'Promo Calendar'!$D$6:$D$400,IF($G815="","All",$G815),'Promo Calendar'!$I$6:$I$400,"&lt;="&amp;$A815,'Promo Calendar'!$J$6:$J$400,"&gt;="&amp;$A815,'Promo Calendar'!$G$6:$G$400,"&gt;0"),IF(COUNTIFS('Promo Calendar'!$A$6:$A$400,$C815,'Promo Calendar'!$D$6:$D$400,"All",'Promo Calendar'!$I$6:$I$400,"&lt;="&amp;$A815,'Promo Calendar'!$J$6:$J$400,"&gt;="&amp;$A815,'Promo Calendar'!$G$6:$G$400,"&gt;0")&gt;0,_xlfn.MINIFS('Promo Calendar'!$G$6:$G$400,'Promo Calendar'!$A$6:$A$400,$C815,'Promo Calendar'!$D$6:$D$400,"All",'Promo Calendar'!$I$6:$I$400,"&lt;="&amp;$A815,'Promo Calendar'!$J$6:$J$400,"&gt;="&amp;$A815,'Promo Calendar'!$G$6:$G$400,"&gt;0"),IFERROR(IF(INDEX('Chain Program'!$M$6:$M$120,MATCH($C815,'Chain Program'!$A$6:$A$120,0))="","Not set",INDEX('Chain Program'!$M$6:$M$120,MATCH($C815,'Chain Program'!$A$6:$A$120,0))),"Not set"))))</f>
        <v/>
      </c>
      <c r="I815" s="61" t="n"/>
      <c r="J815" s="45">
        <f>IF($I815="","",IF(NOT(ISNUMBER($H815)),"No plan price",IF(ABS($I815-$H815)&lt;0.005,"Match",IF($I815&gt;$H815,"Over plan","Under plan"))))</f>
        <v/>
      </c>
      <c r="K815" s="60" t="n"/>
      <c r="L815" s="60" t="n"/>
      <c r="M815" s="60" t="n"/>
      <c r="N815" s="60" t="n"/>
      <c r="O815" s="60" t="n"/>
      <c r="P815" s="62" t="n"/>
      <c r="Q815" s="62" t="n"/>
      <c r="R815" s="60" t="n"/>
      <c r="S815" s="59" t="n"/>
      <c r="T815" s="60" t="n"/>
      <c r="U815" s="59" t="n"/>
      <c r="V815" s="45">
        <f>IF(OR($A815="",$T815="",$T815="No Issue"),"",IF($T815="Resolved",IF($U815="","",$U815-$A815),TODAY()-$A815))</f>
        <v/>
      </c>
      <c r="W815" s="47">
        <f>IF(AND($C815&lt;&gt;"",$C815='Store History'!$C$4,OR('Store History'!$C$5="",$F815='Store History'!$C$5)),1,0)</f>
        <v/>
      </c>
      <c r="X815" s="47">
        <f>IF($W815=1,SUM($W815:$W$1005),"")</f>
        <v/>
      </c>
    </row>
    <row r="816">
      <c r="A816" s="59" t="n"/>
      <c r="B816" s="60" t="n"/>
      <c r="C816" s="60" t="n"/>
      <c r="D816" s="45">
        <f>IF($C816="","",IFERROR(INDEX('Chain Program'!$B$6:$B$120,MATCH($C816,'Chain Program'!$A$6:$A$120,0)),"Unknown ID"))</f>
        <v/>
      </c>
      <c r="E816" s="45">
        <f>IF($C816="","",IFERROR(INDEX('Chain Program'!$D$6:$D$120,MATCH($C816,'Chain Program'!$A$6:$A$120,0)),"Unknown ID"))</f>
        <v/>
      </c>
      <c r="F816" s="60" t="n"/>
      <c r="G816" s="60" t="n"/>
      <c r="H816" s="56">
        <f>IF(OR($C816="",$A816=""),"",IF(COUNTIFS('Promo Calendar'!$A$6:$A$400,$C816,'Promo Calendar'!$D$6:$D$400,IF($G816="","All",$G816),'Promo Calendar'!$I$6:$I$400,"&lt;="&amp;$A816,'Promo Calendar'!$J$6:$J$400,"&gt;="&amp;$A816,'Promo Calendar'!$G$6:$G$400,"&gt;0")&gt;0,_xlfn.MINIFS('Promo Calendar'!$G$6:$G$400,'Promo Calendar'!$A$6:$A$400,$C816,'Promo Calendar'!$D$6:$D$400,IF($G816="","All",$G816),'Promo Calendar'!$I$6:$I$400,"&lt;="&amp;$A816,'Promo Calendar'!$J$6:$J$400,"&gt;="&amp;$A816,'Promo Calendar'!$G$6:$G$400,"&gt;0"),IF(COUNTIFS('Promo Calendar'!$A$6:$A$400,$C816,'Promo Calendar'!$D$6:$D$400,"All",'Promo Calendar'!$I$6:$I$400,"&lt;="&amp;$A816,'Promo Calendar'!$J$6:$J$400,"&gt;="&amp;$A816,'Promo Calendar'!$G$6:$G$400,"&gt;0")&gt;0,_xlfn.MINIFS('Promo Calendar'!$G$6:$G$400,'Promo Calendar'!$A$6:$A$400,$C816,'Promo Calendar'!$D$6:$D$400,"All",'Promo Calendar'!$I$6:$I$400,"&lt;="&amp;$A816,'Promo Calendar'!$J$6:$J$400,"&gt;="&amp;$A816,'Promo Calendar'!$G$6:$G$400,"&gt;0"),IFERROR(IF(INDEX('Chain Program'!$M$6:$M$120,MATCH($C816,'Chain Program'!$A$6:$A$120,0))="","Not set",INDEX('Chain Program'!$M$6:$M$120,MATCH($C816,'Chain Program'!$A$6:$A$120,0))),"Not set"))))</f>
        <v/>
      </c>
      <c r="I816" s="61" t="n"/>
      <c r="J816" s="45">
        <f>IF($I816="","",IF(NOT(ISNUMBER($H816)),"No plan price",IF(ABS($I816-$H816)&lt;0.005,"Match",IF($I816&gt;$H816,"Over plan","Under plan"))))</f>
        <v/>
      </c>
      <c r="K816" s="60" t="n"/>
      <c r="L816" s="60" t="n"/>
      <c r="M816" s="60" t="n"/>
      <c r="N816" s="60" t="n"/>
      <c r="O816" s="60" t="n"/>
      <c r="P816" s="62" t="n"/>
      <c r="Q816" s="62" t="n"/>
      <c r="R816" s="60" t="n"/>
      <c r="S816" s="59" t="n"/>
      <c r="T816" s="60" t="n"/>
      <c r="U816" s="59" t="n"/>
      <c r="V816" s="45">
        <f>IF(OR($A816="",$T816="",$T816="No Issue"),"",IF($T816="Resolved",IF($U816="","",$U816-$A816),TODAY()-$A816))</f>
        <v/>
      </c>
      <c r="W816" s="47">
        <f>IF(AND($C816&lt;&gt;"",$C816='Store History'!$C$4,OR('Store History'!$C$5="",$F816='Store History'!$C$5)),1,0)</f>
        <v/>
      </c>
      <c r="X816" s="47">
        <f>IF($W816=1,SUM($W816:$W$1005),"")</f>
        <v/>
      </c>
    </row>
    <row r="817">
      <c r="A817" s="59" t="n"/>
      <c r="B817" s="60" t="n"/>
      <c r="C817" s="60" t="n"/>
      <c r="D817" s="45">
        <f>IF($C817="","",IFERROR(INDEX('Chain Program'!$B$6:$B$120,MATCH($C817,'Chain Program'!$A$6:$A$120,0)),"Unknown ID"))</f>
        <v/>
      </c>
      <c r="E817" s="45">
        <f>IF($C817="","",IFERROR(INDEX('Chain Program'!$D$6:$D$120,MATCH($C817,'Chain Program'!$A$6:$A$120,0)),"Unknown ID"))</f>
        <v/>
      </c>
      <c r="F817" s="60" t="n"/>
      <c r="G817" s="60" t="n"/>
      <c r="H817" s="56">
        <f>IF(OR($C817="",$A817=""),"",IF(COUNTIFS('Promo Calendar'!$A$6:$A$400,$C817,'Promo Calendar'!$D$6:$D$400,IF($G817="","All",$G817),'Promo Calendar'!$I$6:$I$400,"&lt;="&amp;$A817,'Promo Calendar'!$J$6:$J$400,"&gt;="&amp;$A817,'Promo Calendar'!$G$6:$G$400,"&gt;0")&gt;0,_xlfn.MINIFS('Promo Calendar'!$G$6:$G$400,'Promo Calendar'!$A$6:$A$400,$C817,'Promo Calendar'!$D$6:$D$400,IF($G817="","All",$G817),'Promo Calendar'!$I$6:$I$400,"&lt;="&amp;$A817,'Promo Calendar'!$J$6:$J$400,"&gt;="&amp;$A817,'Promo Calendar'!$G$6:$G$400,"&gt;0"),IF(COUNTIFS('Promo Calendar'!$A$6:$A$400,$C817,'Promo Calendar'!$D$6:$D$400,"All",'Promo Calendar'!$I$6:$I$400,"&lt;="&amp;$A817,'Promo Calendar'!$J$6:$J$400,"&gt;="&amp;$A817,'Promo Calendar'!$G$6:$G$400,"&gt;0")&gt;0,_xlfn.MINIFS('Promo Calendar'!$G$6:$G$400,'Promo Calendar'!$A$6:$A$400,$C817,'Promo Calendar'!$D$6:$D$400,"All",'Promo Calendar'!$I$6:$I$400,"&lt;="&amp;$A817,'Promo Calendar'!$J$6:$J$400,"&gt;="&amp;$A817,'Promo Calendar'!$G$6:$G$400,"&gt;0"),IFERROR(IF(INDEX('Chain Program'!$M$6:$M$120,MATCH($C817,'Chain Program'!$A$6:$A$120,0))="","Not set",INDEX('Chain Program'!$M$6:$M$120,MATCH($C817,'Chain Program'!$A$6:$A$120,0))),"Not set"))))</f>
        <v/>
      </c>
      <c r="I817" s="61" t="n"/>
      <c r="J817" s="45">
        <f>IF($I817="","",IF(NOT(ISNUMBER($H817)),"No plan price",IF(ABS($I817-$H817)&lt;0.005,"Match",IF($I817&gt;$H817,"Over plan","Under plan"))))</f>
        <v/>
      </c>
      <c r="K817" s="60" t="n"/>
      <c r="L817" s="60" t="n"/>
      <c r="M817" s="60" t="n"/>
      <c r="N817" s="60" t="n"/>
      <c r="O817" s="60" t="n"/>
      <c r="P817" s="62" t="n"/>
      <c r="Q817" s="62" t="n"/>
      <c r="R817" s="60" t="n"/>
      <c r="S817" s="59" t="n"/>
      <c r="T817" s="60" t="n"/>
      <c r="U817" s="59" t="n"/>
      <c r="V817" s="45">
        <f>IF(OR($A817="",$T817="",$T817="No Issue"),"",IF($T817="Resolved",IF($U817="","",$U817-$A817),TODAY()-$A817))</f>
        <v/>
      </c>
      <c r="W817" s="47">
        <f>IF(AND($C817&lt;&gt;"",$C817='Store History'!$C$4,OR('Store History'!$C$5="",$F817='Store History'!$C$5)),1,0)</f>
        <v/>
      </c>
      <c r="X817" s="47">
        <f>IF($W817=1,SUM($W817:$W$1005),"")</f>
        <v/>
      </c>
    </row>
    <row r="818">
      <c r="A818" s="59" t="n"/>
      <c r="B818" s="60" t="n"/>
      <c r="C818" s="60" t="n"/>
      <c r="D818" s="45">
        <f>IF($C818="","",IFERROR(INDEX('Chain Program'!$B$6:$B$120,MATCH($C818,'Chain Program'!$A$6:$A$120,0)),"Unknown ID"))</f>
        <v/>
      </c>
      <c r="E818" s="45">
        <f>IF($C818="","",IFERROR(INDEX('Chain Program'!$D$6:$D$120,MATCH($C818,'Chain Program'!$A$6:$A$120,0)),"Unknown ID"))</f>
        <v/>
      </c>
      <c r="F818" s="60" t="n"/>
      <c r="G818" s="60" t="n"/>
      <c r="H818" s="56">
        <f>IF(OR($C818="",$A818=""),"",IF(COUNTIFS('Promo Calendar'!$A$6:$A$400,$C818,'Promo Calendar'!$D$6:$D$400,IF($G818="","All",$G818),'Promo Calendar'!$I$6:$I$400,"&lt;="&amp;$A818,'Promo Calendar'!$J$6:$J$400,"&gt;="&amp;$A818,'Promo Calendar'!$G$6:$G$400,"&gt;0")&gt;0,_xlfn.MINIFS('Promo Calendar'!$G$6:$G$400,'Promo Calendar'!$A$6:$A$400,$C818,'Promo Calendar'!$D$6:$D$400,IF($G818="","All",$G818),'Promo Calendar'!$I$6:$I$400,"&lt;="&amp;$A818,'Promo Calendar'!$J$6:$J$400,"&gt;="&amp;$A818,'Promo Calendar'!$G$6:$G$400,"&gt;0"),IF(COUNTIFS('Promo Calendar'!$A$6:$A$400,$C818,'Promo Calendar'!$D$6:$D$400,"All",'Promo Calendar'!$I$6:$I$400,"&lt;="&amp;$A818,'Promo Calendar'!$J$6:$J$400,"&gt;="&amp;$A818,'Promo Calendar'!$G$6:$G$400,"&gt;0")&gt;0,_xlfn.MINIFS('Promo Calendar'!$G$6:$G$400,'Promo Calendar'!$A$6:$A$400,$C818,'Promo Calendar'!$D$6:$D$400,"All",'Promo Calendar'!$I$6:$I$400,"&lt;="&amp;$A818,'Promo Calendar'!$J$6:$J$400,"&gt;="&amp;$A818,'Promo Calendar'!$G$6:$G$400,"&gt;0"),IFERROR(IF(INDEX('Chain Program'!$M$6:$M$120,MATCH($C818,'Chain Program'!$A$6:$A$120,0))="","Not set",INDEX('Chain Program'!$M$6:$M$120,MATCH($C818,'Chain Program'!$A$6:$A$120,0))),"Not set"))))</f>
        <v/>
      </c>
      <c r="I818" s="61" t="n"/>
      <c r="J818" s="45">
        <f>IF($I818="","",IF(NOT(ISNUMBER($H818)),"No plan price",IF(ABS($I818-$H818)&lt;0.005,"Match",IF($I818&gt;$H818,"Over plan","Under plan"))))</f>
        <v/>
      </c>
      <c r="K818" s="60" t="n"/>
      <c r="L818" s="60" t="n"/>
      <c r="M818" s="60" t="n"/>
      <c r="N818" s="60" t="n"/>
      <c r="O818" s="60" t="n"/>
      <c r="P818" s="62" t="n"/>
      <c r="Q818" s="62" t="n"/>
      <c r="R818" s="60" t="n"/>
      <c r="S818" s="59" t="n"/>
      <c r="T818" s="60" t="n"/>
      <c r="U818" s="59" t="n"/>
      <c r="V818" s="45">
        <f>IF(OR($A818="",$T818="",$T818="No Issue"),"",IF($T818="Resolved",IF($U818="","",$U818-$A818),TODAY()-$A818))</f>
        <v/>
      </c>
      <c r="W818" s="47">
        <f>IF(AND($C818&lt;&gt;"",$C818='Store History'!$C$4,OR('Store History'!$C$5="",$F818='Store History'!$C$5)),1,0)</f>
        <v/>
      </c>
      <c r="X818" s="47">
        <f>IF($W818=1,SUM($W818:$W$1005),"")</f>
        <v/>
      </c>
    </row>
    <row r="819">
      <c r="A819" s="59" t="n"/>
      <c r="B819" s="60" t="n"/>
      <c r="C819" s="60" t="n"/>
      <c r="D819" s="45">
        <f>IF($C819="","",IFERROR(INDEX('Chain Program'!$B$6:$B$120,MATCH($C819,'Chain Program'!$A$6:$A$120,0)),"Unknown ID"))</f>
        <v/>
      </c>
      <c r="E819" s="45">
        <f>IF($C819="","",IFERROR(INDEX('Chain Program'!$D$6:$D$120,MATCH($C819,'Chain Program'!$A$6:$A$120,0)),"Unknown ID"))</f>
        <v/>
      </c>
      <c r="F819" s="60" t="n"/>
      <c r="G819" s="60" t="n"/>
      <c r="H819" s="56">
        <f>IF(OR($C819="",$A819=""),"",IF(COUNTIFS('Promo Calendar'!$A$6:$A$400,$C819,'Promo Calendar'!$D$6:$D$400,IF($G819="","All",$G819),'Promo Calendar'!$I$6:$I$400,"&lt;="&amp;$A819,'Promo Calendar'!$J$6:$J$400,"&gt;="&amp;$A819,'Promo Calendar'!$G$6:$G$400,"&gt;0")&gt;0,_xlfn.MINIFS('Promo Calendar'!$G$6:$G$400,'Promo Calendar'!$A$6:$A$400,$C819,'Promo Calendar'!$D$6:$D$400,IF($G819="","All",$G819),'Promo Calendar'!$I$6:$I$400,"&lt;="&amp;$A819,'Promo Calendar'!$J$6:$J$400,"&gt;="&amp;$A819,'Promo Calendar'!$G$6:$G$400,"&gt;0"),IF(COUNTIFS('Promo Calendar'!$A$6:$A$400,$C819,'Promo Calendar'!$D$6:$D$400,"All",'Promo Calendar'!$I$6:$I$400,"&lt;="&amp;$A819,'Promo Calendar'!$J$6:$J$400,"&gt;="&amp;$A819,'Promo Calendar'!$G$6:$G$400,"&gt;0")&gt;0,_xlfn.MINIFS('Promo Calendar'!$G$6:$G$400,'Promo Calendar'!$A$6:$A$400,$C819,'Promo Calendar'!$D$6:$D$400,"All",'Promo Calendar'!$I$6:$I$400,"&lt;="&amp;$A819,'Promo Calendar'!$J$6:$J$400,"&gt;="&amp;$A819,'Promo Calendar'!$G$6:$G$400,"&gt;0"),IFERROR(IF(INDEX('Chain Program'!$M$6:$M$120,MATCH($C819,'Chain Program'!$A$6:$A$120,0))="","Not set",INDEX('Chain Program'!$M$6:$M$120,MATCH($C819,'Chain Program'!$A$6:$A$120,0))),"Not set"))))</f>
        <v/>
      </c>
      <c r="I819" s="61" t="n"/>
      <c r="J819" s="45">
        <f>IF($I819="","",IF(NOT(ISNUMBER($H819)),"No plan price",IF(ABS($I819-$H819)&lt;0.005,"Match",IF($I819&gt;$H819,"Over plan","Under plan"))))</f>
        <v/>
      </c>
      <c r="K819" s="60" t="n"/>
      <c r="L819" s="60" t="n"/>
      <c r="M819" s="60" t="n"/>
      <c r="N819" s="60" t="n"/>
      <c r="O819" s="60" t="n"/>
      <c r="P819" s="62" t="n"/>
      <c r="Q819" s="62" t="n"/>
      <c r="R819" s="60" t="n"/>
      <c r="S819" s="59" t="n"/>
      <c r="T819" s="60" t="n"/>
      <c r="U819" s="59" t="n"/>
      <c r="V819" s="45">
        <f>IF(OR($A819="",$T819="",$T819="No Issue"),"",IF($T819="Resolved",IF($U819="","",$U819-$A819),TODAY()-$A819))</f>
        <v/>
      </c>
      <c r="W819" s="47">
        <f>IF(AND($C819&lt;&gt;"",$C819='Store History'!$C$4,OR('Store History'!$C$5="",$F819='Store History'!$C$5)),1,0)</f>
        <v/>
      </c>
      <c r="X819" s="47">
        <f>IF($W819=1,SUM($W819:$W$1005),"")</f>
        <v/>
      </c>
    </row>
    <row r="820">
      <c r="A820" s="59" t="n"/>
      <c r="B820" s="60" t="n"/>
      <c r="C820" s="60" t="n"/>
      <c r="D820" s="45">
        <f>IF($C820="","",IFERROR(INDEX('Chain Program'!$B$6:$B$120,MATCH($C820,'Chain Program'!$A$6:$A$120,0)),"Unknown ID"))</f>
        <v/>
      </c>
      <c r="E820" s="45">
        <f>IF($C820="","",IFERROR(INDEX('Chain Program'!$D$6:$D$120,MATCH($C820,'Chain Program'!$A$6:$A$120,0)),"Unknown ID"))</f>
        <v/>
      </c>
      <c r="F820" s="60" t="n"/>
      <c r="G820" s="60" t="n"/>
      <c r="H820" s="56">
        <f>IF(OR($C820="",$A820=""),"",IF(COUNTIFS('Promo Calendar'!$A$6:$A$400,$C820,'Promo Calendar'!$D$6:$D$400,IF($G820="","All",$G820),'Promo Calendar'!$I$6:$I$400,"&lt;="&amp;$A820,'Promo Calendar'!$J$6:$J$400,"&gt;="&amp;$A820,'Promo Calendar'!$G$6:$G$400,"&gt;0")&gt;0,_xlfn.MINIFS('Promo Calendar'!$G$6:$G$400,'Promo Calendar'!$A$6:$A$400,$C820,'Promo Calendar'!$D$6:$D$400,IF($G820="","All",$G820),'Promo Calendar'!$I$6:$I$400,"&lt;="&amp;$A820,'Promo Calendar'!$J$6:$J$400,"&gt;="&amp;$A820,'Promo Calendar'!$G$6:$G$400,"&gt;0"),IF(COUNTIFS('Promo Calendar'!$A$6:$A$400,$C820,'Promo Calendar'!$D$6:$D$400,"All",'Promo Calendar'!$I$6:$I$400,"&lt;="&amp;$A820,'Promo Calendar'!$J$6:$J$400,"&gt;="&amp;$A820,'Promo Calendar'!$G$6:$G$400,"&gt;0")&gt;0,_xlfn.MINIFS('Promo Calendar'!$G$6:$G$400,'Promo Calendar'!$A$6:$A$400,$C820,'Promo Calendar'!$D$6:$D$400,"All",'Promo Calendar'!$I$6:$I$400,"&lt;="&amp;$A820,'Promo Calendar'!$J$6:$J$400,"&gt;="&amp;$A820,'Promo Calendar'!$G$6:$G$400,"&gt;0"),IFERROR(IF(INDEX('Chain Program'!$M$6:$M$120,MATCH($C820,'Chain Program'!$A$6:$A$120,0))="","Not set",INDEX('Chain Program'!$M$6:$M$120,MATCH($C820,'Chain Program'!$A$6:$A$120,0))),"Not set"))))</f>
        <v/>
      </c>
      <c r="I820" s="61" t="n"/>
      <c r="J820" s="45">
        <f>IF($I820="","",IF(NOT(ISNUMBER($H820)),"No plan price",IF(ABS($I820-$H820)&lt;0.005,"Match",IF($I820&gt;$H820,"Over plan","Under plan"))))</f>
        <v/>
      </c>
      <c r="K820" s="60" t="n"/>
      <c r="L820" s="60" t="n"/>
      <c r="M820" s="60" t="n"/>
      <c r="N820" s="60" t="n"/>
      <c r="O820" s="60" t="n"/>
      <c r="P820" s="62" t="n"/>
      <c r="Q820" s="62" t="n"/>
      <c r="R820" s="60" t="n"/>
      <c r="S820" s="59" t="n"/>
      <c r="T820" s="60" t="n"/>
      <c r="U820" s="59" t="n"/>
      <c r="V820" s="45">
        <f>IF(OR($A820="",$T820="",$T820="No Issue"),"",IF($T820="Resolved",IF($U820="","",$U820-$A820),TODAY()-$A820))</f>
        <v/>
      </c>
      <c r="W820" s="47">
        <f>IF(AND($C820&lt;&gt;"",$C820='Store History'!$C$4,OR('Store History'!$C$5="",$F820='Store History'!$C$5)),1,0)</f>
        <v/>
      </c>
      <c r="X820" s="47">
        <f>IF($W820=1,SUM($W820:$W$1005),"")</f>
        <v/>
      </c>
    </row>
    <row r="821">
      <c r="A821" s="59" t="n"/>
      <c r="B821" s="60" t="n"/>
      <c r="C821" s="60" t="n"/>
      <c r="D821" s="45">
        <f>IF($C821="","",IFERROR(INDEX('Chain Program'!$B$6:$B$120,MATCH($C821,'Chain Program'!$A$6:$A$120,0)),"Unknown ID"))</f>
        <v/>
      </c>
      <c r="E821" s="45">
        <f>IF($C821="","",IFERROR(INDEX('Chain Program'!$D$6:$D$120,MATCH($C821,'Chain Program'!$A$6:$A$120,0)),"Unknown ID"))</f>
        <v/>
      </c>
      <c r="F821" s="60" t="n"/>
      <c r="G821" s="60" t="n"/>
      <c r="H821" s="56">
        <f>IF(OR($C821="",$A821=""),"",IF(COUNTIFS('Promo Calendar'!$A$6:$A$400,$C821,'Promo Calendar'!$D$6:$D$400,IF($G821="","All",$G821),'Promo Calendar'!$I$6:$I$400,"&lt;="&amp;$A821,'Promo Calendar'!$J$6:$J$400,"&gt;="&amp;$A821,'Promo Calendar'!$G$6:$G$400,"&gt;0")&gt;0,_xlfn.MINIFS('Promo Calendar'!$G$6:$G$400,'Promo Calendar'!$A$6:$A$400,$C821,'Promo Calendar'!$D$6:$D$400,IF($G821="","All",$G821),'Promo Calendar'!$I$6:$I$400,"&lt;="&amp;$A821,'Promo Calendar'!$J$6:$J$400,"&gt;="&amp;$A821,'Promo Calendar'!$G$6:$G$400,"&gt;0"),IF(COUNTIFS('Promo Calendar'!$A$6:$A$400,$C821,'Promo Calendar'!$D$6:$D$400,"All",'Promo Calendar'!$I$6:$I$400,"&lt;="&amp;$A821,'Promo Calendar'!$J$6:$J$400,"&gt;="&amp;$A821,'Promo Calendar'!$G$6:$G$400,"&gt;0")&gt;0,_xlfn.MINIFS('Promo Calendar'!$G$6:$G$400,'Promo Calendar'!$A$6:$A$400,$C821,'Promo Calendar'!$D$6:$D$400,"All",'Promo Calendar'!$I$6:$I$400,"&lt;="&amp;$A821,'Promo Calendar'!$J$6:$J$400,"&gt;="&amp;$A821,'Promo Calendar'!$G$6:$G$400,"&gt;0"),IFERROR(IF(INDEX('Chain Program'!$M$6:$M$120,MATCH($C821,'Chain Program'!$A$6:$A$120,0))="","Not set",INDEX('Chain Program'!$M$6:$M$120,MATCH($C821,'Chain Program'!$A$6:$A$120,0))),"Not set"))))</f>
        <v/>
      </c>
      <c r="I821" s="61" t="n"/>
      <c r="J821" s="45">
        <f>IF($I821="","",IF(NOT(ISNUMBER($H821)),"No plan price",IF(ABS($I821-$H821)&lt;0.005,"Match",IF($I821&gt;$H821,"Over plan","Under plan"))))</f>
        <v/>
      </c>
      <c r="K821" s="60" t="n"/>
      <c r="L821" s="60" t="n"/>
      <c r="M821" s="60" t="n"/>
      <c r="N821" s="60" t="n"/>
      <c r="O821" s="60" t="n"/>
      <c r="P821" s="62" t="n"/>
      <c r="Q821" s="62" t="n"/>
      <c r="R821" s="60" t="n"/>
      <c r="S821" s="59" t="n"/>
      <c r="T821" s="60" t="n"/>
      <c r="U821" s="59" t="n"/>
      <c r="V821" s="45">
        <f>IF(OR($A821="",$T821="",$T821="No Issue"),"",IF($T821="Resolved",IF($U821="","",$U821-$A821),TODAY()-$A821))</f>
        <v/>
      </c>
      <c r="W821" s="47">
        <f>IF(AND($C821&lt;&gt;"",$C821='Store History'!$C$4,OR('Store History'!$C$5="",$F821='Store History'!$C$5)),1,0)</f>
        <v/>
      </c>
      <c r="X821" s="47">
        <f>IF($W821=1,SUM($W821:$W$1005),"")</f>
        <v/>
      </c>
    </row>
    <row r="822">
      <c r="A822" s="59" t="n"/>
      <c r="B822" s="60" t="n"/>
      <c r="C822" s="60" t="n"/>
      <c r="D822" s="45">
        <f>IF($C822="","",IFERROR(INDEX('Chain Program'!$B$6:$B$120,MATCH($C822,'Chain Program'!$A$6:$A$120,0)),"Unknown ID"))</f>
        <v/>
      </c>
      <c r="E822" s="45">
        <f>IF($C822="","",IFERROR(INDEX('Chain Program'!$D$6:$D$120,MATCH($C822,'Chain Program'!$A$6:$A$120,0)),"Unknown ID"))</f>
        <v/>
      </c>
      <c r="F822" s="60" t="n"/>
      <c r="G822" s="60" t="n"/>
      <c r="H822" s="56">
        <f>IF(OR($C822="",$A822=""),"",IF(COUNTIFS('Promo Calendar'!$A$6:$A$400,$C822,'Promo Calendar'!$D$6:$D$400,IF($G822="","All",$G822),'Promo Calendar'!$I$6:$I$400,"&lt;="&amp;$A822,'Promo Calendar'!$J$6:$J$400,"&gt;="&amp;$A822,'Promo Calendar'!$G$6:$G$400,"&gt;0")&gt;0,_xlfn.MINIFS('Promo Calendar'!$G$6:$G$400,'Promo Calendar'!$A$6:$A$400,$C822,'Promo Calendar'!$D$6:$D$400,IF($G822="","All",$G822),'Promo Calendar'!$I$6:$I$400,"&lt;="&amp;$A822,'Promo Calendar'!$J$6:$J$400,"&gt;="&amp;$A822,'Promo Calendar'!$G$6:$G$400,"&gt;0"),IF(COUNTIFS('Promo Calendar'!$A$6:$A$400,$C822,'Promo Calendar'!$D$6:$D$400,"All",'Promo Calendar'!$I$6:$I$400,"&lt;="&amp;$A822,'Promo Calendar'!$J$6:$J$400,"&gt;="&amp;$A822,'Promo Calendar'!$G$6:$G$400,"&gt;0")&gt;0,_xlfn.MINIFS('Promo Calendar'!$G$6:$G$400,'Promo Calendar'!$A$6:$A$400,$C822,'Promo Calendar'!$D$6:$D$400,"All",'Promo Calendar'!$I$6:$I$400,"&lt;="&amp;$A822,'Promo Calendar'!$J$6:$J$400,"&gt;="&amp;$A822,'Promo Calendar'!$G$6:$G$400,"&gt;0"),IFERROR(IF(INDEX('Chain Program'!$M$6:$M$120,MATCH($C822,'Chain Program'!$A$6:$A$120,0))="","Not set",INDEX('Chain Program'!$M$6:$M$120,MATCH($C822,'Chain Program'!$A$6:$A$120,0))),"Not set"))))</f>
        <v/>
      </c>
      <c r="I822" s="61" t="n"/>
      <c r="J822" s="45">
        <f>IF($I822="","",IF(NOT(ISNUMBER($H822)),"No plan price",IF(ABS($I822-$H822)&lt;0.005,"Match",IF($I822&gt;$H822,"Over plan","Under plan"))))</f>
        <v/>
      </c>
      <c r="K822" s="60" t="n"/>
      <c r="L822" s="60" t="n"/>
      <c r="M822" s="60" t="n"/>
      <c r="N822" s="60" t="n"/>
      <c r="O822" s="60" t="n"/>
      <c r="P822" s="62" t="n"/>
      <c r="Q822" s="62" t="n"/>
      <c r="R822" s="60" t="n"/>
      <c r="S822" s="59" t="n"/>
      <c r="T822" s="60" t="n"/>
      <c r="U822" s="59" t="n"/>
      <c r="V822" s="45">
        <f>IF(OR($A822="",$T822="",$T822="No Issue"),"",IF($T822="Resolved",IF($U822="","",$U822-$A822),TODAY()-$A822))</f>
        <v/>
      </c>
      <c r="W822" s="47">
        <f>IF(AND($C822&lt;&gt;"",$C822='Store History'!$C$4,OR('Store History'!$C$5="",$F822='Store History'!$C$5)),1,0)</f>
        <v/>
      </c>
      <c r="X822" s="47">
        <f>IF($W822=1,SUM($W822:$W$1005),"")</f>
        <v/>
      </c>
    </row>
    <row r="823">
      <c r="A823" s="59" t="n"/>
      <c r="B823" s="60" t="n"/>
      <c r="C823" s="60" t="n"/>
      <c r="D823" s="45">
        <f>IF($C823="","",IFERROR(INDEX('Chain Program'!$B$6:$B$120,MATCH($C823,'Chain Program'!$A$6:$A$120,0)),"Unknown ID"))</f>
        <v/>
      </c>
      <c r="E823" s="45">
        <f>IF($C823="","",IFERROR(INDEX('Chain Program'!$D$6:$D$120,MATCH($C823,'Chain Program'!$A$6:$A$120,0)),"Unknown ID"))</f>
        <v/>
      </c>
      <c r="F823" s="60" t="n"/>
      <c r="G823" s="60" t="n"/>
      <c r="H823" s="56">
        <f>IF(OR($C823="",$A823=""),"",IF(COUNTIFS('Promo Calendar'!$A$6:$A$400,$C823,'Promo Calendar'!$D$6:$D$400,IF($G823="","All",$G823),'Promo Calendar'!$I$6:$I$400,"&lt;="&amp;$A823,'Promo Calendar'!$J$6:$J$400,"&gt;="&amp;$A823,'Promo Calendar'!$G$6:$G$400,"&gt;0")&gt;0,_xlfn.MINIFS('Promo Calendar'!$G$6:$G$400,'Promo Calendar'!$A$6:$A$400,$C823,'Promo Calendar'!$D$6:$D$400,IF($G823="","All",$G823),'Promo Calendar'!$I$6:$I$400,"&lt;="&amp;$A823,'Promo Calendar'!$J$6:$J$400,"&gt;="&amp;$A823,'Promo Calendar'!$G$6:$G$400,"&gt;0"),IF(COUNTIFS('Promo Calendar'!$A$6:$A$400,$C823,'Promo Calendar'!$D$6:$D$400,"All",'Promo Calendar'!$I$6:$I$400,"&lt;="&amp;$A823,'Promo Calendar'!$J$6:$J$400,"&gt;="&amp;$A823,'Promo Calendar'!$G$6:$G$400,"&gt;0")&gt;0,_xlfn.MINIFS('Promo Calendar'!$G$6:$G$400,'Promo Calendar'!$A$6:$A$400,$C823,'Promo Calendar'!$D$6:$D$400,"All",'Promo Calendar'!$I$6:$I$400,"&lt;="&amp;$A823,'Promo Calendar'!$J$6:$J$400,"&gt;="&amp;$A823,'Promo Calendar'!$G$6:$G$400,"&gt;0"),IFERROR(IF(INDEX('Chain Program'!$M$6:$M$120,MATCH($C823,'Chain Program'!$A$6:$A$120,0))="","Not set",INDEX('Chain Program'!$M$6:$M$120,MATCH($C823,'Chain Program'!$A$6:$A$120,0))),"Not set"))))</f>
        <v/>
      </c>
      <c r="I823" s="61" t="n"/>
      <c r="J823" s="45">
        <f>IF($I823="","",IF(NOT(ISNUMBER($H823)),"No plan price",IF(ABS($I823-$H823)&lt;0.005,"Match",IF($I823&gt;$H823,"Over plan","Under plan"))))</f>
        <v/>
      </c>
      <c r="K823" s="60" t="n"/>
      <c r="L823" s="60" t="n"/>
      <c r="M823" s="60" t="n"/>
      <c r="N823" s="60" t="n"/>
      <c r="O823" s="60" t="n"/>
      <c r="P823" s="62" t="n"/>
      <c r="Q823" s="62" t="n"/>
      <c r="R823" s="60" t="n"/>
      <c r="S823" s="59" t="n"/>
      <c r="T823" s="60" t="n"/>
      <c r="U823" s="59" t="n"/>
      <c r="V823" s="45">
        <f>IF(OR($A823="",$T823="",$T823="No Issue"),"",IF($T823="Resolved",IF($U823="","",$U823-$A823),TODAY()-$A823))</f>
        <v/>
      </c>
      <c r="W823" s="47">
        <f>IF(AND($C823&lt;&gt;"",$C823='Store History'!$C$4,OR('Store History'!$C$5="",$F823='Store History'!$C$5)),1,0)</f>
        <v/>
      </c>
      <c r="X823" s="47">
        <f>IF($W823=1,SUM($W823:$W$1005),"")</f>
        <v/>
      </c>
    </row>
    <row r="824">
      <c r="A824" s="59" t="n"/>
      <c r="B824" s="60" t="n"/>
      <c r="C824" s="60" t="n"/>
      <c r="D824" s="45">
        <f>IF($C824="","",IFERROR(INDEX('Chain Program'!$B$6:$B$120,MATCH($C824,'Chain Program'!$A$6:$A$120,0)),"Unknown ID"))</f>
        <v/>
      </c>
      <c r="E824" s="45">
        <f>IF($C824="","",IFERROR(INDEX('Chain Program'!$D$6:$D$120,MATCH($C824,'Chain Program'!$A$6:$A$120,0)),"Unknown ID"))</f>
        <v/>
      </c>
      <c r="F824" s="60" t="n"/>
      <c r="G824" s="60" t="n"/>
      <c r="H824" s="56">
        <f>IF(OR($C824="",$A824=""),"",IF(COUNTIFS('Promo Calendar'!$A$6:$A$400,$C824,'Promo Calendar'!$D$6:$D$400,IF($G824="","All",$G824),'Promo Calendar'!$I$6:$I$400,"&lt;="&amp;$A824,'Promo Calendar'!$J$6:$J$400,"&gt;="&amp;$A824,'Promo Calendar'!$G$6:$G$400,"&gt;0")&gt;0,_xlfn.MINIFS('Promo Calendar'!$G$6:$G$400,'Promo Calendar'!$A$6:$A$400,$C824,'Promo Calendar'!$D$6:$D$400,IF($G824="","All",$G824),'Promo Calendar'!$I$6:$I$400,"&lt;="&amp;$A824,'Promo Calendar'!$J$6:$J$400,"&gt;="&amp;$A824,'Promo Calendar'!$G$6:$G$400,"&gt;0"),IF(COUNTIFS('Promo Calendar'!$A$6:$A$400,$C824,'Promo Calendar'!$D$6:$D$400,"All",'Promo Calendar'!$I$6:$I$400,"&lt;="&amp;$A824,'Promo Calendar'!$J$6:$J$400,"&gt;="&amp;$A824,'Promo Calendar'!$G$6:$G$400,"&gt;0")&gt;0,_xlfn.MINIFS('Promo Calendar'!$G$6:$G$400,'Promo Calendar'!$A$6:$A$400,$C824,'Promo Calendar'!$D$6:$D$400,"All",'Promo Calendar'!$I$6:$I$400,"&lt;="&amp;$A824,'Promo Calendar'!$J$6:$J$400,"&gt;="&amp;$A824,'Promo Calendar'!$G$6:$G$400,"&gt;0"),IFERROR(IF(INDEX('Chain Program'!$M$6:$M$120,MATCH($C824,'Chain Program'!$A$6:$A$120,0))="","Not set",INDEX('Chain Program'!$M$6:$M$120,MATCH($C824,'Chain Program'!$A$6:$A$120,0))),"Not set"))))</f>
        <v/>
      </c>
      <c r="I824" s="61" t="n"/>
      <c r="J824" s="45">
        <f>IF($I824="","",IF(NOT(ISNUMBER($H824)),"No plan price",IF(ABS($I824-$H824)&lt;0.005,"Match",IF($I824&gt;$H824,"Over plan","Under plan"))))</f>
        <v/>
      </c>
      <c r="K824" s="60" t="n"/>
      <c r="L824" s="60" t="n"/>
      <c r="M824" s="60" t="n"/>
      <c r="N824" s="60" t="n"/>
      <c r="O824" s="60" t="n"/>
      <c r="P824" s="62" t="n"/>
      <c r="Q824" s="62" t="n"/>
      <c r="R824" s="60" t="n"/>
      <c r="S824" s="59" t="n"/>
      <c r="T824" s="60" t="n"/>
      <c r="U824" s="59" t="n"/>
      <c r="V824" s="45">
        <f>IF(OR($A824="",$T824="",$T824="No Issue"),"",IF($T824="Resolved",IF($U824="","",$U824-$A824),TODAY()-$A824))</f>
        <v/>
      </c>
      <c r="W824" s="47">
        <f>IF(AND($C824&lt;&gt;"",$C824='Store History'!$C$4,OR('Store History'!$C$5="",$F824='Store History'!$C$5)),1,0)</f>
        <v/>
      </c>
      <c r="X824" s="47">
        <f>IF($W824=1,SUM($W824:$W$1005),"")</f>
        <v/>
      </c>
    </row>
    <row r="825">
      <c r="A825" s="59" t="n"/>
      <c r="B825" s="60" t="n"/>
      <c r="C825" s="60" t="n"/>
      <c r="D825" s="45">
        <f>IF($C825="","",IFERROR(INDEX('Chain Program'!$B$6:$B$120,MATCH($C825,'Chain Program'!$A$6:$A$120,0)),"Unknown ID"))</f>
        <v/>
      </c>
      <c r="E825" s="45">
        <f>IF($C825="","",IFERROR(INDEX('Chain Program'!$D$6:$D$120,MATCH($C825,'Chain Program'!$A$6:$A$120,0)),"Unknown ID"))</f>
        <v/>
      </c>
      <c r="F825" s="60" t="n"/>
      <c r="G825" s="60" t="n"/>
      <c r="H825" s="56">
        <f>IF(OR($C825="",$A825=""),"",IF(COUNTIFS('Promo Calendar'!$A$6:$A$400,$C825,'Promo Calendar'!$D$6:$D$400,IF($G825="","All",$G825),'Promo Calendar'!$I$6:$I$400,"&lt;="&amp;$A825,'Promo Calendar'!$J$6:$J$400,"&gt;="&amp;$A825,'Promo Calendar'!$G$6:$G$400,"&gt;0")&gt;0,_xlfn.MINIFS('Promo Calendar'!$G$6:$G$400,'Promo Calendar'!$A$6:$A$400,$C825,'Promo Calendar'!$D$6:$D$400,IF($G825="","All",$G825),'Promo Calendar'!$I$6:$I$400,"&lt;="&amp;$A825,'Promo Calendar'!$J$6:$J$400,"&gt;="&amp;$A825,'Promo Calendar'!$G$6:$G$400,"&gt;0"),IF(COUNTIFS('Promo Calendar'!$A$6:$A$400,$C825,'Promo Calendar'!$D$6:$D$400,"All",'Promo Calendar'!$I$6:$I$400,"&lt;="&amp;$A825,'Promo Calendar'!$J$6:$J$400,"&gt;="&amp;$A825,'Promo Calendar'!$G$6:$G$400,"&gt;0")&gt;0,_xlfn.MINIFS('Promo Calendar'!$G$6:$G$400,'Promo Calendar'!$A$6:$A$400,$C825,'Promo Calendar'!$D$6:$D$400,"All",'Promo Calendar'!$I$6:$I$400,"&lt;="&amp;$A825,'Promo Calendar'!$J$6:$J$400,"&gt;="&amp;$A825,'Promo Calendar'!$G$6:$G$400,"&gt;0"),IFERROR(IF(INDEX('Chain Program'!$M$6:$M$120,MATCH($C825,'Chain Program'!$A$6:$A$120,0))="","Not set",INDEX('Chain Program'!$M$6:$M$120,MATCH($C825,'Chain Program'!$A$6:$A$120,0))),"Not set"))))</f>
        <v/>
      </c>
      <c r="I825" s="61" t="n"/>
      <c r="J825" s="45">
        <f>IF($I825="","",IF(NOT(ISNUMBER($H825)),"No plan price",IF(ABS($I825-$H825)&lt;0.005,"Match",IF($I825&gt;$H825,"Over plan","Under plan"))))</f>
        <v/>
      </c>
      <c r="K825" s="60" t="n"/>
      <c r="L825" s="60" t="n"/>
      <c r="M825" s="60" t="n"/>
      <c r="N825" s="60" t="n"/>
      <c r="O825" s="60" t="n"/>
      <c r="P825" s="62" t="n"/>
      <c r="Q825" s="62" t="n"/>
      <c r="R825" s="60" t="n"/>
      <c r="S825" s="59" t="n"/>
      <c r="T825" s="60" t="n"/>
      <c r="U825" s="59" t="n"/>
      <c r="V825" s="45">
        <f>IF(OR($A825="",$T825="",$T825="No Issue"),"",IF($T825="Resolved",IF($U825="","",$U825-$A825),TODAY()-$A825))</f>
        <v/>
      </c>
      <c r="W825" s="47">
        <f>IF(AND($C825&lt;&gt;"",$C825='Store History'!$C$4,OR('Store History'!$C$5="",$F825='Store History'!$C$5)),1,0)</f>
        <v/>
      </c>
      <c r="X825" s="47">
        <f>IF($W825=1,SUM($W825:$W$1005),"")</f>
        <v/>
      </c>
    </row>
    <row r="826">
      <c r="A826" s="59" t="n"/>
      <c r="B826" s="60" t="n"/>
      <c r="C826" s="60" t="n"/>
      <c r="D826" s="45">
        <f>IF($C826="","",IFERROR(INDEX('Chain Program'!$B$6:$B$120,MATCH($C826,'Chain Program'!$A$6:$A$120,0)),"Unknown ID"))</f>
        <v/>
      </c>
      <c r="E826" s="45">
        <f>IF($C826="","",IFERROR(INDEX('Chain Program'!$D$6:$D$120,MATCH($C826,'Chain Program'!$A$6:$A$120,0)),"Unknown ID"))</f>
        <v/>
      </c>
      <c r="F826" s="60" t="n"/>
      <c r="G826" s="60" t="n"/>
      <c r="H826" s="56">
        <f>IF(OR($C826="",$A826=""),"",IF(COUNTIFS('Promo Calendar'!$A$6:$A$400,$C826,'Promo Calendar'!$D$6:$D$400,IF($G826="","All",$G826),'Promo Calendar'!$I$6:$I$400,"&lt;="&amp;$A826,'Promo Calendar'!$J$6:$J$400,"&gt;="&amp;$A826,'Promo Calendar'!$G$6:$G$400,"&gt;0")&gt;0,_xlfn.MINIFS('Promo Calendar'!$G$6:$G$400,'Promo Calendar'!$A$6:$A$400,$C826,'Promo Calendar'!$D$6:$D$400,IF($G826="","All",$G826),'Promo Calendar'!$I$6:$I$400,"&lt;="&amp;$A826,'Promo Calendar'!$J$6:$J$400,"&gt;="&amp;$A826,'Promo Calendar'!$G$6:$G$400,"&gt;0"),IF(COUNTIFS('Promo Calendar'!$A$6:$A$400,$C826,'Promo Calendar'!$D$6:$D$400,"All",'Promo Calendar'!$I$6:$I$400,"&lt;="&amp;$A826,'Promo Calendar'!$J$6:$J$400,"&gt;="&amp;$A826,'Promo Calendar'!$G$6:$G$400,"&gt;0")&gt;0,_xlfn.MINIFS('Promo Calendar'!$G$6:$G$400,'Promo Calendar'!$A$6:$A$400,$C826,'Promo Calendar'!$D$6:$D$400,"All",'Promo Calendar'!$I$6:$I$400,"&lt;="&amp;$A826,'Promo Calendar'!$J$6:$J$400,"&gt;="&amp;$A826,'Promo Calendar'!$G$6:$G$400,"&gt;0"),IFERROR(IF(INDEX('Chain Program'!$M$6:$M$120,MATCH($C826,'Chain Program'!$A$6:$A$120,0))="","Not set",INDEX('Chain Program'!$M$6:$M$120,MATCH($C826,'Chain Program'!$A$6:$A$120,0))),"Not set"))))</f>
        <v/>
      </c>
      <c r="I826" s="61" t="n"/>
      <c r="J826" s="45">
        <f>IF($I826="","",IF(NOT(ISNUMBER($H826)),"No plan price",IF(ABS($I826-$H826)&lt;0.005,"Match",IF($I826&gt;$H826,"Over plan","Under plan"))))</f>
        <v/>
      </c>
      <c r="K826" s="60" t="n"/>
      <c r="L826" s="60" t="n"/>
      <c r="M826" s="60" t="n"/>
      <c r="N826" s="60" t="n"/>
      <c r="O826" s="60" t="n"/>
      <c r="P826" s="62" t="n"/>
      <c r="Q826" s="62" t="n"/>
      <c r="R826" s="60" t="n"/>
      <c r="S826" s="59" t="n"/>
      <c r="T826" s="60" t="n"/>
      <c r="U826" s="59" t="n"/>
      <c r="V826" s="45">
        <f>IF(OR($A826="",$T826="",$T826="No Issue"),"",IF($T826="Resolved",IF($U826="","",$U826-$A826),TODAY()-$A826))</f>
        <v/>
      </c>
      <c r="W826" s="47">
        <f>IF(AND($C826&lt;&gt;"",$C826='Store History'!$C$4,OR('Store History'!$C$5="",$F826='Store History'!$C$5)),1,0)</f>
        <v/>
      </c>
      <c r="X826" s="47">
        <f>IF($W826=1,SUM($W826:$W$1005),"")</f>
        <v/>
      </c>
    </row>
    <row r="827">
      <c r="A827" s="59" t="n"/>
      <c r="B827" s="60" t="n"/>
      <c r="C827" s="60" t="n"/>
      <c r="D827" s="45">
        <f>IF($C827="","",IFERROR(INDEX('Chain Program'!$B$6:$B$120,MATCH($C827,'Chain Program'!$A$6:$A$120,0)),"Unknown ID"))</f>
        <v/>
      </c>
      <c r="E827" s="45">
        <f>IF($C827="","",IFERROR(INDEX('Chain Program'!$D$6:$D$120,MATCH($C827,'Chain Program'!$A$6:$A$120,0)),"Unknown ID"))</f>
        <v/>
      </c>
      <c r="F827" s="60" t="n"/>
      <c r="G827" s="60" t="n"/>
      <c r="H827" s="56">
        <f>IF(OR($C827="",$A827=""),"",IF(COUNTIFS('Promo Calendar'!$A$6:$A$400,$C827,'Promo Calendar'!$D$6:$D$400,IF($G827="","All",$G827),'Promo Calendar'!$I$6:$I$400,"&lt;="&amp;$A827,'Promo Calendar'!$J$6:$J$400,"&gt;="&amp;$A827,'Promo Calendar'!$G$6:$G$400,"&gt;0")&gt;0,_xlfn.MINIFS('Promo Calendar'!$G$6:$G$400,'Promo Calendar'!$A$6:$A$400,$C827,'Promo Calendar'!$D$6:$D$400,IF($G827="","All",$G827),'Promo Calendar'!$I$6:$I$400,"&lt;="&amp;$A827,'Promo Calendar'!$J$6:$J$400,"&gt;="&amp;$A827,'Promo Calendar'!$G$6:$G$400,"&gt;0"),IF(COUNTIFS('Promo Calendar'!$A$6:$A$400,$C827,'Promo Calendar'!$D$6:$D$400,"All",'Promo Calendar'!$I$6:$I$400,"&lt;="&amp;$A827,'Promo Calendar'!$J$6:$J$400,"&gt;="&amp;$A827,'Promo Calendar'!$G$6:$G$400,"&gt;0")&gt;0,_xlfn.MINIFS('Promo Calendar'!$G$6:$G$400,'Promo Calendar'!$A$6:$A$400,$C827,'Promo Calendar'!$D$6:$D$400,"All",'Promo Calendar'!$I$6:$I$400,"&lt;="&amp;$A827,'Promo Calendar'!$J$6:$J$400,"&gt;="&amp;$A827,'Promo Calendar'!$G$6:$G$400,"&gt;0"),IFERROR(IF(INDEX('Chain Program'!$M$6:$M$120,MATCH($C827,'Chain Program'!$A$6:$A$120,0))="","Not set",INDEX('Chain Program'!$M$6:$M$120,MATCH($C827,'Chain Program'!$A$6:$A$120,0))),"Not set"))))</f>
        <v/>
      </c>
      <c r="I827" s="61" t="n"/>
      <c r="J827" s="45">
        <f>IF($I827="","",IF(NOT(ISNUMBER($H827)),"No plan price",IF(ABS($I827-$H827)&lt;0.005,"Match",IF($I827&gt;$H827,"Over plan","Under plan"))))</f>
        <v/>
      </c>
      <c r="K827" s="60" t="n"/>
      <c r="L827" s="60" t="n"/>
      <c r="M827" s="60" t="n"/>
      <c r="N827" s="60" t="n"/>
      <c r="O827" s="60" t="n"/>
      <c r="P827" s="62" t="n"/>
      <c r="Q827" s="62" t="n"/>
      <c r="R827" s="60" t="n"/>
      <c r="S827" s="59" t="n"/>
      <c r="T827" s="60" t="n"/>
      <c r="U827" s="59" t="n"/>
      <c r="V827" s="45">
        <f>IF(OR($A827="",$T827="",$T827="No Issue"),"",IF($T827="Resolved",IF($U827="","",$U827-$A827),TODAY()-$A827))</f>
        <v/>
      </c>
      <c r="W827" s="47">
        <f>IF(AND($C827&lt;&gt;"",$C827='Store History'!$C$4,OR('Store History'!$C$5="",$F827='Store History'!$C$5)),1,0)</f>
        <v/>
      </c>
      <c r="X827" s="47">
        <f>IF($W827=1,SUM($W827:$W$1005),"")</f>
        <v/>
      </c>
    </row>
    <row r="828">
      <c r="A828" s="59" t="n"/>
      <c r="B828" s="60" t="n"/>
      <c r="C828" s="60" t="n"/>
      <c r="D828" s="45">
        <f>IF($C828="","",IFERROR(INDEX('Chain Program'!$B$6:$B$120,MATCH($C828,'Chain Program'!$A$6:$A$120,0)),"Unknown ID"))</f>
        <v/>
      </c>
      <c r="E828" s="45">
        <f>IF($C828="","",IFERROR(INDEX('Chain Program'!$D$6:$D$120,MATCH($C828,'Chain Program'!$A$6:$A$120,0)),"Unknown ID"))</f>
        <v/>
      </c>
      <c r="F828" s="60" t="n"/>
      <c r="G828" s="60" t="n"/>
      <c r="H828" s="56">
        <f>IF(OR($C828="",$A828=""),"",IF(COUNTIFS('Promo Calendar'!$A$6:$A$400,$C828,'Promo Calendar'!$D$6:$D$400,IF($G828="","All",$G828),'Promo Calendar'!$I$6:$I$400,"&lt;="&amp;$A828,'Promo Calendar'!$J$6:$J$400,"&gt;="&amp;$A828,'Promo Calendar'!$G$6:$G$400,"&gt;0")&gt;0,_xlfn.MINIFS('Promo Calendar'!$G$6:$G$400,'Promo Calendar'!$A$6:$A$400,$C828,'Promo Calendar'!$D$6:$D$400,IF($G828="","All",$G828),'Promo Calendar'!$I$6:$I$400,"&lt;="&amp;$A828,'Promo Calendar'!$J$6:$J$400,"&gt;="&amp;$A828,'Promo Calendar'!$G$6:$G$400,"&gt;0"),IF(COUNTIFS('Promo Calendar'!$A$6:$A$400,$C828,'Promo Calendar'!$D$6:$D$400,"All",'Promo Calendar'!$I$6:$I$400,"&lt;="&amp;$A828,'Promo Calendar'!$J$6:$J$400,"&gt;="&amp;$A828,'Promo Calendar'!$G$6:$G$400,"&gt;0")&gt;0,_xlfn.MINIFS('Promo Calendar'!$G$6:$G$400,'Promo Calendar'!$A$6:$A$400,$C828,'Promo Calendar'!$D$6:$D$400,"All",'Promo Calendar'!$I$6:$I$400,"&lt;="&amp;$A828,'Promo Calendar'!$J$6:$J$400,"&gt;="&amp;$A828,'Promo Calendar'!$G$6:$G$400,"&gt;0"),IFERROR(IF(INDEX('Chain Program'!$M$6:$M$120,MATCH($C828,'Chain Program'!$A$6:$A$120,0))="","Not set",INDEX('Chain Program'!$M$6:$M$120,MATCH($C828,'Chain Program'!$A$6:$A$120,0))),"Not set"))))</f>
        <v/>
      </c>
      <c r="I828" s="61" t="n"/>
      <c r="J828" s="45">
        <f>IF($I828="","",IF(NOT(ISNUMBER($H828)),"No plan price",IF(ABS($I828-$H828)&lt;0.005,"Match",IF($I828&gt;$H828,"Over plan","Under plan"))))</f>
        <v/>
      </c>
      <c r="K828" s="60" t="n"/>
      <c r="L828" s="60" t="n"/>
      <c r="M828" s="60" t="n"/>
      <c r="N828" s="60" t="n"/>
      <c r="O828" s="60" t="n"/>
      <c r="P828" s="62" t="n"/>
      <c r="Q828" s="62" t="n"/>
      <c r="R828" s="60" t="n"/>
      <c r="S828" s="59" t="n"/>
      <c r="T828" s="60" t="n"/>
      <c r="U828" s="59" t="n"/>
      <c r="V828" s="45">
        <f>IF(OR($A828="",$T828="",$T828="No Issue"),"",IF($T828="Resolved",IF($U828="","",$U828-$A828),TODAY()-$A828))</f>
        <v/>
      </c>
      <c r="W828" s="47">
        <f>IF(AND($C828&lt;&gt;"",$C828='Store History'!$C$4,OR('Store History'!$C$5="",$F828='Store History'!$C$5)),1,0)</f>
        <v/>
      </c>
      <c r="X828" s="47">
        <f>IF($W828=1,SUM($W828:$W$1005),"")</f>
        <v/>
      </c>
    </row>
    <row r="829">
      <c r="A829" s="59" t="n"/>
      <c r="B829" s="60" t="n"/>
      <c r="C829" s="60" t="n"/>
      <c r="D829" s="45">
        <f>IF($C829="","",IFERROR(INDEX('Chain Program'!$B$6:$B$120,MATCH($C829,'Chain Program'!$A$6:$A$120,0)),"Unknown ID"))</f>
        <v/>
      </c>
      <c r="E829" s="45">
        <f>IF($C829="","",IFERROR(INDEX('Chain Program'!$D$6:$D$120,MATCH($C829,'Chain Program'!$A$6:$A$120,0)),"Unknown ID"))</f>
        <v/>
      </c>
      <c r="F829" s="60" t="n"/>
      <c r="G829" s="60" t="n"/>
      <c r="H829" s="56">
        <f>IF(OR($C829="",$A829=""),"",IF(COUNTIFS('Promo Calendar'!$A$6:$A$400,$C829,'Promo Calendar'!$D$6:$D$400,IF($G829="","All",$G829),'Promo Calendar'!$I$6:$I$400,"&lt;="&amp;$A829,'Promo Calendar'!$J$6:$J$400,"&gt;="&amp;$A829,'Promo Calendar'!$G$6:$G$400,"&gt;0")&gt;0,_xlfn.MINIFS('Promo Calendar'!$G$6:$G$400,'Promo Calendar'!$A$6:$A$400,$C829,'Promo Calendar'!$D$6:$D$400,IF($G829="","All",$G829),'Promo Calendar'!$I$6:$I$400,"&lt;="&amp;$A829,'Promo Calendar'!$J$6:$J$400,"&gt;="&amp;$A829,'Promo Calendar'!$G$6:$G$400,"&gt;0"),IF(COUNTIFS('Promo Calendar'!$A$6:$A$400,$C829,'Promo Calendar'!$D$6:$D$400,"All",'Promo Calendar'!$I$6:$I$400,"&lt;="&amp;$A829,'Promo Calendar'!$J$6:$J$400,"&gt;="&amp;$A829,'Promo Calendar'!$G$6:$G$400,"&gt;0")&gt;0,_xlfn.MINIFS('Promo Calendar'!$G$6:$G$400,'Promo Calendar'!$A$6:$A$400,$C829,'Promo Calendar'!$D$6:$D$400,"All",'Promo Calendar'!$I$6:$I$400,"&lt;="&amp;$A829,'Promo Calendar'!$J$6:$J$400,"&gt;="&amp;$A829,'Promo Calendar'!$G$6:$G$400,"&gt;0"),IFERROR(IF(INDEX('Chain Program'!$M$6:$M$120,MATCH($C829,'Chain Program'!$A$6:$A$120,0))="","Not set",INDEX('Chain Program'!$M$6:$M$120,MATCH($C829,'Chain Program'!$A$6:$A$120,0))),"Not set"))))</f>
        <v/>
      </c>
      <c r="I829" s="61" t="n"/>
      <c r="J829" s="45">
        <f>IF($I829="","",IF(NOT(ISNUMBER($H829)),"No plan price",IF(ABS($I829-$H829)&lt;0.005,"Match",IF($I829&gt;$H829,"Over plan","Under plan"))))</f>
        <v/>
      </c>
      <c r="K829" s="60" t="n"/>
      <c r="L829" s="60" t="n"/>
      <c r="M829" s="60" t="n"/>
      <c r="N829" s="60" t="n"/>
      <c r="O829" s="60" t="n"/>
      <c r="P829" s="62" t="n"/>
      <c r="Q829" s="62" t="n"/>
      <c r="R829" s="60" t="n"/>
      <c r="S829" s="59" t="n"/>
      <c r="T829" s="60" t="n"/>
      <c r="U829" s="59" t="n"/>
      <c r="V829" s="45">
        <f>IF(OR($A829="",$T829="",$T829="No Issue"),"",IF($T829="Resolved",IF($U829="","",$U829-$A829),TODAY()-$A829))</f>
        <v/>
      </c>
      <c r="W829" s="47">
        <f>IF(AND($C829&lt;&gt;"",$C829='Store History'!$C$4,OR('Store History'!$C$5="",$F829='Store History'!$C$5)),1,0)</f>
        <v/>
      </c>
      <c r="X829" s="47">
        <f>IF($W829=1,SUM($W829:$W$1005),"")</f>
        <v/>
      </c>
    </row>
    <row r="830">
      <c r="A830" s="59" t="n"/>
      <c r="B830" s="60" t="n"/>
      <c r="C830" s="60" t="n"/>
      <c r="D830" s="45">
        <f>IF($C830="","",IFERROR(INDEX('Chain Program'!$B$6:$B$120,MATCH($C830,'Chain Program'!$A$6:$A$120,0)),"Unknown ID"))</f>
        <v/>
      </c>
      <c r="E830" s="45">
        <f>IF($C830="","",IFERROR(INDEX('Chain Program'!$D$6:$D$120,MATCH($C830,'Chain Program'!$A$6:$A$120,0)),"Unknown ID"))</f>
        <v/>
      </c>
      <c r="F830" s="60" t="n"/>
      <c r="G830" s="60" t="n"/>
      <c r="H830" s="56">
        <f>IF(OR($C830="",$A830=""),"",IF(COUNTIFS('Promo Calendar'!$A$6:$A$400,$C830,'Promo Calendar'!$D$6:$D$400,IF($G830="","All",$G830),'Promo Calendar'!$I$6:$I$400,"&lt;="&amp;$A830,'Promo Calendar'!$J$6:$J$400,"&gt;="&amp;$A830,'Promo Calendar'!$G$6:$G$400,"&gt;0")&gt;0,_xlfn.MINIFS('Promo Calendar'!$G$6:$G$400,'Promo Calendar'!$A$6:$A$400,$C830,'Promo Calendar'!$D$6:$D$400,IF($G830="","All",$G830),'Promo Calendar'!$I$6:$I$400,"&lt;="&amp;$A830,'Promo Calendar'!$J$6:$J$400,"&gt;="&amp;$A830,'Promo Calendar'!$G$6:$G$400,"&gt;0"),IF(COUNTIFS('Promo Calendar'!$A$6:$A$400,$C830,'Promo Calendar'!$D$6:$D$400,"All",'Promo Calendar'!$I$6:$I$400,"&lt;="&amp;$A830,'Promo Calendar'!$J$6:$J$400,"&gt;="&amp;$A830,'Promo Calendar'!$G$6:$G$400,"&gt;0")&gt;0,_xlfn.MINIFS('Promo Calendar'!$G$6:$G$400,'Promo Calendar'!$A$6:$A$400,$C830,'Promo Calendar'!$D$6:$D$400,"All",'Promo Calendar'!$I$6:$I$400,"&lt;="&amp;$A830,'Promo Calendar'!$J$6:$J$400,"&gt;="&amp;$A830,'Promo Calendar'!$G$6:$G$400,"&gt;0"),IFERROR(IF(INDEX('Chain Program'!$M$6:$M$120,MATCH($C830,'Chain Program'!$A$6:$A$120,0))="","Not set",INDEX('Chain Program'!$M$6:$M$120,MATCH($C830,'Chain Program'!$A$6:$A$120,0))),"Not set"))))</f>
        <v/>
      </c>
      <c r="I830" s="61" t="n"/>
      <c r="J830" s="45">
        <f>IF($I830="","",IF(NOT(ISNUMBER($H830)),"No plan price",IF(ABS($I830-$H830)&lt;0.005,"Match",IF($I830&gt;$H830,"Over plan","Under plan"))))</f>
        <v/>
      </c>
      <c r="K830" s="60" t="n"/>
      <c r="L830" s="60" t="n"/>
      <c r="M830" s="60" t="n"/>
      <c r="N830" s="60" t="n"/>
      <c r="O830" s="60" t="n"/>
      <c r="P830" s="62" t="n"/>
      <c r="Q830" s="62" t="n"/>
      <c r="R830" s="60" t="n"/>
      <c r="S830" s="59" t="n"/>
      <c r="T830" s="60" t="n"/>
      <c r="U830" s="59" t="n"/>
      <c r="V830" s="45">
        <f>IF(OR($A830="",$T830="",$T830="No Issue"),"",IF($T830="Resolved",IF($U830="","",$U830-$A830),TODAY()-$A830))</f>
        <v/>
      </c>
      <c r="W830" s="47">
        <f>IF(AND($C830&lt;&gt;"",$C830='Store History'!$C$4,OR('Store History'!$C$5="",$F830='Store History'!$C$5)),1,0)</f>
        <v/>
      </c>
      <c r="X830" s="47">
        <f>IF($W830=1,SUM($W830:$W$1005),"")</f>
        <v/>
      </c>
    </row>
    <row r="831">
      <c r="A831" s="59" t="n"/>
      <c r="B831" s="60" t="n"/>
      <c r="C831" s="60" t="n"/>
      <c r="D831" s="45">
        <f>IF($C831="","",IFERROR(INDEX('Chain Program'!$B$6:$B$120,MATCH($C831,'Chain Program'!$A$6:$A$120,0)),"Unknown ID"))</f>
        <v/>
      </c>
      <c r="E831" s="45">
        <f>IF($C831="","",IFERROR(INDEX('Chain Program'!$D$6:$D$120,MATCH($C831,'Chain Program'!$A$6:$A$120,0)),"Unknown ID"))</f>
        <v/>
      </c>
      <c r="F831" s="60" t="n"/>
      <c r="G831" s="60" t="n"/>
      <c r="H831" s="56">
        <f>IF(OR($C831="",$A831=""),"",IF(COUNTIFS('Promo Calendar'!$A$6:$A$400,$C831,'Promo Calendar'!$D$6:$D$400,IF($G831="","All",$G831),'Promo Calendar'!$I$6:$I$400,"&lt;="&amp;$A831,'Promo Calendar'!$J$6:$J$400,"&gt;="&amp;$A831,'Promo Calendar'!$G$6:$G$400,"&gt;0")&gt;0,_xlfn.MINIFS('Promo Calendar'!$G$6:$G$400,'Promo Calendar'!$A$6:$A$400,$C831,'Promo Calendar'!$D$6:$D$400,IF($G831="","All",$G831),'Promo Calendar'!$I$6:$I$400,"&lt;="&amp;$A831,'Promo Calendar'!$J$6:$J$400,"&gt;="&amp;$A831,'Promo Calendar'!$G$6:$G$400,"&gt;0"),IF(COUNTIFS('Promo Calendar'!$A$6:$A$400,$C831,'Promo Calendar'!$D$6:$D$400,"All",'Promo Calendar'!$I$6:$I$400,"&lt;="&amp;$A831,'Promo Calendar'!$J$6:$J$400,"&gt;="&amp;$A831,'Promo Calendar'!$G$6:$G$400,"&gt;0")&gt;0,_xlfn.MINIFS('Promo Calendar'!$G$6:$G$400,'Promo Calendar'!$A$6:$A$400,$C831,'Promo Calendar'!$D$6:$D$400,"All",'Promo Calendar'!$I$6:$I$400,"&lt;="&amp;$A831,'Promo Calendar'!$J$6:$J$400,"&gt;="&amp;$A831,'Promo Calendar'!$G$6:$G$400,"&gt;0"),IFERROR(IF(INDEX('Chain Program'!$M$6:$M$120,MATCH($C831,'Chain Program'!$A$6:$A$120,0))="","Not set",INDEX('Chain Program'!$M$6:$M$120,MATCH($C831,'Chain Program'!$A$6:$A$120,0))),"Not set"))))</f>
        <v/>
      </c>
      <c r="I831" s="61" t="n"/>
      <c r="J831" s="45">
        <f>IF($I831="","",IF(NOT(ISNUMBER($H831)),"No plan price",IF(ABS($I831-$H831)&lt;0.005,"Match",IF($I831&gt;$H831,"Over plan","Under plan"))))</f>
        <v/>
      </c>
      <c r="K831" s="60" t="n"/>
      <c r="L831" s="60" t="n"/>
      <c r="M831" s="60" t="n"/>
      <c r="N831" s="60" t="n"/>
      <c r="O831" s="60" t="n"/>
      <c r="P831" s="62" t="n"/>
      <c r="Q831" s="62" t="n"/>
      <c r="R831" s="60" t="n"/>
      <c r="S831" s="59" t="n"/>
      <c r="T831" s="60" t="n"/>
      <c r="U831" s="59" t="n"/>
      <c r="V831" s="45">
        <f>IF(OR($A831="",$T831="",$T831="No Issue"),"",IF($T831="Resolved",IF($U831="","",$U831-$A831),TODAY()-$A831))</f>
        <v/>
      </c>
      <c r="W831" s="47">
        <f>IF(AND($C831&lt;&gt;"",$C831='Store History'!$C$4,OR('Store History'!$C$5="",$F831='Store History'!$C$5)),1,0)</f>
        <v/>
      </c>
      <c r="X831" s="47">
        <f>IF($W831=1,SUM($W831:$W$1005),"")</f>
        <v/>
      </c>
    </row>
    <row r="832">
      <c r="A832" s="59" t="n"/>
      <c r="B832" s="60" t="n"/>
      <c r="C832" s="60" t="n"/>
      <c r="D832" s="45">
        <f>IF($C832="","",IFERROR(INDEX('Chain Program'!$B$6:$B$120,MATCH($C832,'Chain Program'!$A$6:$A$120,0)),"Unknown ID"))</f>
        <v/>
      </c>
      <c r="E832" s="45">
        <f>IF($C832="","",IFERROR(INDEX('Chain Program'!$D$6:$D$120,MATCH($C832,'Chain Program'!$A$6:$A$120,0)),"Unknown ID"))</f>
        <v/>
      </c>
      <c r="F832" s="60" t="n"/>
      <c r="G832" s="60" t="n"/>
      <c r="H832" s="56">
        <f>IF(OR($C832="",$A832=""),"",IF(COUNTIFS('Promo Calendar'!$A$6:$A$400,$C832,'Promo Calendar'!$D$6:$D$400,IF($G832="","All",$G832),'Promo Calendar'!$I$6:$I$400,"&lt;="&amp;$A832,'Promo Calendar'!$J$6:$J$400,"&gt;="&amp;$A832,'Promo Calendar'!$G$6:$G$400,"&gt;0")&gt;0,_xlfn.MINIFS('Promo Calendar'!$G$6:$G$400,'Promo Calendar'!$A$6:$A$400,$C832,'Promo Calendar'!$D$6:$D$400,IF($G832="","All",$G832),'Promo Calendar'!$I$6:$I$400,"&lt;="&amp;$A832,'Promo Calendar'!$J$6:$J$400,"&gt;="&amp;$A832,'Promo Calendar'!$G$6:$G$400,"&gt;0"),IF(COUNTIFS('Promo Calendar'!$A$6:$A$400,$C832,'Promo Calendar'!$D$6:$D$400,"All",'Promo Calendar'!$I$6:$I$400,"&lt;="&amp;$A832,'Promo Calendar'!$J$6:$J$400,"&gt;="&amp;$A832,'Promo Calendar'!$G$6:$G$400,"&gt;0")&gt;0,_xlfn.MINIFS('Promo Calendar'!$G$6:$G$400,'Promo Calendar'!$A$6:$A$400,$C832,'Promo Calendar'!$D$6:$D$400,"All",'Promo Calendar'!$I$6:$I$400,"&lt;="&amp;$A832,'Promo Calendar'!$J$6:$J$400,"&gt;="&amp;$A832,'Promo Calendar'!$G$6:$G$400,"&gt;0"),IFERROR(IF(INDEX('Chain Program'!$M$6:$M$120,MATCH($C832,'Chain Program'!$A$6:$A$120,0))="","Not set",INDEX('Chain Program'!$M$6:$M$120,MATCH($C832,'Chain Program'!$A$6:$A$120,0))),"Not set"))))</f>
        <v/>
      </c>
      <c r="I832" s="61" t="n"/>
      <c r="J832" s="45">
        <f>IF($I832="","",IF(NOT(ISNUMBER($H832)),"No plan price",IF(ABS($I832-$H832)&lt;0.005,"Match",IF($I832&gt;$H832,"Over plan","Under plan"))))</f>
        <v/>
      </c>
      <c r="K832" s="60" t="n"/>
      <c r="L832" s="60" t="n"/>
      <c r="M832" s="60" t="n"/>
      <c r="N832" s="60" t="n"/>
      <c r="O832" s="60" t="n"/>
      <c r="P832" s="62" t="n"/>
      <c r="Q832" s="62" t="n"/>
      <c r="R832" s="60" t="n"/>
      <c r="S832" s="59" t="n"/>
      <c r="T832" s="60" t="n"/>
      <c r="U832" s="59" t="n"/>
      <c r="V832" s="45">
        <f>IF(OR($A832="",$T832="",$T832="No Issue"),"",IF($T832="Resolved",IF($U832="","",$U832-$A832),TODAY()-$A832))</f>
        <v/>
      </c>
      <c r="W832" s="47">
        <f>IF(AND($C832&lt;&gt;"",$C832='Store History'!$C$4,OR('Store History'!$C$5="",$F832='Store History'!$C$5)),1,0)</f>
        <v/>
      </c>
      <c r="X832" s="47">
        <f>IF($W832=1,SUM($W832:$W$1005),"")</f>
        <v/>
      </c>
    </row>
    <row r="833">
      <c r="A833" s="59" t="n"/>
      <c r="B833" s="60" t="n"/>
      <c r="C833" s="60" t="n"/>
      <c r="D833" s="45">
        <f>IF($C833="","",IFERROR(INDEX('Chain Program'!$B$6:$B$120,MATCH($C833,'Chain Program'!$A$6:$A$120,0)),"Unknown ID"))</f>
        <v/>
      </c>
      <c r="E833" s="45">
        <f>IF($C833="","",IFERROR(INDEX('Chain Program'!$D$6:$D$120,MATCH($C833,'Chain Program'!$A$6:$A$120,0)),"Unknown ID"))</f>
        <v/>
      </c>
      <c r="F833" s="60" t="n"/>
      <c r="G833" s="60" t="n"/>
      <c r="H833" s="56">
        <f>IF(OR($C833="",$A833=""),"",IF(COUNTIFS('Promo Calendar'!$A$6:$A$400,$C833,'Promo Calendar'!$D$6:$D$400,IF($G833="","All",$G833),'Promo Calendar'!$I$6:$I$400,"&lt;="&amp;$A833,'Promo Calendar'!$J$6:$J$400,"&gt;="&amp;$A833,'Promo Calendar'!$G$6:$G$400,"&gt;0")&gt;0,_xlfn.MINIFS('Promo Calendar'!$G$6:$G$400,'Promo Calendar'!$A$6:$A$400,$C833,'Promo Calendar'!$D$6:$D$400,IF($G833="","All",$G833),'Promo Calendar'!$I$6:$I$400,"&lt;="&amp;$A833,'Promo Calendar'!$J$6:$J$400,"&gt;="&amp;$A833,'Promo Calendar'!$G$6:$G$400,"&gt;0"),IF(COUNTIFS('Promo Calendar'!$A$6:$A$400,$C833,'Promo Calendar'!$D$6:$D$400,"All",'Promo Calendar'!$I$6:$I$400,"&lt;="&amp;$A833,'Promo Calendar'!$J$6:$J$400,"&gt;="&amp;$A833,'Promo Calendar'!$G$6:$G$400,"&gt;0")&gt;0,_xlfn.MINIFS('Promo Calendar'!$G$6:$G$400,'Promo Calendar'!$A$6:$A$400,$C833,'Promo Calendar'!$D$6:$D$400,"All",'Promo Calendar'!$I$6:$I$400,"&lt;="&amp;$A833,'Promo Calendar'!$J$6:$J$400,"&gt;="&amp;$A833,'Promo Calendar'!$G$6:$G$400,"&gt;0"),IFERROR(IF(INDEX('Chain Program'!$M$6:$M$120,MATCH($C833,'Chain Program'!$A$6:$A$120,0))="","Not set",INDEX('Chain Program'!$M$6:$M$120,MATCH($C833,'Chain Program'!$A$6:$A$120,0))),"Not set"))))</f>
        <v/>
      </c>
      <c r="I833" s="61" t="n"/>
      <c r="J833" s="45">
        <f>IF($I833="","",IF(NOT(ISNUMBER($H833)),"No plan price",IF(ABS($I833-$H833)&lt;0.005,"Match",IF($I833&gt;$H833,"Over plan","Under plan"))))</f>
        <v/>
      </c>
      <c r="K833" s="60" t="n"/>
      <c r="L833" s="60" t="n"/>
      <c r="M833" s="60" t="n"/>
      <c r="N833" s="60" t="n"/>
      <c r="O833" s="60" t="n"/>
      <c r="P833" s="62" t="n"/>
      <c r="Q833" s="62" t="n"/>
      <c r="R833" s="60" t="n"/>
      <c r="S833" s="59" t="n"/>
      <c r="T833" s="60" t="n"/>
      <c r="U833" s="59" t="n"/>
      <c r="V833" s="45">
        <f>IF(OR($A833="",$T833="",$T833="No Issue"),"",IF($T833="Resolved",IF($U833="","",$U833-$A833),TODAY()-$A833))</f>
        <v/>
      </c>
      <c r="W833" s="47">
        <f>IF(AND($C833&lt;&gt;"",$C833='Store History'!$C$4,OR('Store History'!$C$5="",$F833='Store History'!$C$5)),1,0)</f>
        <v/>
      </c>
      <c r="X833" s="47">
        <f>IF($W833=1,SUM($W833:$W$1005),"")</f>
        <v/>
      </c>
    </row>
    <row r="834">
      <c r="A834" s="59" t="n"/>
      <c r="B834" s="60" t="n"/>
      <c r="C834" s="60" t="n"/>
      <c r="D834" s="45">
        <f>IF($C834="","",IFERROR(INDEX('Chain Program'!$B$6:$B$120,MATCH($C834,'Chain Program'!$A$6:$A$120,0)),"Unknown ID"))</f>
        <v/>
      </c>
      <c r="E834" s="45">
        <f>IF($C834="","",IFERROR(INDEX('Chain Program'!$D$6:$D$120,MATCH($C834,'Chain Program'!$A$6:$A$120,0)),"Unknown ID"))</f>
        <v/>
      </c>
      <c r="F834" s="60" t="n"/>
      <c r="G834" s="60" t="n"/>
      <c r="H834" s="56">
        <f>IF(OR($C834="",$A834=""),"",IF(COUNTIFS('Promo Calendar'!$A$6:$A$400,$C834,'Promo Calendar'!$D$6:$D$400,IF($G834="","All",$G834),'Promo Calendar'!$I$6:$I$400,"&lt;="&amp;$A834,'Promo Calendar'!$J$6:$J$400,"&gt;="&amp;$A834,'Promo Calendar'!$G$6:$G$400,"&gt;0")&gt;0,_xlfn.MINIFS('Promo Calendar'!$G$6:$G$400,'Promo Calendar'!$A$6:$A$400,$C834,'Promo Calendar'!$D$6:$D$400,IF($G834="","All",$G834),'Promo Calendar'!$I$6:$I$400,"&lt;="&amp;$A834,'Promo Calendar'!$J$6:$J$400,"&gt;="&amp;$A834,'Promo Calendar'!$G$6:$G$400,"&gt;0"),IF(COUNTIFS('Promo Calendar'!$A$6:$A$400,$C834,'Promo Calendar'!$D$6:$D$400,"All",'Promo Calendar'!$I$6:$I$400,"&lt;="&amp;$A834,'Promo Calendar'!$J$6:$J$400,"&gt;="&amp;$A834,'Promo Calendar'!$G$6:$G$400,"&gt;0")&gt;0,_xlfn.MINIFS('Promo Calendar'!$G$6:$G$400,'Promo Calendar'!$A$6:$A$400,$C834,'Promo Calendar'!$D$6:$D$400,"All",'Promo Calendar'!$I$6:$I$400,"&lt;="&amp;$A834,'Promo Calendar'!$J$6:$J$400,"&gt;="&amp;$A834,'Promo Calendar'!$G$6:$G$400,"&gt;0"),IFERROR(IF(INDEX('Chain Program'!$M$6:$M$120,MATCH($C834,'Chain Program'!$A$6:$A$120,0))="","Not set",INDEX('Chain Program'!$M$6:$M$120,MATCH($C834,'Chain Program'!$A$6:$A$120,0))),"Not set"))))</f>
        <v/>
      </c>
      <c r="I834" s="61" t="n"/>
      <c r="J834" s="45">
        <f>IF($I834="","",IF(NOT(ISNUMBER($H834)),"No plan price",IF(ABS($I834-$H834)&lt;0.005,"Match",IF($I834&gt;$H834,"Over plan","Under plan"))))</f>
        <v/>
      </c>
      <c r="K834" s="60" t="n"/>
      <c r="L834" s="60" t="n"/>
      <c r="M834" s="60" t="n"/>
      <c r="N834" s="60" t="n"/>
      <c r="O834" s="60" t="n"/>
      <c r="P834" s="62" t="n"/>
      <c r="Q834" s="62" t="n"/>
      <c r="R834" s="60" t="n"/>
      <c r="S834" s="59" t="n"/>
      <c r="T834" s="60" t="n"/>
      <c r="U834" s="59" t="n"/>
      <c r="V834" s="45">
        <f>IF(OR($A834="",$T834="",$T834="No Issue"),"",IF($T834="Resolved",IF($U834="","",$U834-$A834),TODAY()-$A834))</f>
        <v/>
      </c>
      <c r="W834" s="47">
        <f>IF(AND($C834&lt;&gt;"",$C834='Store History'!$C$4,OR('Store History'!$C$5="",$F834='Store History'!$C$5)),1,0)</f>
        <v/>
      </c>
      <c r="X834" s="47">
        <f>IF($W834=1,SUM($W834:$W$1005),"")</f>
        <v/>
      </c>
    </row>
    <row r="835">
      <c r="A835" s="59" t="n"/>
      <c r="B835" s="60" t="n"/>
      <c r="C835" s="60" t="n"/>
      <c r="D835" s="45">
        <f>IF($C835="","",IFERROR(INDEX('Chain Program'!$B$6:$B$120,MATCH($C835,'Chain Program'!$A$6:$A$120,0)),"Unknown ID"))</f>
        <v/>
      </c>
      <c r="E835" s="45">
        <f>IF($C835="","",IFERROR(INDEX('Chain Program'!$D$6:$D$120,MATCH($C835,'Chain Program'!$A$6:$A$120,0)),"Unknown ID"))</f>
        <v/>
      </c>
      <c r="F835" s="60" t="n"/>
      <c r="G835" s="60" t="n"/>
      <c r="H835" s="56">
        <f>IF(OR($C835="",$A835=""),"",IF(COUNTIFS('Promo Calendar'!$A$6:$A$400,$C835,'Promo Calendar'!$D$6:$D$400,IF($G835="","All",$G835),'Promo Calendar'!$I$6:$I$400,"&lt;="&amp;$A835,'Promo Calendar'!$J$6:$J$400,"&gt;="&amp;$A835,'Promo Calendar'!$G$6:$G$400,"&gt;0")&gt;0,_xlfn.MINIFS('Promo Calendar'!$G$6:$G$400,'Promo Calendar'!$A$6:$A$400,$C835,'Promo Calendar'!$D$6:$D$400,IF($G835="","All",$G835),'Promo Calendar'!$I$6:$I$400,"&lt;="&amp;$A835,'Promo Calendar'!$J$6:$J$400,"&gt;="&amp;$A835,'Promo Calendar'!$G$6:$G$400,"&gt;0"),IF(COUNTIFS('Promo Calendar'!$A$6:$A$400,$C835,'Promo Calendar'!$D$6:$D$400,"All",'Promo Calendar'!$I$6:$I$400,"&lt;="&amp;$A835,'Promo Calendar'!$J$6:$J$400,"&gt;="&amp;$A835,'Promo Calendar'!$G$6:$G$400,"&gt;0")&gt;0,_xlfn.MINIFS('Promo Calendar'!$G$6:$G$400,'Promo Calendar'!$A$6:$A$400,$C835,'Promo Calendar'!$D$6:$D$400,"All",'Promo Calendar'!$I$6:$I$400,"&lt;="&amp;$A835,'Promo Calendar'!$J$6:$J$400,"&gt;="&amp;$A835,'Promo Calendar'!$G$6:$G$400,"&gt;0"),IFERROR(IF(INDEX('Chain Program'!$M$6:$M$120,MATCH($C835,'Chain Program'!$A$6:$A$120,0))="","Not set",INDEX('Chain Program'!$M$6:$M$120,MATCH($C835,'Chain Program'!$A$6:$A$120,0))),"Not set"))))</f>
        <v/>
      </c>
      <c r="I835" s="61" t="n"/>
      <c r="J835" s="45">
        <f>IF($I835="","",IF(NOT(ISNUMBER($H835)),"No plan price",IF(ABS($I835-$H835)&lt;0.005,"Match",IF($I835&gt;$H835,"Over plan","Under plan"))))</f>
        <v/>
      </c>
      <c r="K835" s="60" t="n"/>
      <c r="L835" s="60" t="n"/>
      <c r="M835" s="60" t="n"/>
      <c r="N835" s="60" t="n"/>
      <c r="O835" s="60" t="n"/>
      <c r="P835" s="62" t="n"/>
      <c r="Q835" s="62" t="n"/>
      <c r="R835" s="60" t="n"/>
      <c r="S835" s="59" t="n"/>
      <c r="T835" s="60" t="n"/>
      <c r="U835" s="59" t="n"/>
      <c r="V835" s="45">
        <f>IF(OR($A835="",$T835="",$T835="No Issue"),"",IF($T835="Resolved",IF($U835="","",$U835-$A835),TODAY()-$A835))</f>
        <v/>
      </c>
      <c r="W835" s="47">
        <f>IF(AND($C835&lt;&gt;"",$C835='Store History'!$C$4,OR('Store History'!$C$5="",$F835='Store History'!$C$5)),1,0)</f>
        <v/>
      </c>
      <c r="X835" s="47">
        <f>IF($W835=1,SUM($W835:$W$1005),"")</f>
        <v/>
      </c>
    </row>
    <row r="836">
      <c r="A836" s="59" t="n"/>
      <c r="B836" s="60" t="n"/>
      <c r="C836" s="60" t="n"/>
      <c r="D836" s="45">
        <f>IF($C836="","",IFERROR(INDEX('Chain Program'!$B$6:$B$120,MATCH($C836,'Chain Program'!$A$6:$A$120,0)),"Unknown ID"))</f>
        <v/>
      </c>
      <c r="E836" s="45">
        <f>IF($C836="","",IFERROR(INDEX('Chain Program'!$D$6:$D$120,MATCH($C836,'Chain Program'!$A$6:$A$120,0)),"Unknown ID"))</f>
        <v/>
      </c>
      <c r="F836" s="60" t="n"/>
      <c r="G836" s="60" t="n"/>
      <c r="H836" s="56">
        <f>IF(OR($C836="",$A836=""),"",IF(COUNTIFS('Promo Calendar'!$A$6:$A$400,$C836,'Promo Calendar'!$D$6:$D$400,IF($G836="","All",$G836),'Promo Calendar'!$I$6:$I$400,"&lt;="&amp;$A836,'Promo Calendar'!$J$6:$J$400,"&gt;="&amp;$A836,'Promo Calendar'!$G$6:$G$400,"&gt;0")&gt;0,_xlfn.MINIFS('Promo Calendar'!$G$6:$G$400,'Promo Calendar'!$A$6:$A$400,$C836,'Promo Calendar'!$D$6:$D$400,IF($G836="","All",$G836),'Promo Calendar'!$I$6:$I$400,"&lt;="&amp;$A836,'Promo Calendar'!$J$6:$J$400,"&gt;="&amp;$A836,'Promo Calendar'!$G$6:$G$400,"&gt;0"),IF(COUNTIFS('Promo Calendar'!$A$6:$A$400,$C836,'Promo Calendar'!$D$6:$D$400,"All",'Promo Calendar'!$I$6:$I$400,"&lt;="&amp;$A836,'Promo Calendar'!$J$6:$J$400,"&gt;="&amp;$A836,'Promo Calendar'!$G$6:$G$400,"&gt;0")&gt;0,_xlfn.MINIFS('Promo Calendar'!$G$6:$G$400,'Promo Calendar'!$A$6:$A$400,$C836,'Promo Calendar'!$D$6:$D$400,"All",'Promo Calendar'!$I$6:$I$400,"&lt;="&amp;$A836,'Promo Calendar'!$J$6:$J$400,"&gt;="&amp;$A836,'Promo Calendar'!$G$6:$G$400,"&gt;0"),IFERROR(IF(INDEX('Chain Program'!$M$6:$M$120,MATCH($C836,'Chain Program'!$A$6:$A$120,0))="","Not set",INDEX('Chain Program'!$M$6:$M$120,MATCH($C836,'Chain Program'!$A$6:$A$120,0))),"Not set"))))</f>
        <v/>
      </c>
      <c r="I836" s="61" t="n"/>
      <c r="J836" s="45">
        <f>IF($I836="","",IF(NOT(ISNUMBER($H836)),"No plan price",IF(ABS($I836-$H836)&lt;0.005,"Match",IF($I836&gt;$H836,"Over plan","Under plan"))))</f>
        <v/>
      </c>
      <c r="K836" s="60" t="n"/>
      <c r="L836" s="60" t="n"/>
      <c r="M836" s="60" t="n"/>
      <c r="N836" s="60" t="n"/>
      <c r="O836" s="60" t="n"/>
      <c r="P836" s="62" t="n"/>
      <c r="Q836" s="62" t="n"/>
      <c r="R836" s="60" t="n"/>
      <c r="S836" s="59" t="n"/>
      <c r="T836" s="60" t="n"/>
      <c r="U836" s="59" t="n"/>
      <c r="V836" s="45">
        <f>IF(OR($A836="",$T836="",$T836="No Issue"),"",IF($T836="Resolved",IF($U836="","",$U836-$A836),TODAY()-$A836))</f>
        <v/>
      </c>
      <c r="W836" s="47">
        <f>IF(AND($C836&lt;&gt;"",$C836='Store History'!$C$4,OR('Store History'!$C$5="",$F836='Store History'!$C$5)),1,0)</f>
        <v/>
      </c>
      <c r="X836" s="47">
        <f>IF($W836=1,SUM($W836:$W$1005),"")</f>
        <v/>
      </c>
    </row>
    <row r="837">
      <c r="A837" s="59" t="n"/>
      <c r="B837" s="60" t="n"/>
      <c r="C837" s="60" t="n"/>
      <c r="D837" s="45">
        <f>IF($C837="","",IFERROR(INDEX('Chain Program'!$B$6:$B$120,MATCH($C837,'Chain Program'!$A$6:$A$120,0)),"Unknown ID"))</f>
        <v/>
      </c>
      <c r="E837" s="45">
        <f>IF($C837="","",IFERROR(INDEX('Chain Program'!$D$6:$D$120,MATCH($C837,'Chain Program'!$A$6:$A$120,0)),"Unknown ID"))</f>
        <v/>
      </c>
      <c r="F837" s="60" t="n"/>
      <c r="G837" s="60" t="n"/>
      <c r="H837" s="56">
        <f>IF(OR($C837="",$A837=""),"",IF(COUNTIFS('Promo Calendar'!$A$6:$A$400,$C837,'Promo Calendar'!$D$6:$D$400,IF($G837="","All",$G837),'Promo Calendar'!$I$6:$I$400,"&lt;="&amp;$A837,'Promo Calendar'!$J$6:$J$400,"&gt;="&amp;$A837,'Promo Calendar'!$G$6:$G$400,"&gt;0")&gt;0,_xlfn.MINIFS('Promo Calendar'!$G$6:$G$400,'Promo Calendar'!$A$6:$A$400,$C837,'Promo Calendar'!$D$6:$D$400,IF($G837="","All",$G837),'Promo Calendar'!$I$6:$I$400,"&lt;="&amp;$A837,'Promo Calendar'!$J$6:$J$400,"&gt;="&amp;$A837,'Promo Calendar'!$G$6:$G$400,"&gt;0"),IF(COUNTIFS('Promo Calendar'!$A$6:$A$400,$C837,'Promo Calendar'!$D$6:$D$400,"All",'Promo Calendar'!$I$6:$I$400,"&lt;="&amp;$A837,'Promo Calendar'!$J$6:$J$400,"&gt;="&amp;$A837,'Promo Calendar'!$G$6:$G$400,"&gt;0")&gt;0,_xlfn.MINIFS('Promo Calendar'!$G$6:$G$400,'Promo Calendar'!$A$6:$A$400,$C837,'Promo Calendar'!$D$6:$D$400,"All",'Promo Calendar'!$I$6:$I$400,"&lt;="&amp;$A837,'Promo Calendar'!$J$6:$J$400,"&gt;="&amp;$A837,'Promo Calendar'!$G$6:$G$400,"&gt;0"),IFERROR(IF(INDEX('Chain Program'!$M$6:$M$120,MATCH($C837,'Chain Program'!$A$6:$A$120,0))="","Not set",INDEX('Chain Program'!$M$6:$M$120,MATCH($C837,'Chain Program'!$A$6:$A$120,0))),"Not set"))))</f>
        <v/>
      </c>
      <c r="I837" s="61" t="n"/>
      <c r="J837" s="45">
        <f>IF($I837="","",IF(NOT(ISNUMBER($H837)),"No plan price",IF(ABS($I837-$H837)&lt;0.005,"Match",IF($I837&gt;$H837,"Over plan","Under plan"))))</f>
        <v/>
      </c>
      <c r="K837" s="60" t="n"/>
      <c r="L837" s="60" t="n"/>
      <c r="M837" s="60" t="n"/>
      <c r="N837" s="60" t="n"/>
      <c r="O837" s="60" t="n"/>
      <c r="P837" s="62" t="n"/>
      <c r="Q837" s="62" t="n"/>
      <c r="R837" s="60" t="n"/>
      <c r="S837" s="59" t="n"/>
      <c r="T837" s="60" t="n"/>
      <c r="U837" s="59" t="n"/>
      <c r="V837" s="45">
        <f>IF(OR($A837="",$T837="",$T837="No Issue"),"",IF($T837="Resolved",IF($U837="","",$U837-$A837),TODAY()-$A837))</f>
        <v/>
      </c>
      <c r="W837" s="47">
        <f>IF(AND($C837&lt;&gt;"",$C837='Store History'!$C$4,OR('Store History'!$C$5="",$F837='Store History'!$C$5)),1,0)</f>
        <v/>
      </c>
      <c r="X837" s="47">
        <f>IF($W837=1,SUM($W837:$W$1005),"")</f>
        <v/>
      </c>
    </row>
    <row r="838">
      <c r="A838" s="59" t="n"/>
      <c r="B838" s="60" t="n"/>
      <c r="C838" s="60" t="n"/>
      <c r="D838" s="45">
        <f>IF($C838="","",IFERROR(INDEX('Chain Program'!$B$6:$B$120,MATCH($C838,'Chain Program'!$A$6:$A$120,0)),"Unknown ID"))</f>
        <v/>
      </c>
      <c r="E838" s="45">
        <f>IF($C838="","",IFERROR(INDEX('Chain Program'!$D$6:$D$120,MATCH($C838,'Chain Program'!$A$6:$A$120,0)),"Unknown ID"))</f>
        <v/>
      </c>
      <c r="F838" s="60" t="n"/>
      <c r="G838" s="60" t="n"/>
      <c r="H838" s="56">
        <f>IF(OR($C838="",$A838=""),"",IF(COUNTIFS('Promo Calendar'!$A$6:$A$400,$C838,'Promo Calendar'!$D$6:$D$400,IF($G838="","All",$G838),'Promo Calendar'!$I$6:$I$400,"&lt;="&amp;$A838,'Promo Calendar'!$J$6:$J$400,"&gt;="&amp;$A838,'Promo Calendar'!$G$6:$G$400,"&gt;0")&gt;0,_xlfn.MINIFS('Promo Calendar'!$G$6:$G$400,'Promo Calendar'!$A$6:$A$400,$C838,'Promo Calendar'!$D$6:$D$400,IF($G838="","All",$G838),'Promo Calendar'!$I$6:$I$400,"&lt;="&amp;$A838,'Promo Calendar'!$J$6:$J$400,"&gt;="&amp;$A838,'Promo Calendar'!$G$6:$G$400,"&gt;0"),IF(COUNTIFS('Promo Calendar'!$A$6:$A$400,$C838,'Promo Calendar'!$D$6:$D$400,"All",'Promo Calendar'!$I$6:$I$400,"&lt;="&amp;$A838,'Promo Calendar'!$J$6:$J$400,"&gt;="&amp;$A838,'Promo Calendar'!$G$6:$G$400,"&gt;0")&gt;0,_xlfn.MINIFS('Promo Calendar'!$G$6:$G$400,'Promo Calendar'!$A$6:$A$400,$C838,'Promo Calendar'!$D$6:$D$400,"All",'Promo Calendar'!$I$6:$I$400,"&lt;="&amp;$A838,'Promo Calendar'!$J$6:$J$400,"&gt;="&amp;$A838,'Promo Calendar'!$G$6:$G$400,"&gt;0"),IFERROR(IF(INDEX('Chain Program'!$M$6:$M$120,MATCH($C838,'Chain Program'!$A$6:$A$120,0))="","Not set",INDEX('Chain Program'!$M$6:$M$120,MATCH($C838,'Chain Program'!$A$6:$A$120,0))),"Not set"))))</f>
        <v/>
      </c>
      <c r="I838" s="61" t="n"/>
      <c r="J838" s="45">
        <f>IF($I838="","",IF(NOT(ISNUMBER($H838)),"No plan price",IF(ABS($I838-$H838)&lt;0.005,"Match",IF($I838&gt;$H838,"Over plan","Under plan"))))</f>
        <v/>
      </c>
      <c r="K838" s="60" t="n"/>
      <c r="L838" s="60" t="n"/>
      <c r="M838" s="60" t="n"/>
      <c r="N838" s="60" t="n"/>
      <c r="O838" s="60" t="n"/>
      <c r="P838" s="62" t="n"/>
      <c r="Q838" s="62" t="n"/>
      <c r="R838" s="60" t="n"/>
      <c r="S838" s="59" t="n"/>
      <c r="T838" s="60" t="n"/>
      <c r="U838" s="59" t="n"/>
      <c r="V838" s="45">
        <f>IF(OR($A838="",$T838="",$T838="No Issue"),"",IF($T838="Resolved",IF($U838="","",$U838-$A838),TODAY()-$A838))</f>
        <v/>
      </c>
      <c r="W838" s="47">
        <f>IF(AND($C838&lt;&gt;"",$C838='Store History'!$C$4,OR('Store History'!$C$5="",$F838='Store History'!$C$5)),1,0)</f>
        <v/>
      </c>
      <c r="X838" s="47">
        <f>IF($W838=1,SUM($W838:$W$1005),"")</f>
        <v/>
      </c>
    </row>
    <row r="839">
      <c r="A839" s="59" t="n"/>
      <c r="B839" s="60" t="n"/>
      <c r="C839" s="60" t="n"/>
      <c r="D839" s="45">
        <f>IF($C839="","",IFERROR(INDEX('Chain Program'!$B$6:$B$120,MATCH($C839,'Chain Program'!$A$6:$A$120,0)),"Unknown ID"))</f>
        <v/>
      </c>
      <c r="E839" s="45">
        <f>IF($C839="","",IFERROR(INDEX('Chain Program'!$D$6:$D$120,MATCH($C839,'Chain Program'!$A$6:$A$120,0)),"Unknown ID"))</f>
        <v/>
      </c>
      <c r="F839" s="60" t="n"/>
      <c r="G839" s="60" t="n"/>
      <c r="H839" s="56">
        <f>IF(OR($C839="",$A839=""),"",IF(COUNTIFS('Promo Calendar'!$A$6:$A$400,$C839,'Promo Calendar'!$D$6:$D$400,IF($G839="","All",$G839),'Promo Calendar'!$I$6:$I$400,"&lt;="&amp;$A839,'Promo Calendar'!$J$6:$J$400,"&gt;="&amp;$A839,'Promo Calendar'!$G$6:$G$400,"&gt;0")&gt;0,_xlfn.MINIFS('Promo Calendar'!$G$6:$G$400,'Promo Calendar'!$A$6:$A$400,$C839,'Promo Calendar'!$D$6:$D$400,IF($G839="","All",$G839),'Promo Calendar'!$I$6:$I$400,"&lt;="&amp;$A839,'Promo Calendar'!$J$6:$J$400,"&gt;="&amp;$A839,'Promo Calendar'!$G$6:$G$400,"&gt;0"),IF(COUNTIFS('Promo Calendar'!$A$6:$A$400,$C839,'Promo Calendar'!$D$6:$D$400,"All",'Promo Calendar'!$I$6:$I$400,"&lt;="&amp;$A839,'Promo Calendar'!$J$6:$J$400,"&gt;="&amp;$A839,'Promo Calendar'!$G$6:$G$400,"&gt;0")&gt;0,_xlfn.MINIFS('Promo Calendar'!$G$6:$G$400,'Promo Calendar'!$A$6:$A$400,$C839,'Promo Calendar'!$D$6:$D$400,"All",'Promo Calendar'!$I$6:$I$400,"&lt;="&amp;$A839,'Promo Calendar'!$J$6:$J$400,"&gt;="&amp;$A839,'Promo Calendar'!$G$6:$G$400,"&gt;0"),IFERROR(IF(INDEX('Chain Program'!$M$6:$M$120,MATCH($C839,'Chain Program'!$A$6:$A$120,0))="","Not set",INDEX('Chain Program'!$M$6:$M$120,MATCH($C839,'Chain Program'!$A$6:$A$120,0))),"Not set"))))</f>
        <v/>
      </c>
      <c r="I839" s="61" t="n"/>
      <c r="J839" s="45">
        <f>IF($I839="","",IF(NOT(ISNUMBER($H839)),"No plan price",IF(ABS($I839-$H839)&lt;0.005,"Match",IF($I839&gt;$H839,"Over plan","Under plan"))))</f>
        <v/>
      </c>
      <c r="K839" s="60" t="n"/>
      <c r="L839" s="60" t="n"/>
      <c r="M839" s="60" t="n"/>
      <c r="N839" s="60" t="n"/>
      <c r="O839" s="60" t="n"/>
      <c r="P839" s="62" t="n"/>
      <c r="Q839" s="62" t="n"/>
      <c r="R839" s="60" t="n"/>
      <c r="S839" s="59" t="n"/>
      <c r="T839" s="60" t="n"/>
      <c r="U839" s="59" t="n"/>
      <c r="V839" s="45">
        <f>IF(OR($A839="",$T839="",$T839="No Issue"),"",IF($T839="Resolved",IF($U839="","",$U839-$A839),TODAY()-$A839))</f>
        <v/>
      </c>
      <c r="W839" s="47">
        <f>IF(AND($C839&lt;&gt;"",$C839='Store History'!$C$4,OR('Store History'!$C$5="",$F839='Store History'!$C$5)),1,0)</f>
        <v/>
      </c>
      <c r="X839" s="47">
        <f>IF($W839=1,SUM($W839:$W$1005),"")</f>
        <v/>
      </c>
    </row>
    <row r="840">
      <c r="A840" s="59" t="n"/>
      <c r="B840" s="60" t="n"/>
      <c r="C840" s="60" t="n"/>
      <c r="D840" s="45">
        <f>IF($C840="","",IFERROR(INDEX('Chain Program'!$B$6:$B$120,MATCH($C840,'Chain Program'!$A$6:$A$120,0)),"Unknown ID"))</f>
        <v/>
      </c>
      <c r="E840" s="45">
        <f>IF($C840="","",IFERROR(INDEX('Chain Program'!$D$6:$D$120,MATCH($C840,'Chain Program'!$A$6:$A$120,0)),"Unknown ID"))</f>
        <v/>
      </c>
      <c r="F840" s="60" t="n"/>
      <c r="G840" s="60" t="n"/>
      <c r="H840" s="56">
        <f>IF(OR($C840="",$A840=""),"",IF(COUNTIFS('Promo Calendar'!$A$6:$A$400,$C840,'Promo Calendar'!$D$6:$D$400,IF($G840="","All",$G840),'Promo Calendar'!$I$6:$I$400,"&lt;="&amp;$A840,'Promo Calendar'!$J$6:$J$400,"&gt;="&amp;$A840,'Promo Calendar'!$G$6:$G$400,"&gt;0")&gt;0,_xlfn.MINIFS('Promo Calendar'!$G$6:$G$400,'Promo Calendar'!$A$6:$A$400,$C840,'Promo Calendar'!$D$6:$D$400,IF($G840="","All",$G840),'Promo Calendar'!$I$6:$I$400,"&lt;="&amp;$A840,'Promo Calendar'!$J$6:$J$400,"&gt;="&amp;$A840,'Promo Calendar'!$G$6:$G$400,"&gt;0"),IF(COUNTIFS('Promo Calendar'!$A$6:$A$400,$C840,'Promo Calendar'!$D$6:$D$400,"All",'Promo Calendar'!$I$6:$I$400,"&lt;="&amp;$A840,'Promo Calendar'!$J$6:$J$400,"&gt;="&amp;$A840,'Promo Calendar'!$G$6:$G$400,"&gt;0")&gt;0,_xlfn.MINIFS('Promo Calendar'!$G$6:$G$400,'Promo Calendar'!$A$6:$A$400,$C840,'Promo Calendar'!$D$6:$D$400,"All",'Promo Calendar'!$I$6:$I$400,"&lt;="&amp;$A840,'Promo Calendar'!$J$6:$J$400,"&gt;="&amp;$A840,'Promo Calendar'!$G$6:$G$400,"&gt;0"),IFERROR(IF(INDEX('Chain Program'!$M$6:$M$120,MATCH($C840,'Chain Program'!$A$6:$A$120,0))="","Not set",INDEX('Chain Program'!$M$6:$M$120,MATCH($C840,'Chain Program'!$A$6:$A$120,0))),"Not set"))))</f>
        <v/>
      </c>
      <c r="I840" s="61" t="n"/>
      <c r="J840" s="45">
        <f>IF($I840="","",IF(NOT(ISNUMBER($H840)),"No plan price",IF(ABS($I840-$H840)&lt;0.005,"Match",IF($I840&gt;$H840,"Over plan","Under plan"))))</f>
        <v/>
      </c>
      <c r="K840" s="60" t="n"/>
      <c r="L840" s="60" t="n"/>
      <c r="M840" s="60" t="n"/>
      <c r="N840" s="60" t="n"/>
      <c r="O840" s="60" t="n"/>
      <c r="P840" s="62" t="n"/>
      <c r="Q840" s="62" t="n"/>
      <c r="R840" s="60" t="n"/>
      <c r="S840" s="59" t="n"/>
      <c r="T840" s="60" t="n"/>
      <c r="U840" s="59" t="n"/>
      <c r="V840" s="45">
        <f>IF(OR($A840="",$T840="",$T840="No Issue"),"",IF($T840="Resolved",IF($U840="","",$U840-$A840),TODAY()-$A840))</f>
        <v/>
      </c>
      <c r="W840" s="47">
        <f>IF(AND($C840&lt;&gt;"",$C840='Store History'!$C$4,OR('Store History'!$C$5="",$F840='Store History'!$C$5)),1,0)</f>
        <v/>
      </c>
      <c r="X840" s="47">
        <f>IF($W840=1,SUM($W840:$W$1005),"")</f>
        <v/>
      </c>
    </row>
    <row r="841">
      <c r="A841" s="59" t="n"/>
      <c r="B841" s="60" t="n"/>
      <c r="C841" s="60" t="n"/>
      <c r="D841" s="45">
        <f>IF($C841="","",IFERROR(INDEX('Chain Program'!$B$6:$B$120,MATCH($C841,'Chain Program'!$A$6:$A$120,0)),"Unknown ID"))</f>
        <v/>
      </c>
      <c r="E841" s="45">
        <f>IF($C841="","",IFERROR(INDEX('Chain Program'!$D$6:$D$120,MATCH($C841,'Chain Program'!$A$6:$A$120,0)),"Unknown ID"))</f>
        <v/>
      </c>
      <c r="F841" s="60" t="n"/>
      <c r="G841" s="60" t="n"/>
      <c r="H841" s="56">
        <f>IF(OR($C841="",$A841=""),"",IF(COUNTIFS('Promo Calendar'!$A$6:$A$400,$C841,'Promo Calendar'!$D$6:$D$400,IF($G841="","All",$G841),'Promo Calendar'!$I$6:$I$400,"&lt;="&amp;$A841,'Promo Calendar'!$J$6:$J$400,"&gt;="&amp;$A841,'Promo Calendar'!$G$6:$G$400,"&gt;0")&gt;0,_xlfn.MINIFS('Promo Calendar'!$G$6:$G$400,'Promo Calendar'!$A$6:$A$400,$C841,'Promo Calendar'!$D$6:$D$400,IF($G841="","All",$G841),'Promo Calendar'!$I$6:$I$400,"&lt;="&amp;$A841,'Promo Calendar'!$J$6:$J$400,"&gt;="&amp;$A841,'Promo Calendar'!$G$6:$G$400,"&gt;0"),IF(COUNTIFS('Promo Calendar'!$A$6:$A$400,$C841,'Promo Calendar'!$D$6:$D$400,"All",'Promo Calendar'!$I$6:$I$400,"&lt;="&amp;$A841,'Promo Calendar'!$J$6:$J$400,"&gt;="&amp;$A841,'Promo Calendar'!$G$6:$G$400,"&gt;0")&gt;0,_xlfn.MINIFS('Promo Calendar'!$G$6:$G$400,'Promo Calendar'!$A$6:$A$400,$C841,'Promo Calendar'!$D$6:$D$400,"All",'Promo Calendar'!$I$6:$I$400,"&lt;="&amp;$A841,'Promo Calendar'!$J$6:$J$400,"&gt;="&amp;$A841,'Promo Calendar'!$G$6:$G$400,"&gt;0"),IFERROR(IF(INDEX('Chain Program'!$M$6:$M$120,MATCH($C841,'Chain Program'!$A$6:$A$120,0))="","Not set",INDEX('Chain Program'!$M$6:$M$120,MATCH($C841,'Chain Program'!$A$6:$A$120,0))),"Not set"))))</f>
        <v/>
      </c>
      <c r="I841" s="61" t="n"/>
      <c r="J841" s="45">
        <f>IF($I841="","",IF(NOT(ISNUMBER($H841)),"No plan price",IF(ABS($I841-$H841)&lt;0.005,"Match",IF($I841&gt;$H841,"Over plan","Under plan"))))</f>
        <v/>
      </c>
      <c r="K841" s="60" t="n"/>
      <c r="L841" s="60" t="n"/>
      <c r="M841" s="60" t="n"/>
      <c r="N841" s="60" t="n"/>
      <c r="O841" s="60" t="n"/>
      <c r="P841" s="62" t="n"/>
      <c r="Q841" s="62" t="n"/>
      <c r="R841" s="60" t="n"/>
      <c r="S841" s="59" t="n"/>
      <c r="T841" s="60" t="n"/>
      <c r="U841" s="59" t="n"/>
      <c r="V841" s="45">
        <f>IF(OR($A841="",$T841="",$T841="No Issue"),"",IF($T841="Resolved",IF($U841="","",$U841-$A841),TODAY()-$A841))</f>
        <v/>
      </c>
      <c r="W841" s="47">
        <f>IF(AND($C841&lt;&gt;"",$C841='Store History'!$C$4,OR('Store History'!$C$5="",$F841='Store History'!$C$5)),1,0)</f>
        <v/>
      </c>
      <c r="X841" s="47">
        <f>IF($W841=1,SUM($W841:$W$1005),"")</f>
        <v/>
      </c>
    </row>
    <row r="842">
      <c r="A842" s="59" t="n"/>
      <c r="B842" s="60" t="n"/>
      <c r="C842" s="60" t="n"/>
      <c r="D842" s="45">
        <f>IF($C842="","",IFERROR(INDEX('Chain Program'!$B$6:$B$120,MATCH($C842,'Chain Program'!$A$6:$A$120,0)),"Unknown ID"))</f>
        <v/>
      </c>
      <c r="E842" s="45">
        <f>IF($C842="","",IFERROR(INDEX('Chain Program'!$D$6:$D$120,MATCH($C842,'Chain Program'!$A$6:$A$120,0)),"Unknown ID"))</f>
        <v/>
      </c>
      <c r="F842" s="60" t="n"/>
      <c r="G842" s="60" t="n"/>
      <c r="H842" s="56">
        <f>IF(OR($C842="",$A842=""),"",IF(COUNTIFS('Promo Calendar'!$A$6:$A$400,$C842,'Promo Calendar'!$D$6:$D$400,IF($G842="","All",$G842),'Promo Calendar'!$I$6:$I$400,"&lt;="&amp;$A842,'Promo Calendar'!$J$6:$J$400,"&gt;="&amp;$A842,'Promo Calendar'!$G$6:$G$400,"&gt;0")&gt;0,_xlfn.MINIFS('Promo Calendar'!$G$6:$G$400,'Promo Calendar'!$A$6:$A$400,$C842,'Promo Calendar'!$D$6:$D$400,IF($G842="","All",$G842),'Promo Calendar'!$I$6:$I$400,"&lt;="&amp;$A842,'Promo Calendar'!$J$6:$J$400,"&gt;="&amp;$A842,'Promo Calendar'!$G$6:$G$400,"&gt;0"),IF(COUNTIFS('Promo Calendar'!$A$6:$A$400,$C842,'Promo Calendar'!$D$6:$D$400,"All",'Promo Calendar'!$I$6:$I$400,"&lt;="&amp;$A842,'Promo Calendar'!$J$6:$J$400,"&gt;="&amp;$A842,'Promo Calendar'!$G$6:$G$400,"&gt;0")&gt;0,_xlfn.MINIFS('Promo Calendar'!$G$6:$G$400,'Promo Calendar'!$A$6:$A$400,$C842,'Promo Calendar'!$D$6:$D$400,"All",'Promo Calendar'!$I$6:$I$400,"&lt;="&amp;$A842,'Promo Calendar'!$J$6:$J$400,"&gt;="&amp;$A842,'Promo Calendar'!$G$6:$G$400,"&gt;0"),IFERROR(IF(INDEX('Chain Program'!$M$6:$M$120,MATCH($C842,'Chain Program'!$A$6:$A$120,0))="","Not set",INDEX('Chain Program'!$M$6:$M$120,MATCH($C842,'Chain Program'!$A$6:$A$120,0))),"Not set"))))</f>
        <v/>
      </c>
      <c r="I842" s="61" t="n"/>
      <c r="J842" s="45">
        <f>IF($I842="","",IF(NOT(ISNUMBER($H842)),"No plan price",IF(ABS($I842-$H842)&lt;0.005,"Match",IF($I842&gt;$H842,"Over plan","Under plan"))))</f>
        <v/>
      </c>
      <c r="K842" s="60" t="n"/>
      <c r="L842" s="60" t="n"/>
      <c r="M842" s="60" t="n"/>
      <c r="N842" s="60" t="n"/>
      <c r="O842" s="60" t="n"/>
      <c r="P842" s="62" t="n"/>
      <c r="Q842" s="62" t="n"/>
      <c r="R842" s="60" t="n"/>
      <c r="S842" s="59" t="n"/>
      <c r="T842" s="60" t="n"/>
      <c r="U842" s="59" t="n"/>
      <c r="V842" s="45">
        <f>IF(OR($A842="",$T842="",$T842="No Issue"),"",IF($T842="Resolved",IF($U842="","",$U842-$A842),TODAY()-$A842))</f>
        <v/>
      </c>
      <c r="W842" s="47">
        <f>IF(AND($C842&lt;&gt;"",$C842='Store History'!$C$4,OR('Store History'!$C$5="",$F842='Store History'!$C$5)),1,0)</f>
        <v/>
      </c>
      <c r="X842" s="47">
        <f>IF($W842=1,SUM($W842:$W$1005),"")</f>
        <v/>
      </c>
    </row>
    <row r="843">
      <c r="A843" s="59" t="n"/>
      <c r="B843" s="60" t="n"/>
      <c r="C843" s="60" t="n"/>
      <c r="D843" s="45">
        <f>IF($C843="","",IFERROR(INDEX('Chain Program'!$B$6:$B$120,MATCH($C843,'Chain Program'!$A$6:$A$120,0)),"Unknown ID"))</f>
        <v/>
      </c>
      <c r="E843" s="45">
        <f>IF($C843="","",IFERROR(INDEX('Chain Program'!$D$6:$D$120,MATCH($C843,'Chain Program'!$A$6:$A$120,0)),"Unknown ID"))</f>
        <v/>
      </c>
      <c r="F843" s="60" t="n"/>
      <c r="G843" s="60" t="n"/>
      <c r="H843" s="56">
        <f>IF(OR($C843="",$A843=""),"",IF(COUNTIFS('Promo Calendar'!$A$6:$A$400,$C843,'Promo Calendar'!$D$6:$D$400,IF($G843="","All",$G843),'Promo Calendar'!$I$6:$I$400,"&lt;="&amp;$A843,'Promo Calendar'!$J$6:$J$400,"&gt;="&amp;$A843,'Promo Calendar'!$G$6:$G$400,"&gt;0")&gt;0,_xlfn.MINIFS('Promo Calendar'!$G$6:$G$400,'Promo Calendar'!$A$6:$A$400,$C843,'Promo Calendar'!$D$6:$D$400,IF($G843="","All",$G843),'Promo Calendar'!$I$6:$I$400,"&lt;="&amp;$A843,'Promo Calendar'!$J$6:$J$400,"&gt;="&amp;$A843,'Promo Calendar'!$G$6:$G$400,"&gt;0"),IF(COUNTIFS('Promo Calendar'!$A$6:$A$400,$C843,'Promo Calendar'!$D$6:$D$400,"All",'Promo Calendar'!$I$6:$I$400,"&lt;="&amp;$A843,'Promo Calendar'!$J$6:$J$400,"&gt;="&amp;$A843,'Promo Calendar'!$G$6:$G$400,"&gt;0")&gt;0,_xlfn.MINIFS('Promo Calendar'!$G$6:$G$400,'Promo Calendar'!$A$6:$A$400,$C843,'Promo Calendar'!$D$6:$D$400,"All",'Promo Calendar'!$I$6:$I$400,"&lt;="&amp;$A843,'Promo Calendar'!$J$6:$J$400,"&gt;="&amp;$A843,'Promo Calendar'!$G$6:$G$400,"&gt;0"),IFERROR(IF(INDEX('Chain Program'!$M$6:$M$120,MATCH($C843,'Chain Program'!$A$6:$A$120,0))="","Not set",INDEX('Chain Program'!$M$6:$M$120,MATCH($C843,'Chain Program'!$A$6:$A$120,0))),"Not set"))))</f>
        <v/>
      </c>
      <c r="I843" s="61" t="n"/>
      <c r="J843" s="45">
        <f>IF($I843="","",IF(NOT(ISNUMBER($H843)),"No plan price",IF(ABS($I843-$H843)&lt;0.005,"Match",IF($I843&gt;$H843,"Over plan","Under plan"))))</f>
        <v/>
      </c>
      <c r="K843" s="60" t="n"/>
      <c r="L843" s="60" t="n"/>
      <c r="M843" s="60" t="n"/>
      <c r="N843" s="60" t="n"/>
      <c r="O843" s="60" t="n"/>
      <c r="P843" s="62" t="n"/>
      <c r="Q843" s="62" t="n"/>
      <c r="R843" s="60" t="n"/>
      <c r="S843" s="59" t="n"/>
      <c r="T843" s="60" t="n"/>
      <c r="U843" s="59" t="n"/>
      <c r="V843" s="45">
        <f>IF(OR($A843="",$T843="",$T843="No Issue"),"",IF($T843="Resolved",IF($U843="","",$U843-$A843),TODAY()-$A843))</f>
        <v/>
      </c>
      <c r="W843" s="47">
        <f>IF(AND($C843&lt;&gt;"",$C843='Store History'!$C$4,OR('Store History'!$C$5="",$F843='Store History'!$C$5)),1,0)</f>
        <v/>
      </c>
      <c r="X843" s="47">
        <f>IF($W843=1,SUM($W843:$W$1005),"")</f>
        <v/>
      </c>
    </row>
    <row r="844">
      <c r="A844" s="59" t="n"/>
      <c r="B844" s="60" t="n"/>
      <c r="C844" s="60" t="n"/>
      <c r="D844" s="45">
        <f>IF($C844="","",IFERROR(INDEX('Chain Program'!$B$6:$B$120,MATCH($C844,'Chain Program'!$A$6:$A$120,0)),"Unknown ID"))</f>
        <v/>
      </c>
      <c r="E844" s="45">
        <f>IF($C844="","",IFERROR(INDEX('Chain Program'!$D$6:$D$120,MATCH($C844,'Chain Program'!$A$6:$A$120,0)),"Unknown ID"))</f>
        <v/>
      </c>
      <c r="F844" s="60" t="n"/>
      <c r="G844" s="60" t="n"/>
      <c r="H844" s="56">
        <f>IF(OR($C844="",$A844=""),"",IF(COUNTIFS('Promo Calendar'!$A$6:$A$400,$C844,'Promo Calendar'!$D$6:$D$400,IF($G844="","All",$G844),'Promo Calendar'!$I$6:$I$400,"&lt;="&amp;$A844,'Promo Calendar'!$J$6:$J$400,"&gt;="&amp;$A844,'Promo Calendar'!$G$6:$G$400,"&gt;0")&gt;0,_xlfn.MINIFS('Promo Calendar'!$G$6:$G$400,'Promo Calendar'!$A$6:$A$400,$C844,'Promo Calendar'!$D$6:$D$400,IF($G844="","All",$G844),'Promo Calendar'!$I$6:$I$400,"&lt;="&amp;$A844,'Promo Calendar'!$J$6:$J$400,"&gt;="&amp;$A844,'Promo Calendar'!$G$6:$G$400,"&gt;0"),IF(COUNTIFS('Promo Calendar'!$A$6:$A$400,$C844,'Promo Calendar'!$D$6:$D$400,"All",'Promo Calendar'!$I$6:$I$400,"&lt;="&amp;$A844,'Promo Calendar'!$J$6:$J$400,"&gt;="&amp;$A844,'Promo Calendar'!$G$6:$G$400,"&gt;0")&gt;0,_xlfn.MINIFS('Promo Calendar'!$G$6:$G$400,'Promo Calendar'!$A$6:$A$400,$C844,'Promo Calendar'!$D$6:$D$400,"All",'Promo Calendar'!$I$6:$I$400,"&lt;="&amp;$A844,'Promo Calendar'!$J$6:$J$400,"&gt;="&amp;$A844,'Promo Calendar'!$G$6:$G$400,"&gt;0"),IFERROR(IF(INDEX('Chain Program'!$M$6:$M$120,MATCH($C844,'Chain Program'!$A$6:$A$120,0))="","Not set",INDEX('Chain Program'!$M$6:$M$120,MATCH($C844,'Chain Program'!$A$6:$A$120,0))),"Not set"))))</f>
        <v/>
      </c>
      <c r="I844" s="61" t="n"/>
      <c r="J844" s="45">
        <f>IF($I844="","",IF(NOT(ISNUMBER($H844)),"No plan price",IF(ABS($I844-$H844)&lt;0.005,"Match",IF($I844&gt;$H844,"Over plan","Under plan"))))</f>
        <v/>
      </c>
      <c r="K844" s="60" t="n"/>
      <c r="L844" s="60" t="n"/>
      <c r="M844" s="60" t="n"/>
      <c r="N844" s="60" t="n"/>
      <c r="O844" s="60" t="n"/>
      <c r="P844" s="62" t="n"/>
      <c r="Q844" s="62" t="n"/>
      <c r="R844" s="60" t="n"/>
      <c r="S844" s="59" t="n"/>
      <c r="T844" s="60" t="n"/>
      <c r="U844" s="59" t="n"/>
      <c r="V844" s="45">
        <f>IF(OR($A844="",$T844="",$T844="No Issue"),"",IF($T844="Resolved",IF($U844="","",$U844-$A844),TODAY()-$A844))</f>
        <v/>
      </c>
      <c r="W844" s="47">
        <f>IF(AND($C844&lt;&gt;"",$C844='Store History'!$C$4,OR('Store History'!$C$5="",$F844='Store History'!$C$5)),1,0)</f>
        <v/>
      </c>
      <c r="X844" s="47">
        <f>IF($W844=1,SUM($W844:$W$1005),"")</f>
        <v/>
      </c>
    </row>
    <row r="845">
      <c r="A845" s="59" t="n"/>
      <c r="B845" s="60" t="n"/>
      <c r="C845" s="60" t="n"/>
      <c r="D845" s="45">
        <f>IF($C845="","",IFERROR(INDEX('Chain Program'!$B$6:$B$120,MATCH($C845,'Chain Program'!$A$6:$A$120,0)),"Unknown ID"))</f>
        <v/>
      </c>
      <c r="E845" s="45">
        <f>IF($C845="","",IFERROR(INDEX('Chain Program'!$D$6:$D$120,MATCH($C845,'Chain Program'!$A$6:$A$120,0)),"Unknown ID"))</f>
        <v/>
      </c>
      <c r="F845" s="60" t="n"/>
      <c r="G845" s="60" t="n"/>
      <c r="H845" s="56">
        <f>IF(OR($C845="",$A845=""),"",IF(COUNTIFS('Promo Calendar'!$A$6:$A$400,$C845,'Promo Calendar'!$D$6:$D$400,IF($G845="","All",$G845),'Promo Calendar'!$I$6:$I$400,"&lt;="&amp;$A845,'Promo Calendar'!$J$6:$J$400,"&gt;="&amp;$A845,'Promo Calendar'!$G$6:$G$400,"&gt;0")&gt;0,_xlfn.MINIFS('Promo Calendar'!$G$6:$G$400,'Promo Calendar'!$A$6:$A$400,$C845,'Promo Calendar'!$D$6:$D$400,IF($G845="","All",$G845),'Promo Calendar'!$I$6:$I$400,"&lt;="&amp;$A845,'Promo Calendar'!$J$6:$J$400,"&gt;="&amp;$A845,'Promo Calendar'!$G$6:$G$400,"&gt;0"),IF(COUNTIFS('Promo Calendar'!$A$6:$A$400,$C845,'Promo Calendar'!$D$6:$D$400,"All",'Promo Calendar'!$I$6:$I$400,"&lt;="&amp;$A845,'Promo Calendar'!$J$6:$J$400,"&gt;="&amp;$A845,'Promo Calendar'!$G$6:$G$400,"&gt;0")&gt;0,_xlfn.MINIFS('Promo Calendar'!$G$6:$G$400,'Promo Calendar'!$A$6:$A$400,$C845,'Promo Calendar'!$D$6:$D$400,"All",'Promo Calendar'!$I$6:$I$400,"&lt;="&amp;$A845,'Promo Calendar'!$J$6:$J$400,"&gt;="&amp;$A845,'Promo Calendar'!$G$6:$G$400,"&gt;0"),IFERROR(IF(INDEX('Chain Program'!$M$6:$M$120,MATCH($C845,'Chain Program'!$A$6:$A$120,0))="","Not set",INDEX('Chain Program'!$M$6:$M$120,MATCH($C845,'Chain Program'!$A$6:$A$120,0))),"Not set"))))</f>
        <v/>
      </c>
      <c r="I845" s="61" t="n"/>
      <c r="J845" s="45">
        <f>IF($I845="","",IF(NOT(ISNUMBER($H845)),"No plan price",IF(ABS($I845-$H845)&lt;0.005,"Match",IF($I845&gt;$H845,"Over plan","Under plan"))))</f>
        <v/>
      </c>
      <c r="K845" s="60" t="n"/>
      <c r="L845" s="60" t="n"/>
      <c r="M845" s="60" t="n"/>
      <c r="N845" s="60" t="n"/>
      <c r="O845" s="60" t="n"/>
      <c r="P845" s="62" t="n"/>
      <c r="Q845" s="62" t="n"/>
      <c r="R845" s="60" t="n"/>
      <c r="S845" s="59" t="n"/>
      <c r="T845" s="60" t="n"/>
      <c r="U845" s="59" t="n"/>
      <c r="V845" s="45">
        <f>IF(OR($A845="",$T845="",$T845="No Issue"),"",IF($T845="Resolved",IF($U845="","",$U845-$A845),TODAY()-$A845))</f>
        <v/>
      </c>
      <c r="W845" s="47">
        <f>IF(AND($C845&lt;&gt;"",$C845='Store History'!$C$4,OR('Store History'!$C$5="",$F845='Store History'!$C$5)),1,0)</f>
        <v/>
      </c>
      <c r="X845" s="47">
        <f>IF($W845=1,SUM($W845:$W$1005),"")</f>
        <v/>
      </c>
    </row>
    <row r="846">
      <c r="A846" s="59" t="n"/>
      <c r="B846" s="60" t="n"/>
      <c r="C846" s="60" t="n"/>
      <c r="D846" s="45">
        <f>IF($C846="","",IFERROR(INDEX('Chain Program'!$B$6:$B$120,MATCH($C846,'Chain Program'!$A$6:$A$120,0)),"Unknown ID"))</f>
        <v/>
      </c>
      <c r="E846" s="45">
        <f>IF($C846="","",IFERROR(INDEX('Chain Program'!$D$6:$D$120,MATCH($C846,'Chain Program'!$A$6:$A$120,0)),"Unknown ID"))</f>
        <v/>
      </c>
      <c r="F846" s="60" t="n"/>
      <c r="G846" s="60" t="n"/>
      <c r="H846" s="56">
        <f>IF(OR($C846="",$A846=""),"",IF(COUNTIFS('Promo Calendar'!$A$6:$A$400,$C846,'Promo Calendar'!$D$6:$D$400,IF($G846="","All",$G846),'Promo Calendar'!$I$6:$I$400,"&lt;="&amp;$A846,'Promo Calendar'!$J$6:$J$400,"&gt;="&amp;$A846,'Promo Calendar'!$G$6:$G$400,"&gt;0")&gt;0,_xlfn.MINIFS('Promo Calendar'!$G$6:$G$400,'Promo Calendar'!$A$6:$A$400,$C846,'Promo Calendar'!$D$6:$D$400,IF($G846="","All",$G846),'Promo Calendar'!$I$6:$I$400,"&lt;="&amp;$A846,'Promo Calendar'!$J$6:$J$400,"&gt;="&amp;$A846,'Promo Calendar'!$G$6:$G$400,"&gt;0"),IF(COUNTIFS('Promo Calendar'!$A$6:$A$400,$C846,'Promo Calendar'!$D$6:$D$400,"All",'Promo Calendar'!$I$6:$I$400,"&lt;="&amp;$A846,'Promo Calendar'!$J$6:$J$400,"&gt;="&amp;$A846,'Promo Calendar'!$G$6:$G$400,"&gt;0")&gt;0,_xlfn.MINIFS('Promo Calendar'!$G$6:$G$400,'Promo Calendar'!$A$6:$A$400,$C846,'Promo Calendar'!$D$6:$D$400,"All",'Promo Calendar'!$I$6:$I$400,"&lt;="&amp;$A846,'Promo Calendar'!$J$6:$J$400,"&gt;="&amp;$A846,'Promo Calendar'!$G$6:$G$400,"&gt;0"),IFERROR(IF(INDEX('Chain Program'!$M$6:$M$120,MATCH($C846,'Chain Program'!$A$6:$A$120,0))="","Not set",INDEX('Chain Program'!$M$6:$M$120,MATCH($C846,'Chain Program'!$A$6:$A$120,0))),"Not set"))))</f>
        <v/>
      </c>
      <c r="I846" s="61" t="n"/>
      <c r="J846" s="45">
        <f>IF($I846="","",IF(NOT(ISNUMBER($H846)),"No plan price",IF(ABS($I846-$H846)&lt;0.005,"Match",IF($I846&gt;$H846,"Over plan","Under plan"))))</f>
        <v/>
      </c>
      <c r="K846" s="60" t="n"/>
      <c r="L846" s="60" t="n"/>
      <c r="M846" s="60" t="n"/>
      <c r="N846" s="60" t="n"/>
      <c r="O846" s="60" t="n"/>
      <c r="P846" s="62" t="n"/>
      <c r="Q846" s="62" t="n"/>
      <c r="R846" s="60" t="n"/>
      <c r="S846" s="59" t="n"/>
      <c r="T846" s="60" t="n"/>
      <c r="U846" s="59" t="n"/>
      <c r="V846" s="45">
        <f>IF(OR($A846="",$T846="",$T846="No Issue"),"",IF($T846="Resolved",IF($U846="","",$U846-$A846),TODAY()-$A846))</f>
        <v/>
      </c>
      <c r="W846" s="47">
        <f>IF(AND($C846&lt;&gt;"",$C846='Store History'!$C$4,OR('Store History'!$C$5="",$F846='Store History'!$C$5)),1,0)</f>
        <v/>
      </c>
      <c r="X846" s="47">
        <f>IF($W846=1,SUM($W846:$W$1005),"")</f>
        <v/>
      </c>
    </row>
    <row r="847">
      <c r="A847" s="59" t="n"/>
      <c r="B847" s="60" t="n"/>
      <c r="C847" s="60" t="n"/>
      <c r="D847" s="45">
        <f>IF($C847="","",IFERROR(INDEX('Chain Program'!$B$6:$B$120,MATCH($C847,'Chain Program'!$A$6:$A$120,0)),"Unknown ID"))</f>
        <v/>
      </c>
      <c r="E847" s="45">
        <f>IF($C847="","",IFERROR(INDEX('Chain Program'!$D$6:$D$120,MATCH($C847,'Chain Program'!$A$6:$A$120,0)),"Unknown ID"))</f>
        <v/>
      </c>
      <c r="F847" s="60" t="n"/>
      <c r="G847" s="60" t="n"/>
      <c r="H847" s="56">
        <f>IF(OR($C847="",$A847=""),"",IF(COUNTIFS('Promo Calendar'!$A$6:$A$400,$C847,'Promo Calendar'!$D$6:$D$400,IF($G847="","All",$G847),'Promo Calendar'!$I$6:$I$400,"&lt;="&amp;$A847,'Promo Calendar'!$J$6:$J$400,"&gt;="&amp;$A847,'Promo Calendar'!$G$6:$G$400,"&gt;0")&gt;0,_xlfn.MINIFS('Promo Calendar'!$G$6:$G$400,'Promo Calendar'!$A$6:$A$400,$C847,'Promo Calendar'!$D$6:$D$400,IF($G847="","All",$G847),'Promo Calendar'!$I$6:$I$400,"&lt;="&amp;$A847,'Promo Calendar'!$J$6:$J$400,"&gt;="&amp;$A847,'Promo Calendar'!$G$6:$G$400,"&gt;0"),IF(COUNTIFS('Promo Calendar'!$A$6:$A$400,$C847,'Promo Calendar'!$D$6:$D$400,"All",'Promo Calendar'!$I$6:$I$400,"&lt;="&amp;$A847,'Promo Calendar'!$J$6:$J$400,"&gt;="&amp;$A847,'Promo Calendar'!$G$6:$G$400,"&gt;0")&gt;0,_xlfn.MINIFS('Promo Calendar'!$G$6:$G$400,'Promo Calendar'!$A$6:$A$400,$C847,'Promo Calendar'!$D$6:$D$400,"All",'Promo Calendar'!$I$6:$I$400,"&lt;="&amp;$A847,'Promo Calendar'!$J$6:$J$400,"&gt;="&amp;$A847,'Promo Calendar'!$G$6:$G$400,"&gt;0"),IFERROR(IF(INDEX('Chain Program'!$M$6:$M$120,MATCH($C847,'Chain Program'!$A$6:$A$120,0))="","Not set",INDEX('Chain Program'!$M$6:$M$120,MATCH($C847,'Chain Program'!$A$6:$A$120,0))),"Not set"))))</f>
        <v/>
      </c>
      <c r="I847" s="61" t="n"/>
      <c r="J847" s="45">
        <f>IF($I847="","",IF(NOT(ISNUMBER($H847)),"No plan price",IF(ABS($I847-$H847)&lt;0.005,"Match",IF($I847&gt;$H847,"Over plan","Under plan"))))</f>
        <v/>
      </c>
      <c r="K847" s="60" t="n"/>
      <c r="L847" s="60" t="n"/>
      <c r="M847" s="60" t="n"/>
      <c r="N847" s="60" t="n"/>
      <c r="O847" s="60" t="n"/>
      <c r="P847" s="62" t="n"/>
      <c r="Q847" s="62" t="n"/>
      <c r="R847" s="60" t="n"/>
      <c r="S847" s="59" t="n"/>
      <c r="T847" s="60" t="n"/>
      <c r="U847" s="59" t="n"/>
      <c r="V847" s="45">
        <f>IF(OR($A847="",$T847="",$T847="No Issue"),"",IF($T847="Resolved",IF($U847="","",$U847-$A847),TODAY()-$A847))</f>
        <v/>
      </c>
      <c r="W847" s="47">
        <f>IF(AND($C847&lt;&gt;"",$C847='Store History'!$C$4,OR('Store History'!$C$5="",$F847='Store History'!$C$5)),1,0)</f>
        <v/>
      </c>
      <c r="X847" s="47">
        <f>IF($W847=1,SUM($W847:$W$1005),"")</f>
        <v/>
      </c>
    </row>
    <row r="848">
      <c r="A848" s="59" t="n"/>
      <c r="B848" s="60" t="n"/>
      <c r="C848" s="60" t="n"/>
      <c r="D848" s="45">
        <f>IF($C848="","",IFERROR(INDEX('Chain Program'!$B$6:$B$120,MATCH($C848,'Chain Program'!$A$6:$A$120,0)),"Unknown ID"))</f>
        <v/>
      </c>
      <c r="E848" s="45">
        <f>IF($C848="","",IFERROR(INDEX('Chain Program'!$D$6:$D$120,MATCH($C848,'Chain Program'!$A$6:$A$120,0)),"Unknown ID"))</f>
        <v/>
      </c>
      <c r="F848" s="60" t="n"/>
      <c r="G848" s="60" t="n"/>
      <c r="H848" s="56">
        <f>IF(OR($C848="",$A848=""),"",IF(COUNTIFS('Promo Calendar'!$A$6:$A$400,$C848,'Promo Calendar'!$D$6:$D$400,IF($G848="","All",$G848),'Promo Calendar'!$I$6:$I$400,"&lt;="&amp;$A848,'Promo Calendar'!$J$6:$J$400,"&gt;="&amp;$A848,'Promo Calendar'!$G$6:$G$400,"&gt;0")&gt;0,_xlfn.MINIFS('Promo Calendar'!$G$6:$G$400,'Promo Calendar'!$A$6:$A$400,$C848,'Promo Calendar'!$D$6:$D$400,IF($G848="","All",$G848),'Promo Calendar'!$I$6:$I$400,"&lt;="&amp;$A848,'Promo Calendar'!$J$6:$J$400,"&gt;="&amp;$A848,'Promo Calendar'!$G$6:$G$400,"&gt;0"),IF(COUNTIFS('Promo Calendar'!$A$6:$A$400,$C848,'Promo Calendar'!$D$6:$D$400,"All",'Promo Calendar'!$I$6:$I$400,"&lt;="&amp;$A848,'Promo Calendar'!$J$6:$J$400,"&gt;="&amp;$A848,'Promo Calendar'!$G$6:$G$400,"&gt;0")&gt;0,_xlfn.MINIFS('Promo Calendar'!$G$6:$G$400,'Promo Calendar'!$A$6:$A$400,$C848,'Promo Calendar'!$D$6:$D$400,"All",'Promo Calendar'!$I$6:$I$400,"&lt;="&amp;$A848,'Promo Calendar'!$J$6:$J$400,"&gt;="&amp;$A848,'Promo Calendar'!$G$6:$G$400,"&gt;0"),IFERROR(IF(INDEX('Chain Program'!$M$6:$M$120,MATCH($C848,'Chain Program'!$A$6:$A$120,0))="","Not set",INDEX('Chain Program'!$M$6:$M$120,MATCH($C848,'Chain Program'!$A$6:$A$120,0))),"Not set"))))</f>
        <v/>
      </c>
      <c r="I848" s="61" t="n"/>
      <c r="J848" s="45">
        <f>IF($I848="","",IF(NOT(ISNUMBER($H848)),"No plan price",IF(ABS($I848-$H848)&lt;0.005,"Match",IF($I848&gt;$H848,"Over plan","Under plan"))))</f>
        <v/>
      </c>
      <c r="K848" s="60" t="n"/>
      <c r="L848" s="60" t="n"/>
      <c r="M848" s="60" t="n"/>
      <c r="N848" s="60" t="n"/>
      <c r="O848" s="60" t="n"/>
      <c r="P848" s="62" t="n"/>
      <c r="Q848" s="62" t="n"/>
      <c r="R848" s="60" t="n"/>
      <c r="S848" s="59" t="n"/>
      <c r="T848" s="60" t="n"/>
      <c r="U848" s="59" t="n"/>
      <c r="V848" s="45">
        <f>IF(OR($A848="",$T848="",$T848="No Issue"),"",IF($T848="Resolved",IF($U848="","",$U848-$A848),TODAY()-$A848))</f>
        <v/>
      </c>
      <c r="W848" s="47">
        <f>IF(AND($C848&lt;&gt;"",$C848='Store History'!$C$4,OR('Store History'!$C$5="",$F848='Store History'!$C$5)),1,0)</f>
        <v/>
      </c>
      <c r="X848" s="47">
        <f>IF($W848=1,SUM($W848:$W$1005),"")</f>
        <v/>
      </c>
    </row>
    <row r="849">
      <c r="A849" s="59" t="n"/>
      <c r="B849" s="60" t="n"/>
      <c r="C849" s="60" t="n"/>
      <c r="D849" s="45">
        <f>IF($C849="","",IFERROR(INDEX('Chain Program'!$B$6:$B$120,MATCH($C849,'Chain Program'!$A$6:$A$120,0)),"Unknown ID"))</f>
        <v/>
      </c>
      <c r="E849" s="45">
        <f>IF($C849="","",IFERROR(INDEX('Chain Program'!$D$6:$D$120,MATCH($C849,'Chain Program'!$A$6:$A$120,0)),"Unknown ID"))</f>
        <v/>
      </c>
      <c r="F849" s="60" t="n"/>
      <c r="G849" s="60" t="n"/>
      <c r="H849" s="56">
        <f>IF(OR($C849="",$A849=""),"",IF(COUNTIFS('Promo Calendar'!$A$6:$A$400,$C849,'Promo Calendar'!$D$6:$D$400,IF($G849="","All",$G849),'Promo Calendar'!$I$6:$I$400,"&lt;="&amp;$A849,'Promo Calendar'!$J$6:$J$400,"&gt;="&amp;$A849,'Promo Calendar'!$G$6:$G$400,"&gt;0")&gt;0,_xlfn.MINIFS('Promo Calendar'!$G$6:$G$400,'Promo Calendar'!$A$6:$A$400,$C849,'Promo Calendar'!$D$6:$D$400,IF($G849="","All",$G849),'Promo Calendar'!$I$6:$I$400,"&lt;="&amp;$A849,'Promo Calendar'!$J$6:$J$400,"&gt;="&amp;$A849,'Promo Calendar'!$G$6:$G$400,"&gt;0"),IF(COUNTIFS('Promo Calendar'!$A$6:$A$400,$C849,'Promo Calendar'!$D$6:$D$400,"All",'Promo Calendar'!$I$6:$I$400,"&lt;="&amp;$A849,'Promo Calendar'!$J$6:$J$400,"&gt;="&amp;$A849,'Promo Calendar'!$G$6:$G$400,"&gt;0")&gt;0,_xlfn.MINIFS('Promo Calendar'!$G$6:$G$400,'Promo Calendar'!$A$6:$A$400,$C849,'Promo Calendar'!$D$6:$D$400,"All",'Promo Calendar'!$I$6:$I$400,"&lt;="&amp;$A849,'Promo Calendar'!$J$6:$J$400,"&gt;="&amp;$A849,'Promo Calendar'!$G$6:$G$400,"&gt;0"),IFERROR(IF(INDEX('Chain Program'!$M$6:$M$120,MATCH($C849,'Chain Program'!$A$6:$A$120,0))="","Not set",INDEX('Chain Program'!$M$6:$M$120,MATCH($C849,'Chain Program'!$A$6:$A$120,0))),"Not set"))))</f>
        <v/>
      </c>
      <c r="I849" s="61" t="n"/>
      <c r="J849" s="45">
        <f>IF($I849="","",IF(NOT(ISNUMBER($H849)),"No plan price",IF(ABS($I849-$H849)&lt;0.005,"Match",IF($I849&gt;$H849,"Over plan","Under plan"))))</f>
        <v/>
      </c>
      <c r="K849" s="60" t="n"/>
      <c r="L849" s="60" t="n"/>
      <c r="M849" s="60" t="n"/>
      <c r="N849" s="60" t="n"/>
      <c r="O849" s="60" t="n"/>
      <c r="P849" s="62" t="n"/>
      <c r="Q849" s="62" t="n"/>
      <c r="R849" s="60" t="n"/>
      <c r="S849" s="59" t="n"/>
      <c r="T849" s="60" t="n"/>
      <c r="U849" s="59" t="n"/>
      <c r="V849" s="45">
        <f>IF(OR($A849="",$T849="",$T849="No Issue"),"",IF($T849="Resolved",IF($U849="","",$U849-$A849),TODAY()-$A849))</f>
        <v/>
      </c>
      <c r="W849" s="47">
        <f>IF(AND($C849&lt;&gt;"",$C849='Store History'!$C$4,OR('Store History'!$C$5="",$F849='Store History'!$C$5)),1,0)</f>
        <v/>
      </c>
      <c r="X849" s="47">
        <f>IF($W849=1,SUM($W849:$W$1005),"")</f>
        <v/>
      </c>
    </row>
    <row r="850">
      <c r="A850" s="59" t="n"/>
      <c r="B850" s="60" t="n"/>
      <c r="C850" s="60" t="n"/>
      <c r="D850" s="45">
        <f>IF($C850="","",IFERROR(INDEX('Chain Program'!$B$6:$B$120,MATCH($C850,'Chain Program'!$A$6:$A$120,0)),"Unknown ID"))</f>
        <v/>
      </c>
      <c r="E850" s="45">
        <f>IF($C850="","",IFERROR(INDEX('Chain Program'!$D$6:$D$120,MATCH($C850,'Chain Program'!$A$6:$A$120,0)),"Unknown ID"))</f>
        <v/>
      </c>
      <c r="F850" s="60" t="n"/>
      <c r="G850" s="60" t="n"/>
      <c r="H850" s="56">
        <f>IF(OR($C850="",$A850=""),"",IF(COUNTIFS('Promo Calendar'!$A$6:$A$400,$C850,'Promo Calendar'!$D$6:$D$400,IF($G850="","All",$G850),'Promo Calendar'!$I$6:$I$400,"&lt;="&amp;$A850,'Promo Calendar'!$J$6:$J$400,"&gt;="&amp;$A850,'Promo Calendar'!$G$6:$G$400,"&gt;0")&gt;0,_xlfn.MINIFS('Promo Calendar'!$G$6:$G$400,'Promo Calendar'!$A$6:$A$400,$C850,'Promo Calendar'!$D$6:$D$400,IF($G850="","All",$G850),'Promo Calendar'!$I$6:$I$400,"&lt;="&amp;$A850,'Promo Calendar'!$J$6:$J$400,"&gt;="&amp;$A850,'Promo Calendar'!$G$6:$G$400,"&gt;0"),IF(COUNTIFS('Promo Calendar'!$A$6:$A$400,$C850,'Promo Calendar'!$D$6:$D$400,"All",'Promo Calendar'!$I$6:$I$400,"&lt;="&amp;$A850,'Promo Calendar'!$J$6:$J$400,"&gt;="&amp;$A850,'Promo Calendar'!$G$6:$G$400,"&gt;0")&gt;0,_xlfn.MINIFS('Promo Calendar'!$G$6:$G$400,'Promo Calendar'!$A$6:$A$400,$C850,'Promo Calendar'!$D$6:$D$400,"All",'Promo Calendar'!$I$6:$I$400,"&lt;="&amp;$A850,'Promo Calendar'!$J$6:$J$400,"&gt;="&amp;$A850,'Promo Calendar'!$G$6:$G$400,"&gt;0"),IFERROR(IF(INDEX('Chain Program'!$M$6:$M$120,MATCH($C850,'Chain Program'!$A$6:$A$120,0))="","Not set",INDEX('Chain Program'!$M$6:$M$120,MATCH($C850,'Chain Program'!$A$6:$A$120,0))),"Not set"))))</f>
        <v/>
      </c>
      <c r="I850" s="61" t="n"/>
      <c r="J850" s="45">
        <f>IF($I850="","",IF(NOT(ISNUMBER($H850)),"No plan price",IF(ABS($I850-$H850)&lt;0.005,"Match",IF($I850&gt;$H850,"Over plan","Under plan"))))</f>
        <v/>
      </c>
      <c r="K850" s="60" t="n"/>
      <c r="L850" s="60" t="n"/>
      <c r="M850" s="60" t="n"/>
      <c r="N850" s="60" t="n"/>
      <c r="O850" s="60" t="n"/>
      <c r="P850" s="62" t="n"/>
      <c r="Q850" s="62" t="n"/>
      <c r="R850" s="60" t="n"/>
      <c r="S850" s="59" t="n"/>
      <c r="T850" s="60" t="n"/>
      <c r="U850" s="59" t="n"/>
      <c r="V850" s="45">
        <f>IF(OR($A850="",$T850="",$T850="No Issue"),"",IF($T850="Resolved",IF($U850="","",$U850-$A850),TODAY()-$A850))</f>
        <v/>
      </c>
      <c r="W850" s="47">
        <f>IF(AND($C850&lt;&gt;"",$C850='Store History'!$C$4,OR('Store History'!$C$5="",$F850='Store History'!$C$5)),1,0)</f>
        <v/>
      </c>
      <c r="X850" s="47">
        <f>IF($W850=1,SUM($W850:$W$1005),"")</f>
        <v/>
      </c>
    </row>
    <row r="851">
      <c r="A851" s="59" t="n"/>
      <c r="B851" s="60" t="n"/>
      <c r="C851" s="60" t="n"/>
      <c r="D851" s="45">
        <f>IF($C851="","",IFERROR(INDEX('Chain Program'!$B$6:$B$120,MATCH($C851,'Chain Program'!$A$6:$A$120,0)),"Unknown ID"))</f>
        <v/>
      </c>
      <c r="E851" s="45">
        <f>IF($C851="","",IFERROR(INDEX('Chain Program'!$D$6:$D$120,MATCH($C851,'Chain Program'!$A$6:$A$120,0)),"Unknown ID"))</f>
        <v/>
      </c>
      <c r="F851" s="60" t="n"/>
      <c r="G851" s="60" t="n"/>
      <c r="H851" s="56">
        <f>IF(OR($C851="",$A851=""),"",IF(COUNTIFS('Promo Calendar'!$A$6:$A$400,$C851,'Promo Calendar'!$D$6:$D$400,IF($G851="","All",$G851),'Promo Calendar'!$I$6:$I$400,"&lt;="&amp;$A851,'Promo Calendar'!$J$6:$J$400,"&gt;="&amp;$A851,'Promo Calendar'!$G$6:$G$400,"&gt;0")&gt;0,_xlfn.MINIFS('Promo Calendar'!$G$6:$G$400,'Promo Calendar'!$A$6:$A$400,$C851,'Promo Calendar'!$D$6:$D$400,IF($G851="","All",$G851),'Promo Calendar'!$I$6:$I$400,"&lt;="&amp;$A851,'Promo Calendar'!$J$6:$J$400,"&gt;="&amp;$A851,'Promo Calendar'!$G$6:$G$400,"&gt;0"),IF(COUNTIFS('Promo Calendar'!$A$6:$A$400,$C851,'Promo Calendar'!$D$6:$D$400,"All",'Promo Calendar'!$I$6:$I$400,"&lt;="&amp;$A851,'Promo Calendar'!$J$6:$J$400,"&gt;="&amp;$A851,'Promo Calendar'!$G$6:$G$400,"&gt;0")&gt;0,_xlfn.MINIFS('Promo Calendar'!$G$6:$G$400,'Promo Calendar'!$A$6:$A$400,$C851,'Promo Calendar'!$D$6:$D$400,"All",'Promo Calendar'!$I$6:$I$400,"&lt;="&amp;$A851,'Promo Calendar'!$J$6:$J$400,"&gt;="&amp;$A851,'Promo Calendar'!$G$6:$G$400,"&gt;0"),IFERROR(IF(INDEX('Chain Program'!$M$6:$M$120,MATCH($C851,'Chain Program'!$A$6:$A$120,0))="","Not set",INDEX('Chain Program'!$M$6:$M$120,MATCH($C851,'Chain Program'!$A$6:$A$120,0))),"Not set"))))</f>
        <v/>
      </c>
      <c r="I851" s="61" t="n"/>
      <c r="J851" s="45">
        <f>IF($I851="","",IF(NOT(ISNUMBER($H851)),"No plan price",IF(ABS($I851-$H851)&lt;0.005,"Match",IF($I851&gt;$H851,"Over plan","Under plan"))))</f>
        <v/>
      </c>
      <c r="K851" s="60" t="n"/>
      <c r="L851" s="60" t="n"/>
      <c r="M851" s="60" t="n"/>
      <c r="N851" s="60" t="n"/>
      <c r="O851" s="60" t="n"/>
      <c r="P851" s="62" t="n"/>
      <c r="Q851" s="62" t="n"/>
      <c r="R851" s="60" t="n"/>
      <c r="S851" s="59" t="n"/>
      <c r="T851" s="60" t="n"/>
      <c r="U851" s="59" t="n"/>
      <c r="V851" s="45">
        <f>IF(OR($A851="",$T851="",$T851="No Issue"),"",IF($T851="Resolved",IF($U851="","",$U851-$A851),TODAY()-$A851))</f>
        <v/>
      </c>
      <c r="W851" s="47">
        <f>IF(AND($C851&lt;&gt;"",$C851='Store History'!$C$4,OR('Store History'!$C$5="",$F851='Store History'!$C$5)),1,0)</f>
        <v/>
      </c>
      <c r="X851" s="47">
        <f>IF($W851=1,SUM($W851:$W$1005),"")</f>
        <v/>
      </c>
    </row>
    <row r="852">
      <c r="A852" s="59" t="n"/>
      <c r="B852" s="60" t="n"/>
      <c r="C852" s="60" t="n"/>
      <c r="D852" s="45">
        <f>IF($C852="","",IFERROR(INDEX('Chain Program'!$B$6:$B$120,MATCH($C852,'Chain Program'!$A$6:$A$120,0)),"Unknown ID"))</f>
        <v/>
      </c>
      <c r="E852" s="45">
        <f>IF($C852="","",IFERROR(INDEX('Chain Program'!$D$6:$D$120,MATCH($C852,'Chain Program'!$A$6:$A$120,0)),"Unknown ID"))</f>
        <v/>
      </c>
      <c r="F852" s="60" t="n"/>
      <c r="G852" s="60" t="n"/>
      <c r="H852" s="56">
        <f>IF(OR($C852="",$A852=""),"",IF(COUNTIFS('Promo Calendar'!$A$6:$A$400,$C852,'Promo Calendar'!$D$6:$D$400,IF($G852="","All",$G852),'Promo Calendar'!$I$6:$I$400,"&lt;="&amp;$A852,'Promo Calendar'!$J$6:$J$400,"&gt;="&amp;$A852,'Promo Calendar'!$G$6:$G$400,"&gt;0")&gt;0,_xlfn.MINIFS('Promo Calendar'!$G$6:$G$400,'Promo Calendar'!$A$6:$A$400,$C852,'Promo Calendar'!$D$6:$D$400,IF($G852="","All",$G852),'Promo Calendar'!$I$6:$I$400,"&lt;="&amp;$A852,'Promo Calendar'!$J$6:$J$400,"&gt;="&amp;$A852,'Promo Calendar'!$G$6:$G$400,"&gt;0"),IF(COUNTIFS('Promo Calendar'!$A$6:$A$400,$C852,'Promo Calendar'!$D$6:$D$400,"All",'Promo Calendar'!$I$6:$I$400,"&lt;="&amp;$A852,'Promo Calendar'!$J$6:$J$400,"&gt;="&amp;$A852,'Promo Calendar'!$G$6:$G$400,"&gt;0")&gt;0,_xlfn.MINIFS('Promo Calendar'!$G$6:$G$400,'Promo Calendar'!$A$6:$A$400,$C852,'Promo Calendar'!$D$6:$D$400,"All",'Promo Calendar'!$I$6:$I$400,"&lt;="&amp;$A852,'Promo Calendar'!$J$6:$J$400,"&gt;="&amp;$A852,'Promo Calendar'!$G$6:$G$400,"&gt;0"),IFERROR(IF(INDEX('Chain Program'!$M$6:$M$120,MATCH($C852,'Chain Program'!$A$6:$A$120,0))="","Not set",INDEX('Chain Program'!$M$6:$M$120,MATCH($C852,'Chain Program'!$A$6:$A$120,0))),"Not set"))))</f>
        <v/>
      </c>
      <c r="I852" s="61" t="n"/>
      <c r="J852" s="45">
        <f>IF($I852="","",IF(NOT(ISNUMBER($H852)),"No plan price",IF(ABS($I852-$H852)&lt;0.005,"Match",IF($I852&gt;$H852,"Over plan","Under plan"))))</f>
        <v/>
      </c>
      <c r="K852" s="60" t="n"/>
      <c r="L852" s="60" t="n"/>
      <c r="M852" s="60" t="n"/>
      <c r="N852" s="60" t="n"/>
      <c r="O852" s="60" t="n"/>
      <c r="P852" s="62" t="n"/>
      <c r="Q852" s="62" t="n"/>
      <c r="R852" s="60" t="n"/>
      <c r="S852" s="59" t="n"/>
      <c r="T852" s="60" t="n"/>
      <c r="U852" s="59" t="n"/>
      <c r="V852" s="45">
        <f>IF(OR($A852="",$T852="",$T852="No Issue"),"",IF($T852="Resolved",IF($U852="","",$U852-$A852),TODAY()-$A852))</f>
        <v/>
      </c>
      <c r="W852" s="47">
        <f>IF(AND($C852&lt;&gt;"",$C852='Store History'!$C$4,OR('Store History'!$C$5="",$F852='Store History'!$C$5)),1,0)</f>
        <v/>
      </c>
      <c r="X852" s="47">
        <f>IF($W852=1,SUM($W852:$W$1005),"")</f>
        <v/>
      </c>
    </row>
    <row r="853">
      <c r="A853" s="59" t="n"/>
      <c r="B853" s="60" t="n"/>
      <c r="C853" s="60" t="n"/>
      <c r="D853" s="45">
        <f>IF($C853="","",IFERROR(INDEX('Chain Program'!$B$6:$B$120,MATCH($C853,'Chain Program'!$A$6:$A$120,0)),"Unknown ID"))</f>
        <v/>
      </c>
      <c r="E853" s="45">
        <f>IF($C853="","",IFERROR(INDEX('Chain Program'!$D$6:$D$120,MATCH($C853,'Chain Program'!$A$6:$A$120,0)),"Unknown ID"))</f>
        <v/>
      </c>
      <c r="F853" s="60" t="n"/>
      <c r="G853" s="60" t="n"/>
      <c r="H853" s="56">
        <f>IF(OR($C853="",$A853=""),"",IF(COUNTIFS('Promo Calendar'!$A$6:$A$400,$C853,'Promo Calendar'!$D$6:$D$400,IF($G853="","All",$G853),'Promo Calendar'!$I$6:$I$400,"&lt;="&amp;$A853,'Promo Calendar'!$J$6:$J$400,"&gt;="&amp;$A853,'Promo Calendar'!$G$6:$G$400,"&gt;0")&gt;0,_xlfn.MINIFS('Promo Calendar'!$G$6:$G$400,'Promo Calendar'!$A$6:$A$400,$C853,'Promo Calendar'!$D$6:$D$400,IF($G853="","All",$G853),'Promo Calendar'!$I$6:$I$400,"&lt;="&amp;$A853,'Promo Calendar'!$J$6:$J$400,"&gt;="&amp;$A853,'Promo Calendar'!$G$6:$G$400,"&gt;0"),IF(COUNTIFS('Promo Calendar'!$A$6:$A$400,$C853,'Promo Calendar'!$D$6:$D$400,"All",'Promo Calendar'!$I$6:$I$400,"&lt;="&amp;$A853,'Promo Calendar'!$J$6:$J$400,"&gt;="&amp;$A853,'Promo Calendar'!$G$6:$G$400,"&gt;0")&gt;0,_xlfn.MINIFS('Promo Calendar'!$G$6:$G$400,'Promo Calendar'!$A$6:$A$400,$C853,'Promo Calendar'!$D$6:$D$400,"All",'Promo Calendar'!$I$6:$I$400,"&lt;="&amp;$A853,'Promo Calendar'!$J$6:$J$400,"&gt;="&amp;$A853,'Promo Calendar'!$G$6:$G$400,"&gt;0"),IFERROR(IF(INDEX('Chain Program'!$M$6:$M$120,MATCH($C853,'Chain Program'!$A$6:$A$120,0))="","Not set",INDEX('Chain Program'!$M$6:$M$120,MATCH($C853,'Chain Program'!$A$6:$A$120,0))),"Not set"))))</f>
        <v/>
      </c>
      <c r="I853" s="61" t="n"/>
      <c r="J853" s="45">
        <f>IF($I853="","",IF(NOT(ISNUMBER($H853)),"No plan price",IF(ABS($I853-$H853)&lt;0.005,"Match",IF($I853&gt;$H853,"Over plan","Under plan"))))</f>
        <v/>
      </c>
      <c r="K853" s="60" t="n"/>
      <c r="L853" s="60" t="n"/>
      <c r="M853" s="60" t="n"/>
      <c r="N853" s="60" t="n"/>
      <c r="O853" s="60" t="n"/>
      <c r="P853" s="62" t="n"/>
      <c r="Q853" s="62" t="n"/>
      <c r="R853" s="60" t="n"/>
      <c r="S853" s="59" t="n"/>
      <c r="T853" s="60" t="n"/>
      <c r="U853" s="59" t="n"/>
      <c r="V853" s="45">
        <f>IF(OR($A853="",$T853="",$T853="No Issue"),"",IF($T853="Resolved",IF($U853="","",$U853-$A853),TODAY()-$A853))</f>
        <v/>
      </c>
      <c r="W853" s="47">
        <f>IF(AND($C853&lt;&gt;"",$C853='Store History'!$C$4,OR('Store History'!$C$5="",$F853='Store History'!$C$5)),1,0)</f>
        <v/>
      </c>
      <c r="X853" s="47">
        <f>IF($W853=1,SUM($W853:$W$1005),"")</f>
        <v/>
      </c>
    </row>
    <row r="854">
      <c r="A854" s="59" t="n"/>
      <c r="B854" s="60" t="n"/>
      <c r="C854" s="60" t="n"/>
      <c r="D854" s="45">
        <f>IF($C854="","",IFERROR(INDEX('Chain Program'!$B$6:$B$120,MATCH($C854,'Chain Program'!$A$6:$A$120,0)),"Unknown ID"))</f>
        <v/>
      </c>
      <c r="E854" s="45">
        <f>IF($C854="","",IFERROR(INDEX('Chain Program'!$D$6:$D$120,MATCH($C854,'Chain Program'!$A$6:$A$120,0)),"Unknown ID"))</f>
        <v/>
      </c>
      <c r="F854" s="60" t="n"/>
      <c r="G854" s="60" t="n"/>
      <c r="H854" s="56">
        <f>IF(OR($C854="",$A854=""),"",IF(COUNTIFS('Promo Calendar'!$A$6:$A$400,$C854,'Promo Calendar'!$D$6:$D$400,IF($G854="","All",$G854),'Promo Calendar'!$I$6:$I$400,"&lt;="&amp;$A854,'Promo Calendar'!$J$6:$J$400,"&gt;="&amp;$A854,'Promo Calendar'!$G$6:$G$400,"&gt;0")&gt;0,_xlfn.MINIFS('Promo Calendar'!$G$6:$G$400,'Promo Calendar'!$A$6:$A$400,$C854,'Promo Calendar'!$D$6:$D$400,IF($G854="","All",$G854),'Promo Calendar'!$I$6:$I$400,"&lt;="&amp;$A854,'Promo Calendar'!$J$6:$J$400,"&gt;="&amp;$A854,'Promo Calendar'!$G$6:$G$400,"&gt;0"),IF(COUNTIFS('Promo Calendar'!$A$6:$A$400,$C854,'Promo Calendar'!$D$6:$D$400,"All",'Promo Calendar'!$I$6:$I$400,"&lt;="&amp;$A854,'Promo Calendar'!$J$6:$J$400,"&gt;="&amp;$A854,'Promo Calendar'!$G$6:$G$400,"&gt;0")&gt;0,_xlfn.MINIFS('Promo Calendar'!$G$6:$G$400,'Promo Calendar'!$A$6:$A$400,$C854,'Promo Calendar'!$D$6:$D$400,"All",'Promo Calendar'!$I$6:$I$400,"&lt;="&amp;$A854,'Promo Calendar'!$J$6:$J$400,"&gt;="&amp;$A854,'Promo Calendar'!$G$6:$G$400,"&gt;0"),IFERROR(IF(INDEX('Chain Program'!$M$6:$M$120,MATCH($C854,'Chain Program'!$A$6:$A$120,0))="","Not set",INDEX('Chain Program'!$M$6:$M$120,MATCH($C854,'Chain Program'!$A$6:$A$120,0))),"Not set"))))</f>
        <v/>
      </c>
      <c r="I854" s="61" t="n"/>
      <c r="J854" s="45">
        <f>IF($I854="","",IF(NOT(ISNUMBER($H854)),"No plan price",IF(ABS($I854-$H854)&lt;0.005,"Match",IF($I854&gt;$H854,"Over plan","Under plan"))))</f>
        <v/>
      </c>
      <c r="K854" s="60" t="n"/>
      <c r="L854" s="60" t="n"/>
      <c r="M854" s="60" t="n"/>
      <c r="N854" s="60" t="n"/>
      <c r="O854" s="60" t="n"/>
      <c r="P854" s="62" t="n"/>
      <c r="Q854" s="62" t="n"/>
      <c r="R854" s="60" t="n"/>
      <c r="S854" s="59" t="n"/>
      <c r="T854" s="60" t="n"/>
      <c r="U854" s="59" t="n"/>
      <c r="V854" s="45">
        <f>IF(OR($A854="",$T854="",$T854="No Issue"),"",IF($T854="Resolved",IF($U854="","",$U854-$A854),TODAY()-$A854))</f>
        <v/>
      </c>
      <c r="W854" s="47">
        <f>IF(AND($C854&lt;&gt;"",$C854='Store History'!$C$4,OR('Store History'!$C$5="",$F854='Store History'!$C$5)),1,0)</f>
        <v/>
      </c>
      <c r="X854" s="47">
        <f>IF($W854=1,SUM($W854:$W$1005),"")</f>
        <v/>
      </c>
    </row>
    <row r="855">
      <c r="A855" s="59" t="n"/>
      <c r="B855" s="60" t="n"/>
      <c r="C855" s="60" t="n"/>
      <c r="D855" s="45">
        <f>IF($C855="","",IFERROR(INDEX('Chain Program'!$B$6:$B$120,MATCH($C855,'Chain Program'!$A$6:$A$120,0)),"Unknown ID"))</f>
        <v/>
      </c>
      <c r="E855" s="45">
        <f>IF($C855="","",IFERROR(INDEX('Chain Program'!$D$6:$D$120,MATCH($C855,'Chain Program'!$A$6:$A$120,0)),"Unknown ID"))</f>
        <v/>
      </c>
      <c r="F855" s="60" t="n"/>
      <c r="G855" s="60" t="n"/>
      <c r="H855" s="56">
        <f>IF(OR($C855="",$A855=""),"",IF(COUNTIFS('Promo Calendar'!$A$6:$A$400,$C855,'Promo Calendar'!$D$6:$D$400,IF($G855="","All",$G855),'Promo Calendar'!$I$6:$I$400,"&lt;="&amp;$A855,'Promo Calendar'!$J$6:$J$400,"&gt;="&amp;$A855,'Promo Calendar'!$G$6:$G$400,"&gt;0")&gt;0,_xlfn.MINIFS('Promo Calendar'!$G$6:$G$400,'Promo Calendar'!$A$6:$A$400,$C855,'Promo Calendar'!$D$6:$D$400,IF($G855="","All",$G855),'Promo Calendar'!$I$6:$I$400,"&lt;="&amp;$A855,'Promo Calendar'!$J$6:$J$400,"&gt;="&amp;$A855,'Promo Calendar'!$G$6:$G$400,"&gt;0"),IF(COUNTIFS('Promo Calendar'!$A$6:$A$400,$C855,'Promo Calendar'!$D$6:$D$400,"All",'Promo Calendar'!$I$6:$I$400,"&lt;="&amp;$A855,'Promo Calendar'!$J$6:$J$400,"&gt;="&amp;$A855,'Promo Calendar'!$G$6:$G$400,"&gt;0")&gt;0,_xlfn.MINIFS('Promo Calendar'!$G$6:$G$400,'Promo Calendar'!$A$6:$A$400,$C855,'Promo Calendar'!$D$6:$D$400,"All",'Promo Calendar'!$I$6:$I$400,"&lt;="&amp;$A855,'Promo Calendar'!$J$6:$J$400,"&gt;="&amp;$A855,'Promo Calendar'!$G$6:$G$400,"&gt;0"),IFERROR(IF(INDEX('Chain Program'!$M$6:$M$120,MATCH($C855,'Chain Program'!$A$6:$A$120,0))="","Not set",INDEX('Chain Program'!$M$6:$M$120,MATCH($C855,'Chain Program'!$A$6:$A$120,0))),"Not set"))))</f>
        <v/>
      </c>
      <c r="I855" s="61" t="n"/>
      <c r="J855" s="45">
        <f>IF($I855="","",IF(NOT(ISNUMBER($H855)),"No plan price",IF(ABS($I855-$H855)&lt;0.005,"Match",IF($I855&gt;$H855,"Over plan","Under plan"))))</f>
        <v/>
      </c>
      <c r="K855" s="60" t="n"/>
      <c r="L855" s="60" t="n"/>
      <c r="M855" s="60" t="n"/>
      <c r="N855" s="60" t="n"/>
      <c r="O855" s="60" t="n"/>
      <c r="P855" s="62" t="n"/>
      <c r="Q855" s="62" t="n"/>
      <c r="R855" s="60" t="n"/>
      <c r="S855" s="59" t="n"/>
      <c r="T855" s="60" t="n"/>
      <c r="U855" s="59" t="n"/>
      <c r="V855" s="45">
        <f>IF(OR($A855="",$T855="",$T855="No Issue"),"",IF($T855="Resolved",IF($U855="","",$U855-$A855),TODAY()-$A855))</f>
        <v/>
      </c>
      <c r="W855" s="47">
        <f>IF(AND($C855&lt;&gt;"",$C855='Store History'!$C$4,OR('Store History'!$C$5="",$F855='Store History'!$C$5)),1,0)</f>
        <v/>
      </c>
      <c r="X855" s="47">
        <f>IF($W855=1,SUM($W855:$W$1005),"")</f>
        <v/>
      </c>
    </row>
    <row r="856">
      <c r="A856" s="59" t="n"/>
      <c r="B856" s="60" t="n"/>
      <c r="C856" s="60" t="n"/>
      <c r="D856" s="45">
        <f>IF($C856="","",IFERROR(INDEX('Chain Program'!$B$6:$B$120,MATCH($C856,'Chain Program'!$A$6:$A$120,0)),"Unknown ID"))</f>
        <v/>
      </c>
      <c r="E856" s="45">
        <f>IF($C856="","",IFERROR(INDEX('Chain Program'!$D$6:$D$120,MATCH($C856,'Chain Program'!$A$6:$A$120,0)),"Unknown ID"))</f>
        <v/>
      </c>
      <c r="F856" s="60" t="n"/>
      <c r="G856" s="60" t="n"/>
      <c r="H856" s="56">
        <f>IF(OR($C856="",$A856=""),"",IF(COUNTIFS('Promo Calendar'!$A$6:$A$400,$C856,'Promo Calendar'!$D$6:$D$400,IF($G856="","All",$G856),'Promo Calendar'!$I$6:$I$400,"&lt;="&amp;$A856,'Promo Calendar'!$J$6:$J$400,"&gt;="&amp;$A856,'Promo Calendar'!$G$6:$G$400,"&gt;0")&gt;0,_xlfn.MINIFS('Promo Calendar'!$G$6:$G$400,'Promo Calendar'!$A$6:$A$400,$C856,'Promo Calendar'!$D$6:$D$400,IF($G856="","All",$G856),'Promo Calendar'!$I$6:$I$400,"&lt;="&amp;$A856,'Promo Calendar'!$J$6:$J$400,"&gt;="&amp;$A856,'Promo Calendar'!$G$6:$G$400,"&gt;0"),IF(COUNTIFS('Promo Calendar'!$A$6:$A$400,$C856,'Promo Calendar'!$D$6:$D$400,"All",'Promo Calendar'!$I$6:$I$400,"&lt;="&amp;$A856,'Promo Calendar'!$J$6:$J$400,"&gt;="&amp;$A856,'Promo Calendar'!$G$6:$G$400,"&gt;0")&gt;0,_xlfn.MINIFS('Promo Calendar'!$G$6:$G$400,'Promo Calendar'!$A$6:$A$400,$C856,'Promo Calendar'!$D$6:$D$400,"All",'Promo Calendar'!$I$6:$I$400,"&lt;="&amp;$A856,'Promo Calendar'!$J$6:$J$400,"&gt;="&amp;$A856,'Promo Calendar'!$G$6:$G$400,"&gt;0"),IFERROR(IF(INDEX('Chain Program'!$M$6:$M$120,MATCH($C856,'Chain Program'!$A$6:$A$120,0))="","Not set",INDEX('Chain Program'!$M$6:$M$120,MATCH($C856,'Chain Program'!$A$6:$A$120,0))),"Not set"))))</f>
        <v/>
      </c>
      <c r="I856" s="61" t="n"/>
      <c r="J856" s="45">
        <f>IF($I856="","",IF(NOT(ISNUMBER($H856)),"No plan price",IF(ABS($I856-$H856)&lt;0.005,"Match",IF($I856&gt;$H856,"Over plan","Under plan"))))</f>
        <v/>
      </c>
      <c r="K856" s="60" t="n"/>
      <c r="L856" s="60" t="n"/>
      <c r="M856" s="60" t="n"/>
      <c r="N856" s="60" t="n"/>
      <c r="O856" s="60" t="n"/>
      <c r="P856" s="62" t="n"/>
      <c r="Q856" s="62" t="n"/>
      <c r="R856" s="60" t="n"/>
      <c r="S856" s="59" t="n"/>
      <c r="T856" s="60" t="n"/>
      <c r="U856" s="59" t="n"/>
      <c r="V856" s="45">
        <f>IF(OR($A856="",$T856="",$T856="No Issue"),"",IF($T856="Resolved",IF($U856="","",$U856-$A856),TODAY()-$A856))</f>
        <v/>
      </c>
      <c r="W856" s="47">
        <f>IF(AND($C856&lt;&gt;"",$C856='Store History'!$C$4,OR('Store History'!$C$5="",$F856='Store History'!$C$5)),1,0)</f>
        <v/>
      </c>
      <c r="X856" s="47">
        <f>IF($W856=1,SUM($W856:$W$1005),"")</f>
        <v/>
      </c>
    </row>
    <row r="857">
      <c r="A857" s="59" t="n"/>
      <c r="B857" s="60" t="n"/>
      <c r="C857" s="60" t="n"/>
      <c r="D857" s="45">
        <f>IF($C857="","",IFERROR(INDEX('Chain Program'!$B$6:$B$120,MATCH($C857,'Chain Program'!$A$6:$A$120,0)),"Unknown ID"))</f>
        <v/>
      </c>
      <c r="E857" s="45">
        <f>IF($C857="","",IFERROR(INDEX('Chain Program'!$D$6:$D$120,MATCH($C857,'Chain Program'!$A$6:$A$120,0)),"Unknown ID"))</f>
        <v/>
      </c>
      <c r="F857" s="60" t="n"/>
      <c r="G857" s="60" t="n"/>
      <c r="H857" s="56">
        <f>IF(OR($C857="",$A857=""),"",IF(COUNTIFS('Promo Calendar'!$A$6:$A$400,$C857,'Promo Calendar'!$D$6:$D$400,IF($G857="","All",$G857),'Promo Calendar'!$I$6:$I$400,"&lt;="&amp;$A857,'Promo Calendar'!$J$6:$J$400,"&gt;="&amp;$A857,'Promo Calendar'!$G$6:$G$400,"&gt;0")&gt;0,_xlfn.MINIFS('Promo Calendar'!$G$6:$G$400,'Promo Calendar'!$A$6:$A$400,$C857,'Promo Calendar'!$D$6:$D$400,IF($G857="","All",$G857),'Promo Calendar'!$I$6:$I$400,"&lt;="&amp;$A857,'Promo Calendar'!$J$6:$J$400,"&gt;="&amp;$A857,'Promo Calendar'!$G$6:$G$400,"&gt;0"),IF(COUNTIFS('Promo Calendar'!$A$6:$A$400,$C857,'Promo Calendar'!$D$6:$D$400,"All",'Promo Calendar'!$I$6:$I$400,"&lt;="&amp;$A857,'Promo Calendar'!$J$6:$J$400,"&gt;="&amp;$A857,'Promo Calendar'!$G$6:$G$400,"&gt;0")&gt;0,_xlfn.MINIFS('Promo Calendar'!$G$6:$G$400,'Promo Calendar'!$A$6:$A$400,$C857,'Promo Calendar'!$D$6:$D$400,"All",'Promo Calendar'!$I$6:$I$400,"&lt;="&amp;$A857,'Promo Calendar'!$J$6:$J$400,"&gt;="&amp;$A857,'Promo Calendar'!$G$6:$G$400,"&gt;0"),IFERROR(IF(INDEX('Chain Program'!$M$6:$M$120,MATCH($C857,'Chain Program'!$A$6:$A$120,0))="","Not set",INDEX('Chain Program'!$M$6:$M$120,MATCH($C857,'Chain Program'!$A$6:$A$120,0))),"Not set"))))</f>
        <v/>
      </c>
      <c r="I857" s="61" t="n"/>
      <c r="J857" s="45">
        <f>IF($I857="","",IF(NOT(ISNUMBER($H857)),"No plan price",IF(ABS($I857-$H857)&lt;0.005,"Match",IF($I857&gt;$H857,"Over plan","Under plan"))))</f>
        <v/>
      </c>
      <c r="K857" s="60" t="n"/>
      <c r="L857" s="60" t="n"/>
      <c r="M857" s="60" t="n"/>
      <c r="N857" s="60" t="n"/>
      <c r="O857" s="60" t="n"/>
      <c r="P857" s="62" t="n"/>
      <c r="Q857" s="62" t="n"/>
      <c r="R857" s="60" t="n"/>
      <c r="S857" s="59" t="n"/>
      <c r="T857" s="60" t="n"/>
      <c r="U857" s="59" t="n"/>
      <c r="V857" s="45">
        <f>IF(OR($A857="",$T857="",$T857="No Issue"),"",IF($T857="Resolved",IF($U857="","",$U857-$A857),TODAY()-$A857))</f>
        <v/>
      </c>
      <c r="W857" s="47">
        <f>IF(AND($C857&lt;&gt;"",$C857='Store History'!$C$4,OR('Store History'!$C$5="",$F857='Store History'!$C$5)),1,0)</f>
        <v/>
      </c>
      <c r="X857" s="47">
        <f>IF($W857=1,SUM($W857:$W$1005),"")</f>
        <v/>
      </c>
    </row>
    <row r="858">
      <c r="A858" s="59" t="n"/>
      <c r="B858" s="60" t="n"/>
      <c r="C858" s="60" t="n"/>
      <c r="D858" s="45">
        <f>IF($C858="","",IFERROR(INDEX('Chain Program'!$B$6:$B$120,MATCH($C858,'Chain Program'!$A$6:$A$120,0)),"Unknown ID"))</f>
        <v/>
      </c>
      <c r="E858" s="45">
        <f>IF($C858="","",IFERROR(INDEX('Chain Program'!$D$6:$D$120,MATCH($C858,'Chain Program'!$A$6:$A$120,0)),"Unknown ID"))</f>
        <v/>
      </c>
      <c r="F858" s="60" t="n"/>
      <c r="G858" s="60" t="n"/>
      <c r="H858" s="56">
        <f>IF(OR($C858="",$A858=""),"",IF(COUNTIFS('Promo Calendar'!$A$6:$A$400,$C858,'Promo Calendar'!$D$6:$D$400,IF($G858="","All",$G858),'Promo Calendar'!$I$6:$I$400,"&lt;="&amp;$A858,'Promo Calendar'!$J$6:$J$400,"&gt;="&amp;$A858,'Promo Calendar'!$G$6:$G$400,"&gt;0")&gt;0,_xlfn.MINIFS('Promo Calendar'!$G$6:$G$400,'Promo Calendar'!$A$6:$A$400,$C858,'Promo Calendar'!$D$6:$D$400,IF($G858="","All",$G858),'Promo Calendar'!$I$6:$I$400,"&lt;="&amp;$A858,'Promo Calendar'!$J$6:$J$400,"&gt;="&amp;$A858,'Promo Calendar'!$G$6:$G$400,"&gt;0"),IF(COUNTIFS('Promo Calendar'!$A$6:$A$400,$C858,'Promo Calendar'!$D$6:$D$400,"All",'Promo Calendar'!$I$6:$I$400,"&lt;="&amp;$A858,'Promo Calendar'!$J$6:$J$400,"&gt;="&amp;$A858,'Promo Calendar'!$G$6:$G$400,"&gt;0")&gt;0,_xlfn.MINIFS('Promo Calendar'!$G$6:$G$400,'Promo Calendar'!$A$6:$A$400,$C858,'Promo Calendar'!$D$6:$D$400,"All",'Promo Calendar'!$I$6:$I$400,"&lt;="&amp;$A858,'Promo Calendar'!$J$6:$J$400,"&gt;="&amp;$A858,'Promo Calendar'!$G$6:$G$400,"&gt;0"),IFERROR(IF(INDEX('Chain Program'!$M$6:$M$120,MATCH($C858,'Chain Program'!$A$6:$A$120,0))="","Not set",INDEX('Chain Program'!$M$6:$M$120,MATCH($C858,'Chain Program'!$A$6:$A$120,0))),"Not set"))))</f>
        <v/>
      </c>
      <c r="I858" s="61" t="n"/>
      <c r="J858" s="45">
        <f>IF($I858="","",IF(NOT(ISNUMBER($H858)),"No plan price",IF(ABS($I858-$H858)&lt;0.005,"Match",IF($I858&gt;$H858,"Over plan","Under plan"))))</f>
        <v/>
      </c>
      <c r="K858" s="60" t="n"/>
      <c r="L858" s="60" t="n"/>
      <c r="M858" s="60" t="n"/>
      <c r="N858" s="60" t="n"/>
      <c r="O858" s="60" t="n"/>
      <c r="P858" s="62" t="n"/>
      <c r="Q858" s="62" t="n"/>
      <c r="R858" s="60" t="n"/>
      <c r="S858" s="59" t="n"/>
      <c r="T858" s="60" t="n"/>
      <c r="U858" s="59" t="n"/>
      <c r="V858" s="45">
        <f>IF(OR($A858="",$T858="",$T858="No Issue"),"",IF($T858="Resolved",IF($U858="","",$U858-$A858),TODAY()-$A858))</f>
        <v/>
      </c>
      <c r="W858" s="47">
        <f>IF(AND($C858&lt;&gt;"",$C858='Store History'!$C$4,OR('Store History'!$C$5="",$F858='Store History'!$C$5)),1,0)</f>
        <v/>
      </c>
      <c r="X858" s="47">
        <f>IF($W858=1,SUM($W858:$W$1005),"")</f>
        <v/>
      </c>
    </row>
    <row r="859">
      <c r="A859" s="59" t="n"/>
      <c r="B859" s="60" t="n"/>
      <c r="C859" s="60" t="n"/>
      <c r="D859" s="45">
        <f>IF($C859="","",IFERROR(INDEX('Chain Program'!$B$6:$B$120,MATCH($C859,'Chain Program'!$A$6:$A$120,0)),"Unknown ID"))</f>
        <v/>
      </c>
      <c r="E859" s="45">
        <f>IF($C859="","",IFERROR(INDEX('Chain Program'!$D$6:$D$120,MATCH($C859,'Chain Program'!$A$6:$A$120,0)),"Unknown ID"))</f>
        <v/>
      </c>
      <c r="F859" s="60" t="n"/>
      <c r="G859" s="60" t="n"/>
      <c r="H859" s="56">
        <f>IF(OR($C859="",$A859=""),"",IF(COUNTIFS('Promo Calendar'!$A$6:$A$400,$C859,'Promo Calendar'!$D$6:$D$400,IF($G859="","All",$G859),'Promo Calendar'!$I$6:$I$400,"&lt;="&amp;$A859,'Promo Calendar'!$J$6:$J$400,"&gt;="&amp;$A859,'Promo Calendar'!$G$6:$G$400,"&gt;0")&gt;0,_xlfn.MINIFS('Promo Calendar'!$G$6:$G$400,'Promo Calendar'!$A$6:$A$400,$C859,'Promo Calendar'!$D$6:$D$400,IF($G859="","All",$G859),'Promo Calendar'!$I$6:$I$400,"&lt;="&amp;$A859,'Promo Calendar'!$J$6:$J$400,"&gt;="&amp;$A859,'Promo Calendar'!$G$6:$G$400,"&gt;0"),IF(COUNTIFS('Promo Calendar'!$A$6:$A$400,$C859,'Promo Calendar'!$D$6:$D$400,"All",'Promo Calendar'!$I$6:$I$400,"&lt;="&amp;$A859,'Promo Calendar'!$J$6:$J$400,"&gt;="&amp;$A859,'Promo Calendar'!$G$6:$G$400,"&gt;0")&gt;0,_xlfn.MINIFS('Promo Calendar'!$G$6:$G$400,'Promo Calendar'!$A$6:$A$400,$C859,'Promo Calendar'!$D$6:$D$400,"All",'Promo Calendar'!$I$6:$I$400,"&lt;="&amp;$A859,'Promo Calendar'!$J$6:$J$400,"&gt;="&amp;$A859,'Promo Calendar'!$G$6:$G$400,"&gt;0"),IFERROR(IF(INDEX('Chain Program'!$M$6:$M$120,MATCH($C859,'Chain Program'!$A$6:$A$120,0))="","Not set",INDEX('Chain Program'!$M$6:$M$120,MATCH($C859,'Chain Program'!$A$6:$A$120,0))),"Not set"))))</f>
        <v/>
      </c>
      <c r="I859" s="61" t="n"/>
      <c r="J859" s="45">
        <f>IF($I859="","",IF(NOT(ISNUMBER($H859)),"No plan price",IF(ABS($I859-$H859)&lt;0.005,"Match",IF($I859&gt;$H859,"Over plan","Under plan"))))</f>
        <v/>
      </c>
      <c r="K859" s="60" t="n"/>
      <c r="L859" s="60" t="n"/>
      <c r="M859" s="60" t="n"/>
      <c r="N859" s="60" t="n"/>
      <c r="O859" s="60" t="n"/>
      <c r="P859" s="62" t="n"/>
      <c r="Q859" s="62" t="n"/>
      <c r="R859" s="60" t="n"/>
      <c r="S859" s="59" t="n"/>
      <c r="T859" s="60" t="n"/>
      <c r="U859" s="59" t="n"/>
      <c r="V859" s="45">
        <f>IF(OR($A859="",$T859="",$T859="No Issue"),"",IF($T859="Resolved",IF($U859="","",$U859-$A859),TODAY()-$A859))</f>
        <v/>
      </c>
      <c r="W859" s="47">
        <f>IF(AND($C859&lt;&gt;"",$C859='Store History'!$C$4,OR('Store History'!$C$5="",$F859='Store History'!$C$5)),1,0)</f>
        <v/>
      </c>
      <c r="X859" s="47">
        <f>IF($W859=1,SUM($W859:$W$1005),"")</f>
        <v/>
      </c>
    </row>
    <row r="860">
      <c r="A860" s="59" t="n"/>
      <c r="B860" s="60" t="n"/>
      <c r="C860" s="60" t="n"/>
      <c r="D860" s="45">
        <f>IF($C860="","",IFERROR(INDEX('Chain Program'!$B$6:$B$120,MATCH($C860,'Chain Program'!$A$6:$A$120,0)),"Unknown ID"))</f>
        <v/>
      </c>
      <c r="E860" s="45">
        <f>IF($C860="","",IFERROR(INDEX('Chain Program'!$D$6:$D$120,MATCH($C860,'Chain Program'!$A$6:$A$120,0)),"Unknown ID"))</f>
        <v/>
      </c>
      <c r="F860" s="60" t="n"/>
      <c r="G860" s="60" t="n"/>
      <c r="H860" s="56">
        <f>IF(OR($C860="",$A860=""),"",IF(COUNTIFS('Promo Calendar'!$A$6:$A$400,$C860,'Promo Calendar'!$D$6:$D$400,IF($G860="","All",$G860),'Promo Calendar'!$I$6:$I$400,"&lt;="&amp;$A860,'Promo Calendar'!$J$6:$J$400,"&gt;="&amp;$A860,'Promo Calendar'!$G$6:$G$400,"&gt;0")&gt;0,_xlfn.MINIFS('Promo Calendar'!$G$6:$G$400,'Promo Calendar'!$A$6:$A$400,$C860,'Promo Calendar'!$D$6:$D$400,IF($G860="","All",$G860),'Promo Calendar'!$I$6:$I$400,"&lt;="&amp;$A860,'Promo Calendar'!$J$6:$J$400,"&gt;="&amp;$A860,'Promo Calendar'!$G$6:$G$400,"&gt;0"),IF(COUNTIFS('Promo Calendar'!$A$6:$A$400,$C860,'Promo Calendar'!$D$6:$D$400,"All",'Promo Calendar'!$I$6:$I$400,"&lt;="&amp;$A860,'Promo Calendar'!$J$6:$J$400,"&gt;="&amp;$A860,'Promo Calendar'!$G$6:$G$400,"&gt;0")&gt;0,_xlfn.MINIFS('Promo Calendar'!$G$6:$G$400,'Promo Calendar'!$A$6:$A$400,$C860,'Promo Calendar'!$D$6:$D$400,"All",'Promo Calendar'!$I$6:$I$400,"&lt;="&amp;$A860,'Promo Calendar'!$J$6:$J$400,"&gt;="&amp;$A860,'Promo Calendar'!$G$6:$G$400,"&gt;0"),IFERROR(IF(INDEX('Chain Program'!$M$6:$M$120,MATCH($C860,'Chain Program'!$A$6:$A$120,0))="","Not set",INDEX('Chain Program'!$M$6:$M$120,MATCH($C860,'Chain Program'!$A$6:$A$120,0))),"Not set"))))</f>
        <v/>
      </c>
      <c r="I860" s="61" t="n"/>
      <c r="J860" s="45">
        <f>IF($I860="","",IF(NOT(ISNUMBER($H860)),"No plan price",IF(ABS($I860-$H860)&lt;0.005,"Match",IF($I860&gt;$H860,"Over plan","Under plan"))))</f>
        <v/>
      </c>
      <c r="K860" s="60" t="n"/>
      <c r="L860" s="60" t="n"/>
      <c r="M860" s="60" t="n"/>
      <c r="N860" s="60" t="n"/>
      <c r="O860" s="60" t="n"/>
      <c r="P860" s="62" t="n"/>
      <c r="Q860" s="62" t="n"/>
      <c r="R860" s="60" t="n"/>
      <c r="S860" s="59" t="n"/>
      <c r="T860" s="60" t="n"/>
      <c r="U860" s="59" t="n"/>
      <c r="V860" s="45">
        <f>IF(OR($A860="",$T860="",$T860="No Issue"),"",IF($T860="Resolved",IF($U860="","",$U860-$A860),TODAY()-$A860))</f>
        <v/>
      </c>
      <c r="W860" s="47">
        <f>IF(AND($C860&lt;&gt;"",$C860='Store History'!$C$4,OR('Store History'!$C$5="",$F860='Store History'!$C$5)),1,0)</f>
        <v/>
      </c>
      <c r="X860" s="47">
        <f>IF($W860=1,SUM($W860:$W$1005),"")</f>
        <v/>
      </c>
    </row>
    <row r="861">
      <c r="A861" s="59" t="n"/>
      <c r="B861" s="60" t="n"/>
      <c r="C861" s="60" t="n"/>
      <c r="D861" s="45">
        <f>IF($C861="","",IFERROR(INDEX('Chain Program'!$B$6:$B$120,MATCH($C861,'Chain Program'!$A$6:$A$120,0)),"Unknown ID"))</f>
        <v/>
      </c>
      <c r="E861" s="45">
        <f>IF($C861="","",IFERROR(INDEX('Chain Program'!$D$6:$D$120,MATCH($C861,'Chain Program'!$A$6:$A$120,0)),"Unknown ID"))</f>
        <v/>
      </c>
      <c r="F861" s="60" t="n"/>
      <c r="G861" s="60" t="n"/>
      <c r="H861" s="56">
        <f>IF(OR($C861="",$A861=""),"",IF(COUNTIFS('Promo Calendar'!$A$6:$A$400,$C861,'Promo Calendar'!$D$6:$D$400,IF($G861="","All",$G861),'Promo Calendar'!$I$6:$I$400,"&lt;="&amp;$A861,'Promo Calendar'!$J$6:$J$400,"&gt;="&amp;$A861,'Promo Calendar'!$G$6:$G$400,"&gt;0")&gt;0,_xlfn.MINIFS('Promo Calendar'!$G$6:$G$400,'Promo Calendar'!$A$6:$A$400,$C861,'Promo Calendar'!$D$6:$D$400,IF($G861="","All",$G861),'Promo Calendar'!$I$6:$I$400,"&lt;="&amp;$A861,'Promo Calendar'!$J$6:$J$400,"&gt;="&amp;$A861,'Promo Calendar'!$G$6:$G$400,"&gt;0"),IF(COUNTIFS('Promo Calendar'!$A$6:$A$400,$C861,'Promo Calendar'!$D$6:$D$400,"All",'Promo Calendar'!$I$6:$I$400,"&lt;="&amp;$A861,'Promo Calendar'!$J$6:$J$400,"&gt;="&amp;$A861,'Promo Calendar'!$G$6:$G$400,"&gt;0")&gt;0,_xlfn.MINIFS('Promo Calendar'!$G$6:$G$400,'Promo Calendar'!$A$6:$A$400,$C861,'Promo Calendar'!$D$6:$D$400,"All",'Promo Calendar'!$I$6:$I$400,"&lt;="&amp;$A861,'Promo Calendar'!$J$6:$J$400,"&gt;="&amp;$A861,'Promo Calendar'!$G$6:$G$400,"&gt;0"),IFERROR(IF(INDEX('Chain Program'!$M$6:$M$120,MATCH($C861,'Chain Program'!$A$6:$A$120,0))="","Not set",INDEX('Chain Program'!$M$6:$M$120,MATCH($C861,'Chain Program'!$A$6:$A$120,0))),"Not set"))))</f>
        <v/>
      </c>
      <c r="I861" s="61" t="n"/>
      <c r="J861" s="45">
        <f>IF($I861="","",IF(NOT(ISNUMBER($H861)),"No plan price",IF(ABS($I861-$H861)&lt;0.005,"Match",IF($I861&gt;$H861,"Over plan","Under plan"))))</f>
        <v/>
      </c>
      <c r="K861" s="60" t="n"/>
      <c r="L861" s="60" t="n"/>
      <c r="M861" s="60" t="n"/>
      <c r="N861" s="60" t="n"/>
      <c r="O861" s="60" t="n"/>
      <c r="P861" s="62" t="n"/>
      <c r="Q861" s="62" t="n"/>
      <c r="R861" s="60" t="n"/>
      <c r="S861" s="59" t="n"/>
      <c r="T861" s="60" t="n"/>
      <c r="U861" s="59" t="n"/>
      <c r="V861" s="45">
        <f>IF(OR($A861="",$T861="",$T861="No Issue"),"",IF($T861="Resolved",IF($U861="","",$U861-$A861),TODAY()-$A861))</f>
        <v/>
      </c>
      <c r="W861" s="47">
        <f>IF(AND($C861&lt;&gt;"",$C861='Store History'!$C$4,OR('Store History'!$C$5="",$F861='Store History'!$C$5)),1,0)</f>
        <v/>
      </c>
      <c r="X861" s="47">
        <f>IF($W861=1,SUM($W861:$W$1005),"")</f>
        <v/>
      </c>
    </row>
    <row r="862">
      <c r="A862" s="59" t="n"/>
      <c r="B862" s="60" t="n"/>
      <c r="C862" s="60" t="n"/>
      <c r="D862" s="45">
        <f>IF($C862="","",IFERROR(INDEX('Chain Program'!$B$6:$B$120,MATCH($C862,'Chain Program'!$A$6:$A$120,0)),"Unknown ID"))</f>
        <v/>
      </c>
      <c r="E862" s="45">
        <f>IF($C862="","",IFERROR(INDEX('Chain Program'!$D$6:$D$120,MATCH($C862,'Chain Program'!$A$6:$A$120,0)),"Unknown ID"))</f>
        <v/>
      </c>
      <c r="F862" s="60" t="n"/>
      <c r="G862" s="60" t="n"/>
      <c r="H862" s="56">
        <f>IF(OR($C862="",$A862=""),"",IF(COUNTIFS('Promo Calendar'!$A$6:$A$400,$C862,'Promo Calendar'!$D$6:$D$400,IF($G862="","All",$G862),'Promo Calendar'!$I$6:$I$400,"&lt;="&amp;$A862,'Promo Calendar'!$J$6:$J$400,"&gt;="&amp;$A862,'Promo Calendar'!$G$6:$G$400,"&gt;0")&gt;0,_xlfn.MINIFS('Promo Calendar'!$G$6:$G$400,'Promo Calendar'!$A$6:$A$400,$C862,'Promo Calendar'!$D$6:$D$400,IF($G862="","All",$G862),'Promo Calendar'!$I$6:$I$400,"&lt;="&amp;$A862,'Promo Calendar'!$J$6:$J$400,"&gt;="&amp;$A862,'Promo Calendar'!$G$6:$G$400,"&gt;0"),IF(COUNTIFS('Promo Calendar'!$A$6:$A$400,$C862,'Promo Calendar'!$D$6:$D$400,"All",'Promo Calendar'!$I$6:$I$400,"&lt;="&amp;$A862,'Promo Calendar'!$J$6:$J$400,"&gt;="&amp;$A862,'Promo Calendar'!$G$6:$G$400,"&gt;0")&gt;0,_xlfn.MINIFS('Promo Calendar'!$G$6:$G$400,'Promo Calendar'!$A$6:$A$400,$C862,'Promo Calendar'!$D$6:$D$400,"All",'Promo Calendar'!$I$6:$I$400,"&lt;="&amp;$A862,'Promo Calendar'!$J$6:$J$400,"&gt;="&amp;$A862,'Promo Calendar'!$G$6:$G$400,"&gt;0"),IFERROR(IF(INDEX('Chain Program'!$M$6:$M$120,MATCH($C862,'Chain Program'!$A$6:$A$120,0))="","Not set",INDEX('Chain Program'!$M$6:$M$120,MATCH($C862,'Chain Program'!$A$6:$A$120,0))),"Not set"))))</f>
        <v/>
      </c>
      <c r="I862" s="61" t="n"/>
      <c r="J862" s="45">
        <f>IF($I862="","",IF(NOT(ISNUMBER($H862)),"No plan price",IF(ABS($I862-$H862)&lt;0.005,"Match",IF($I862&gt;$H862,"Over plan","Under plan"))))</f>
        <v/>
      </c>
      <c r="K862" s="60" t="n"/>
      <c r="L862" s="60" t="n"/>
      <c r="M862" s="60" t="n"/>
      <c r="N862" s="60" t="n"/>
      <c r="O862" s="60" t="n"/>
      <c r="P862" s="62" t="n"/>
      <c r="Q862" s="62" t="n"/>
      <c r="R862" s="60" t="n"/>
      <c r="S862" s="59" t="n"/>
      <c r="T862" s="60" t="n"/>
      <c r="U862" s="59" t="n"/>
      <c r="V862" s="45">
        <f>IF(OR($A862="",$T862="",$T862="No Issue"),"",IF($T862="Resolved",IF($U862="","",$U862-$A862),TODAY()-$A862))</f>
        <v/>
      </c>
      <c r="W862" s="47">
        <f>IF(AND($C862&lt;&gt;"",$C862='Store History'!$C$4,OR('Store History'!$C$5="",$F862='Store History'!$C$5)),1,0)</f>
        <v/>
      </c>
      <c r="X862" s="47">
        <f>IF($W862=1,SUM($W862:$W$1005),"")</f>
        <v/>
      </c>
    </row>
    <row r="863">
      <c r="A863" s="59" t="n"/>
      <c r="B863" s="60" t="n"/>
      <c r="C863" s="60" t="n"/>
      <c r="D863" s="45">
        <f>IF($C863="","",IFERROR(INDEX('Chain Program'!$B$6:$B$120,MATCH($C863,'Chain Program'!$A$6:$A$120,0)),"Unknown ID"))</f>
        <v/>
      </c>
      <c r="E863" s="45">
        <f>IF($C863="","",IFERROR(INDEX('Chain Program'!$D$6:$D$120,MATCH($C863,'Chain Program'!$A$6:$A$120,0)),"Unknown ID"))</f>
        <v/>
      </c>
      <c r="F863" s="60" t="n"/>
      <c r="G863" s="60" t="n"/>
      <c r="H863" s="56">
        <f>IF(OR($C863="",$A863=""),"",IF(COUNTIFS('Promo Calendar'!$A$6:$A$400,$C863,'Promo Calendar'!$D$6:$D$400,IF($G863="","All",$G863),'Promo Calendar'!$I$6:$I$400,"&lt;="&amp;$A863,'Promo Calendar'!$J$6:$J$400,"&gt;="&amp;$A863,'Promo Calendar'!$G$6:$G$400,"&gt;0")&gt;0,_xlfn.MINIFS('Promo Calendar'!$G$6:$G$400,'Promo Calendar'!$A$6:$A$400,$C863,'Promo Calendar'!$D$6:$D$400,IF($G863="","All",$G863),'Promo Calendar'!$I$6:$I$400,"&lt;="&amp;$A863,'Promo Calendar'!$J$6:$J$400,"&gt;="&amp;$A863,'Promo Calendar'!$G$6:$G$400,"&gt;0"),IF(COUNTIFS('Promo Calendar'!$A$6:$A$400,$C863,'Promo Calendar'!$D$6:$D$400,"All",'Promo Calendar'!$I$6:$I$400,"&lt;="&amp;$A863,'Promo Calendar'!$J$6:$J$400,"&gt;="&amp;$A863,'Promo Calendar'!$G$6:$G$400,"&gt;0")&gt;0,_xlfn.MINIFS('Promo Calendar'!$G$6:$G$400,'Promo Calendar'!$A$6:$A$400,$C863,'Promo Calendar'!$D$6:$D$400,"All",'Promo Calendar'!$I$6:$I$400,"&lt;="&amp;$A863,'Promo Calendar'!$J$6:$J$400,"&gt;="&amp;$A863,'Promo Calendar'!$G$6:$G$400,"&gt;0"),IFERROR(IF(INDEX('Chain Program'!$M$6:$M$120,MATCH($C863,'Chain Program'!$A$6:$A$120,0))="","Not set",INDEX('Chain Program'!$M$6:$M$120,MATCH($C863,'Chain Program'!$A$6:$A$120,0))),"Not set"))))</f>
        <v/>
      </c>
      <c r="I863" s="61" t="n"/>
      <c r="J863" s="45">
        <f>IF($I863="","",IF(NOT(ISNUMBER($H863)),"No plan price",IF(ABS($I863-$H863)&lt;0.005,"Match",IF($I863&gt;$H863,"Over plan","Under plan"))))</f>
        <v/>
      </c>
      <c r="K863" s="60" t="n"/>
      <c r="L863" s="60" t="n"/>
      <c r="M863" s="60" t="n"/>
      <c r="N863" s="60" t="n"/>
      <c r="O863" s="60" t="n"/>
      <c r="P863" s="62" t="n"/>
      <c r="Q863" s="62" t="n"/>
      <c r="R863" s="60" t="n"/>
      <c r="S863" s="59" t="n"/>
      <c r="T863" s="60" t="n"/>
      <c r="U863" s="59" t="n"/>
      <c r="V863" s="45">
        <f>IF(OR($A863="",$T863="",$T863="No Issue"),"",IF($T863="Resolved",IF($U863="","",$U863-$A863),TODAY()-$A863))</f>
        <v/>
      </c>
      <c r="W863" s="47">
        <f>IF(AND($C863&lt;&gt;"",$C863='Store History'!$C$4,OR('Store History'!$C$5="",$F863='Store History'!$C$5)),1,0)</f>
        <v/>
      </c>
      <c r="X863" s="47">
        <f>IF($W863=1,SUM($W863:$W$1005),"")</f>
        <v/>
      </c>
    </row>
    <row r="864">
      <c r="A864" s="59" t="n"/>
      <c r="B864" s="60" t="n"/>
      <c r="C864" s="60" t="n"/>
      <c r="D864" s="45">
        <f>IF($C864="","",IFERROR(INDEX('Chain Program'!$B$6:$B$120,MATCH($C864,'Chain Program'!$A$6:$A$120,0)),"Unknown ID"))</f>
        <v/>
      </c>
      <c r="E864" s="45">
        <f>IF($C864="","",IFERROR(INDEX('Chain Program'!$D$6:$D$120,MATCH($C864,'Chain Program'!$A$6:$A$120,0)),"Unknown ID"))</f>
        <v/>
      </c>
      <c r="F864" s="60" t="n"/>
      <c r="G864" s="60" t="n"/>
      <c r="H864" s="56">
        <f>IF(OR($C864="",$A864=""),"",IF(COUNTIFS('Promo Calendar'!$A$6:$A$400,$C864,'Promo Calendar'!$D$6:$D$400,IF($G864="","All",$G864),'Promo Calendar'!$I$6:$I$400,"&lt;="&amp;$A864,'Promo Calendar'!$J$6:$J$400,"&gt;="&amp;$A864,'Promo Calendar'!$G$6:$G$400,"&gt;0")&gt;0,_xlfn.MINIFS('Promo Calendar'!$G$6:$G$400,'Promo Calendar'!$A$6:$A$400,$C864,'Promo Calendar'!$D$6:$D$400,IF($G864="","All",$G864),'Promo Calendar'!$I$6:$I$400,"&lt;="&amp;$A864,'Promo Calendar'!$J$6:$J$400,"&gt;="&amp;$A864,'Promo Calendar'!$G$6:$G$400,"&gt;0"),IF(COUNTIFS('Promo Calendar'!$A$6:$A$400,$C864,'Promo Calendar'!$D$6:$D$400,"All",'Promo Calendar'!$I$6:$I$400,"&lt;="&amp;$A864,'Promo Calendar'!$J$6:$J$400,"&gt;="&amp;$A864,'Promo Calendar'!$G$6:$G$400,"&gt;0")&gt;0,_xlfn.MINIFS('Promo Calendar'!$G$6:$G$400,'Promo Calendar'!$A$6:$A$400,$C864,'Promo Calendar'!$D$6:$D$400,"All",'Promo Calendar'!$I$6:$I$400,"&lt;="&amp;$A864,'Promo Calendar'!$J$6:$J$400,"&gt;="&amp;$A864,'Promo Calendar'!$G$6:$G$400,"&gt;0"),IFERROR(IF(INDEX('Chain Program'!$M$6:$M$120,MATCH($C864,'Chain Program'!$A$6:$A$120,0))="","Not set",INDEX('Chain Program'!$M$6:$M$120,MATCH($C864,'Chain Program'!$A$6:$A$120,0))),"Not set"))))</f>
        <v/>
      </c>
      <c r="I864" s="61" t="n"/>
      <c r="J864" s="45">
        <f>IF($I864="","",IF(NOT(ISNUMBER($H864)),"No plan price",IF(ABS($I864-$H864)&lt;0.005,"Match",IF($I864&gt;$H864,"Over plan","Under plan"))))</f>
        <v/>
      </c>
      <c r="K864" s="60" t="n"/>
      <c r="L864" s="60" t="n"/>
      <c r="M864" s="60" t="n"/>
      <c r="N864" s="60" t="n"/>
      <c r="O864" s="60" t="n"/>
      <c r="P864" s="62" t="n"/>
      <c r="Q864" s="62" t="n"/>
      <c r="R864" s="60" t="n"/>
      <c r="S864" s="59" t="n"/>
      <c r="T864" s="60" t="n"/>
      <c r="U864" s="59" t="n"/>
      <c r="V864" s="45">
        <f>IF(OR($A864="",$T864="",$T864="No Issue"),"",IF($T864="Resolved",IF($U864="","",$U864-$A864),TODAY()-$A864))</f>
        <v/>
      </c>
      <c r="W864" s="47">
        <f>IF(AND($C864&lt;&gt;"",$C864='Store History'!$C$4,OR('Store History'!$C$5="",$F864='Store History'!$C$5)),1,0)</f>
        <v/>
      </c>
      <c r="X864" s="47">
        <f>IF($W864=1,SUM($W864:$W$1005),"")</f>
        <v/>
      </c>
    </row>
    <row r="865">
      <c r="A865" s="59" t="n"/>
      <c r="B865" s="60" t="n"/>
      <c r="C865" s="60" t="n"/>
      <c r="D865" s="45">
        <f>IF($C865="","",IFERROR(INDEX('Chain Program'!$B$6:$B$120,MATCH($C865,'Chain Program'!$A$6:$A$120,0)),"Unknown ID"))</f>
        <v/>
      </c>
      <c r="E865" s="45">
        <f>IF($C865="","",IFERROR(INDEX('Chain Program'!$D$6:$D$120,MATCH($C865,'Chain Program'!$A$6:$A$120,0)),"Unknown ID"))</f>
        <v/>
      </c>
      <c r="F865" s="60" t="n"/>
      <c r="G865" s="60" t="n"/>
      <c r="H865" s="56">
        <f>IF(OR($C865="",$A865=""),"",IF(COUNTIFS('Promo Calendar'!$A$6:$A$400,$C865,'Promo Calendar'!$D$6:$D$400,IF($G865="","All",$G865),'Promo Calendar'!$I$6:$I$400,"&lt;="&amp;$A865,'Promo Calendar'!$J$6:$J$400,"&gt;="&amp;$A865,'Promo Calendar'!$G$6:$G$400,"&gt;0")&gt;0,_xlfn.MINIFS('Promo Calendar'!$G$6:$G$400,'Promo Calendar'!$A$6:$A$400,$C865,'Promo Calendar'!$D$6:$D$400,IF($G865="","All",$G865),'Promo Calendar'!$I$6:$I$400,"&lt;="&amp;$A865,'Promo Calendar'!$J$6:$J$400,"&gt;="&amp;$A865,'Promo Calendar'!$G$6:$G$400,"&gt;0"),IF(COUNTIFS('Promo Calendar'!$A$6:$A$400,$C865,'Promo Calendar'!$D$6:$D$400,"All",'Promo Calendar'!$I$6:$I$400,"&lt;="&amp;$A865,'Promo Calendar'!$J$6:$J$400,"&gt;="&amp;$A865,'Promo Calendar'!$G$6:$G$400,"&gt;0")&gt;0,_xlfn.MINIFS('Promo Calendar'!$G$6:$G$400,'Promo Calendar'!$A$6:$A$400,$C865,'Promo Calendar'!$D$6:$D$400,"All",'Promo Calendar'!$I$6:$I$400,"&lt;="&amp;$A865,'Promo Calendar'!$J$6:$J$400,"&gt;="&amp;$A865,'Promo Calendar'!$G$6:$G$400,"&gt;0"),IFERROR(IF(INDEX('Chain Program'!$M$6:$M$120,MATCH($C865,'Chain Program'!$A$6:$A$120,0))="","Not set",INDEX('Chain Program'!$M$6:$M$120,MATCH($C865,'Chain Program'!$A$6:$A$120,0))),"Not set"))))</f>
        <v/>
      </c>
      <c r="I865" s="61" t="n"/>
      <c r="J865" s="45">
        <f>IF($I865="","",IF(NOT(ISNUMBER($H865)),"No plan price",IF(ABS($I865-$H865)&lt;0.005,"Match",IF($I865&gt;$H865,"Over plan","Under plan"))))</f>
        <v/>
      </c>
      <c r="K865" s="60" t="n"/>
      <c r="L865" s="60" t="n"/>
      <c r="M865" s="60" t="n"/>
      <c r="N865" s="60" t="n"/>
      <c r="O865" s="60" t="n"/>
      <c r="P865" s="62" t="n"/>
      <c r="Q865" s="62" t="n"/>
      <c r="R865" s="60" t="n"/>
      <c r="S865" s="59" t="n"/>
      <c r="T865" s="60" t="n"/>
      <c r="U865" s="59" t="n"/>
      <c r="V865" s="45">
        <f>IF(OR($A865="",$T865="",$T865="No Issue"),"",IF($T865="Resolved",IF($U865="","",$U865-$A865),TODAY()-$A865))</f>
        <v/>
      </c>
      <c r="W865" s="47">
        <f>IF(AND($C865&lt;&gt;"",$C865='Store History'!$C$4,OR('Store History'!$C$5="",$F865='Store History'!$C$5)),1,0)</f>
        <v/>
      </c>
      <c r="X865" s="47">
        <f>IF($W865=1,SUM($W865:$W$1005),"")</f>
        <v/>
      </c>
    </row>
    <row r="866">
      <c r="A866" s="59" t="n"/>
      <c r="B866" s="60" t="n"/>
      <c r="C866" s="60" t="n"/>
      <c r="D866" s="45">
        <f>IF($C866="","",IFERROR(INDEX('Chain Program'!$B$6:$B$120,MATCH($C866,'Chain Program'!$A$6:$A$120,0)),"Unknown ID"))</f>
        <v/>
      </c>
      <c r="E866" s="45">
        <f>IF($C866="","",IFERROR(INDEX('Chain Program'!$D$6:$D$120,MATCH($C866,'Chain Program'!$A$6:$A$120,0)),"Unknown ID"))</f>
        <v/>
      </c>
      <c r="F866" s="60" t="n"/>
      <c r="G866" s="60" t="n"/>
      <c r="H866" s="56">
        <f>IF(OR($C866="",$A866=""),"",IF(COUNTIFS('Promo Calendar'!$A$6:$A$400,$C866,'Promo Calendar'!$D$6:$D$400,IF($G866="","All",$G866),'Promo Calendar'!$I$6:$I$400,"&lt;="&amp;$A866,'Promo Calendar'!$J$6:$J$400,"&gt;="&amp;$A866,'Promo Calendar'!$G$6:$G$400,"&gt;0")&gt;0,_xlfn.MINIFS('Promo Calendar'!$G$6:$G$400,'Promo Calendar'!$A$6:$A$400,$C866,'Promo Calendar'!$D$6:$D$400,IF($G866="","All",$G866),'Promo Calendar'!$I$6:$I$400,"&lt;="&amp;$A866,'Promo Calendar'!$J$6:$J$400,"&gt;="&amp;$A866,'Promo Calendar'!$G$6:$G$400,"&gt;0"),IF(COUNTIFS('Promo Calendar'!$A$6:$A$400,$C866,'Promo Calendar'!$D$6:$D$400,"All",'Promo Calendar'!$I$6:$I$400,"&lt;="&amp;$A866,'Promo Calendar'!$J$6:$J$400,"&gt;="&amp;$A866,'Promo Calendar'!$G$6:$G$400,"&gt;0")&gt;0,_xlfn.MINIFS('Promo Calendar'!$G$6:$G$400,'Promo Calendar'!$A$6:$A$400,$C866,'Promo Calendar'!$D$6:$D$400,"All",'Promo Calendar'!$I$6:$I$400,"&lt;="&amp;$A866,'Promo Calendar'!$J$6:$J$400,"&gt;="&amp;$A866,'Promo Calendar'!$G$6:$G$400,"&gt;0"),IFERROR(IF(INDEX('Chain Program'!$M$6:$M$120,MATCH($C866,'Chain Program'!$A$6:$A$120,0))="","Not set",INDEX('Chain Program'!$M$6:$M$120,MATCH($C866,'Chain Program'!$A$6:$A$120,0))),"Not set"))))</f>
        <v/>
      </c>
      <c r="I866" s="61" t="n"/>
      <c r="J866" s="45">
        <f>IF($I866="","",IF(NOT(ISNUMBER($H866)),"No plan price",IF(ABS($I866-$H866)&lt;0.005,"Match",IF($I866&gt;$H866,"Over plan","Under plan"))))</f>
        <v/>
      </c>
      <c r="K866" s="60" t="n"/>
      <c r="L866" s="60" t="n"/>
      <c r="M866" s="60" t="n"/>
      <c r="N866" s="60" t="n"/>
      <c r="O866" s="60" t="n"/>
      <c r="P866" s="62" t="n"/>
      <c r="Q866" s="62" t="n"/>
      <c r="R866" s="60" t="n"/>
      <c r="S866" s="59" t="n"/>
      <c r="T866" s="60" t="n"/>
      <c r="U866" s="59" t="n"/>
      <c r="V866" s="45">
        <f>IF(OR($A866="",$T866="",$T866="No Issue"),"",IF($T866="Resolved",IF($U866="","",$U866-$A866),TODAY()-$A866))</f>
        <v/>
      </c>
      <c r="W866" s="47">
        <f>IF(AND($C866&lt;&gt;"",$C866='Store History'!$C$4,OR('Store History'!$C$5="",$F866='Store History'!$C$5)),1,0)</f>
        <v/>
      </c>
      <c r="X866" s="47">
        <f>IF($W866=1,SUM($W866:$W$1005),"")</f>
        <v/>
      </c>
    </row>
    <row r="867">
      <c r="A867" s="59" t="n"/>
      <c r="B867" s="60" t="n"/>
      <c r="C867" s="60" t="n"/>
      <c r="D867" s="45">
        <f>IF($C867="","",IFERROR(INDEX('Chain Program'!$B$6:$B$120,MATCH($C867,'Chain Program'!$A$6:$A$120,0)),"Unknown ID"))</f>
        <v/>
      </c>
      <c r="E867" s="45">
        <f>IF($C867="","",IFERROR(INDEX('Chain Program'!$D$6:$D$120,MATCH($C867,'Chain Program'!$A$6:$A$120,0)),"Unknown ID"))</f>
        <v/>
      </c>
      <c r="F867" s="60" t="n"/>
      <c r="G867" s="60" t="n"/>
      <c r="H867" s="56">
        <f>IF(OR($C867="",$A867=""),"",IF(COUNTIFS('Promo Calendar'!$A$6:$A$400,$C867,'Promo Calendar'!$D$6:$D$400,IF($G867="","All",$G867),'Promo Calendar'!$I$6:$I$400,"&lt;="&amp;$A867,'Promo Calendar'!$J$6:$J$400,"&gt;="&amp;$A867,'Promo Calendar'!$G$6:$G$400,"&gt;0")&gt;0,_xlfn.MINIFS('Promo Calendar'!$G$6:$G$400,'Promo Calendar'!$A$6:$A$400,$C867,'Promo Calendar'!$D$6:$D$400,IF($G867="","All",$G867),'Promo Calendar'!$I$6:$I$400,"&lt;="&amp;$A867,'Promo Calendar'!$J$6:$J$400,"&gt;="&amp;$A867,'Promo Calendar'!$G$6:$G$400,"&gt;0"),IF(COUNTIFS('Promo Calendar'!$A$6:$A$400,$C867,'Promo Calendar'!$D$6:$D$400,"All",'Promo Calendar'!$I$6:$I$400,"&lt;="&amp;$A867,'Promo Calendar'!$J$6:$J$400,"&gt;="&amp;$A867,'Promo Calendar'!$G$6:$G$400,"&gt;0")&gt;0,_xlfn.MINIFS('Promo Calendar'!$G$6:$G$400,'Promo Calendar'!$A$6:$A$400,$C867,'Promo Calendar'!$D$6:$D$400,"All",'Promo Calendar'!$I$6:$I$400,"&lt;="&amp;$A867,'Promo Calendar'!$J$6:$J$400,"&gt;="&amp;$A867,'Promo Calendar'!$G$6:$G$400,"&gt;0"),IFERROR(IF(INDEX('Chain Program'!$M$6:$M$120,MATCH($C867,'Chain Program'!$A$6:$A$120,0))="","Not set",INDEX('Chain Program'!$M$6:$M$120,MATCH($C867,'Chain Program'!$A$6:$A$120,0))),"Not set"))))</f>
        <v/>
      </c>
      <c r="I867" s="61" t="n"/>
      <c r="J867" s="45">
        <f>IF($I867="","",IF(NOT(ISNUMBER($H867)),"No plan price",IF(ABS($I867-$H867)&lt;0.005,"Match",IF($I867&gt;$H867,"Over plan","Under plan"))))</f>
        <v/>
      </c>
      <c r="K867" s="60" t="n"/>
      <c r="L867" s="60" t="n"/>
      <c r="M867" s="60" t="n"/>
      <c r="N867" s="60" t="n"/>
      <c r="O867" s="60" t="n"/>
      <c r="P867" s="62" t="n"/>
      <c r="Q867" s="62" t="n"/>
      <c r="R867" s="60" t="n"/>
      <c r="S867" s="59" t="n"/>
      <c r="T867" s="60" t="n"/>
      <c r="U867" s="59" t="n"/>
      <c r="V867" s="45">
        <f>IF(OR($A867="",$T867="",$T867="No Issue"),"",IF($T867="Resolved",IF($U867="","",$U867-$A867),TODAY()-$A867))</f>
        <v/>
      </c>
      <c r="W867" s="47">
        <f>IF(AND($C867&lt;&gt;"",$C867='Store History'!$C$4,OR('Store History'!$C$5="",$F867='Store History'!$C$5)),1,0)</f>
        <v/>
      </c>
      <c r="X867" s="47">
        <f>IF($W867=1,SUM($W867:$W$1005),"")</f>
        <v/>
      </c>
    </row>
    <row r="868">
      <c r="A868" s="59" t="n"/>
      <c r="B868" s="60" t="n"/>
      <c r="C868" s="60" t="n"/>
      <c r="D868" s="45">
        <f>IF($C868="","",IFERROR(INDEX('Chain Program'!$B$6:$B$120,MATCH($C868,'Chain Program'!$A$6:$A$120,0)),"Unknown ID"))</f>
        <v/>
      </c>
      <c r="E868" s="45">
        <f>IF($C868="","",IFERROR(INDEX('Chain Program'!$D$6:$D$120,MATCH($C868,'Chain Program'!$A$6:$A$120,0)),"Unknown ID"))</f>
        <v/>
      </c>
      <c r="F868" s="60" t="n"/>
      <c r="G868" s="60" t="n"/>
      <c r="H868" s="56">
        <f>IF(OR($C868="",$A868=""),"",IF(COUNTIFS('Promo Calendar'!$A$6:$A$400,$C868,'Promo Calendar'!$D$6:$D$400,IF($G868="","All",$G868),'Promo Calendar'!$I$6:$I$400,"&lt;="&amp;$A868,'Promo Calendar'!$J$6:$J$400,"&gt;="&amp;$A868,'Promo Calendar'!$G$6:$G$400,"&gt;0")&gt;0,_xlfn.MINIFS('Promo Calendar'!$G$6:$G$400,'Promo Calendar'!$A$6:$A$400,$C868,'Promo Calendar'!$D$6:$D$400,IF($G868="","All",$G868),'Promo Calendar'!$I$6:$I$400,"&lt;="&amp;$A868,'Promo Calendar'!$J$6:$J$400,"&gt;="&amp;$A868,'Promo Calendar'!$G$6:$G$400,"&gt;0"),IF(COUNTIFS('Promo Calendar'!$A$6:$A$400,$C868,'Promo Calendar'!$D$6:$D$400,"All",'Promo Calendar'!$I$6:$I$400,"&lt;="&amp;$A868,'Promo Calendar'!$J$6:$J$400,"&gt;="&amp;$A868,'Promo Calendar'!$G$6:$G$400,"&gt;0")&gt;0,_xlfn.MINIFS('Promo Calendar'!$G$6:$G$400,'Promo Calendar'!$A$6:$A$400,$C868,'Promo Calendar'!$D$6:$D$400,"All",'Promo Calendar'!$I$6:$I$400,"&lt;="&amp;$A868,'Promo Calendar'!$J$6:$J$400,"&gt;="&amp;$A868,'Promo Calendar'!$G$6:$G$400,"&gt;0"),IFERROR(IF(INDEX('Chain Program'!$M$6:$M$120,MATCH($C868,'Chain Program'!$A$6:$A$120,0))="","Not set",INDEX('Chain Program'!$M$6:$M$120,MATCH($C868,'Chain Program'!$A$6:$A$120,0))),"Not set"))))</f>
        <v/>
      </c>
      <c r="I868" s="61" t="n"/>
      <c r="J868" s="45">
        <f>IF($I868="","",IF(NOT(ISNUMBER($H868)),"No plan price",IF(ABS($I868-$H868)&lt;0.005,"Match",IF($I868&gt;$H868,"Over plan","Under plan"))))</f>
        <v/>
      </c>
      <c r="K868" s="60" t="n"/>
      <c r="L868" s="60" t="n"/>
      <c r="M868" s="60" t="n"/>
      <c r="N868" s="60" t="n"/>
      <c r="O868" s="60" t="n"/>
      <c r="P868" s="62" t="n"/>
      <c r="Q868" s="62" t="n"/>
      <c r="R868" s="60" t="n"/>
      <c r="S868" s="59" t="n"/>
      <c r="T868" s="60" t="n"/>
      <c r="U868" s="59" t="n"/>
      <c r="V868" s="45">
        <f>IF(OR($A868="",$T868="",$T868="No Issue"),"",IF($T868="Resolved",IF($U868="","",$U868-$A868),TODAY()-$A868))</f>
        <v/>
      </c>
      <c r="W868" s="47">
        <f>IF(AND($C868&lt;&gt;"",$C868='Store History'!$C$4,OR('Store History'!$C$5="",$F868='Store History'!$C$5)),1,0)</f>
        <v/>
      </c>
      <c r="X868" s="47">
        <f>IF($W868=1,SUM($W868:$W$1005),"")</f>
        <v/>
      </c>
    </row>
    <row r="869">
      <c r="A869" s="59" t="n"/>
      <c r="B869" s="60" t="n"/>
      <c r="C869" s="60" t="n"/>
      <c r="D869" s="45">
        <f>IF($C869="","",IFERROR(INDEX('Chain Program'!$B$6:$B$120,MATCH($C869,'Chain Program'!$A$6:$A$120,0)),"Unknown ID"))</f>
        <v/>
      </c>
      <c r="E869" s="45">
        <f>IF($C869="","",IFERROR(INDEX('Chain Program'!$D$6:$D$120,MATCH($C869,'Chain Program'!$A$6:$A$120,0)),"Unknown ID"))</f>
        <v/>
      </c>
      <c r="F869" s="60" t="n"/>
      <c r="G869" s="60" t="n"/>
      <c r="H869" s="56">
        <f>IF(OR($C869="",$A869=""),"",IF(COUNTIFS('Promo Calendar'!$A$6:$A$400,$C869,'Promo Calendar'!$D$6:$D$400,IF($G869="","All",$G869),'Promo Calendar'!$I$6:$I$400,"&lt;="&amp;$A869,'Promo Calendar'!$J$6:$J$400,"&gt;="&amp;$A869,'Promo Calendar'!$G$6:$G$400,"&gt;0")&gt;0,_xlfn.MINIFS('Promo Calendar'!$G$6:$G$400,'Promo Calendar'!$A$6:$A$400,$C869,'Promo Calendar'!$D$6:$D$400,IF($G869="","All",$G869),'Promo Calendar'!$I$6:$I$400,"&lt;="&amp;$A869,'Promo Calendar'!$J$6:$J$400,"&gt;="&amp;$A869,'Promo Calendar'!$G$6:$G$400,"&gt;0"),IF(COUNTIFS('Promo Calendar'!$A$6:$A$400,$C869,'Promo Calendar'!$D$6:$D$400,"All",'Promo Calendar'!$I$6:$I$400,"&lt;="&amp;$A869,'Promo Calendar'!$J$6:$J$400,"&gt;="&amp;$A869,'Promo Calendar'!$G$6:$G$400,"&gt;0")&gt;0,_xlfn.MINIFS('Promo Calendar'!$G$6:$G$400,'Promo Calendar'!$A$6:$A$400,$C869,'Promo Calendar'!$D$6:$D$400,"All",'Promo Calendar'!$I$6:$I$400,"&lt;="&amp;$A869,'Promo Calendar'!$J$6:$J$400,"&gt;="&amp;$A869,'Promo Calendar'!$G$6:$G$400,"&gt;0"),IFERROR(IF(INDEX('Chain Program'!$M$6:$M$120,MATCH($C869,'Chain Program'!$A$6:$A$120,0))="","Not set",INDEX('Chain Program'!$M$6:$M$120,MATCH($C869,'Chain Program'!$A$6:$A$120,0))),"Not set"))))</f>
        <v/>
      </c>
      <c r="I869" s="61" t="n"/>
      <c r="J869" s="45">
        <f>IF($I869="","",IF(NOT(ISNUMBER($H869)),"No plan price",IF(ABS($I869-$H869)&lt;0.005,"Match",IF($I869&gt;$H869,"Over plan","Under plan"))))</f>
        <v/>
      </c>
      <c r="K869" s="60" t="n"/>
      <c r="L869" s="60" t="n"/>
      <c r="M869" s="60" t="n"/>
      <c r="N869" s="60" t="n"/>
      <c r="O869" s="60" t="n"/>
      <c r="P869" s="62" t="n"/>
      <c r="Q869" s="62" t="n"/>
      <c r="R869" s="60" t="n"/>
      <c r="S869" s="59" t="n"/>
      <c r="T869" s="60" t="n"/>
      <c r="U869" s="59" t="n"/>
      <c r="V869" s="45">
        <f>IF(OR($A869="",$T869="",$T869="No Issue"),"",IF($T869="Resolved",IF($U869="","",$U869-$A869),TODAY()-$A869))</f>
        <v/>
      </c>
      <c r="W869" s="47">
        <f>IF(AND($C869&lt;&gt;"",$C869='Store History'!$C$4,OR('Store History'!$C$5="",$F869='Store History'!$C$5)),1,0)</f>
        <v/>
      </c>
      <c r="X869" s="47">
        <f>IF($W869=1,SUM($W869:$W$1005),"")</f>
        <v/>
      </c>
    </row>
    <row r="870">
      <c r="A870" s="59" t="n"/>
      <c r="B870" s="60" t="n"/>
      <c r="C870" s="60" t="n"/>
      <c r="D870" s="45">
        <f>IF($C870="","",IFERROR(INDEX('Chain Program'!$B$6:$B$120,MATCH($C870,'Chain Program'!$A$6:$A$120,0)),"Unknown ID"))</f>
        <v/>
      </c>
      <c r="E870" s="45">
        <f>IF($C870="","",IFERROR(INDEX('Chain Program'!$D$6:$D$120,MATCH($C870,'Chain Program'!$A$6:$A$120,0)),"Unknown ID"))</f>
        <v/>
      </c>
      <c r="F870" s="60" t="n"/>
      <c r="G870" s="60" t="n"/>
      <c r="H870" s="56">
        <f>IF(OR($C870="",$A870=""),"",IF(COUNTIFS('Promo Calendar'!$A$6:$A$400,$C870,'Promo Calendar'!$D$6:$D$400,IF($G870="","All",$G870),'Promo Calendar'!$I$6:$I$400,"&lt;="&amp;$A870,'Promo Calendar'!$J$6:$J$400,"&gt;="&amp;$A870,'Promo Calendar'!$G$6:$G$400,"&gt;0")&gt;0,_xlfn.MINIFS('Promo Calendar'!$G$6:$G$400,'Promo Calendar'!$A$6:$A$400,$C870,'Promo Calendar'!$D$6:$D$400,IF($G870="","All",$G870),'Promo Calendar'!$I$6:$I$400,"&lt;="&amp;$A870,'Promo Calendar'!$J$6:$J$400,"&gt;="&amp;$A870,'Promo Calendar'!$G$6:$G$400,"&gt;0"),IF(COUNTIFS('Promo Calendar'!$A$6:$A$400,$C870,'Promo Calendar'!$D$6:$D$400,"All",'Promo Calendar'!$I$6:$I$400,"&lt;="&amp;$A870,'Promo Calendar'!$J$6:$J$400,"&gt;="&amp;$A870,'Promo Calendar'!$G$6:$G$400,"&gt;0")&gt;0,_xlfn.MINIFS('Promo Calendar'!$G$6:$G$400,'Promo Calendar'!$A$6:$A$400,$C870,'Promo Calendar'!$D$6:$D$400,"All",'Promo Calendar'!$I$6:$I$400,"&lt;="&amp;$A870,'Promo Calendar'!$J$6:$J$400,"&gt;="&amp;$A870,'Promo Calendar'!$G$6:$G$400,"&gt;0"),IFERROR(IF(INDEX('Chain Program'!$M$6:$M$120,MATCH($C870,'Chain Program'!$A$6:$A$120,0))="","Not set",INDEX('Chain Program'!$M$6:$M$120,MATCH($C870,'Chain Program'!$A$6:$A$120,0))),"Not set"))))</f>
        <v/>
      </c>
      <c r="I870" s="61" t="n"/>
      <c r="J870" s="45">
        <f>IF($I870="","",IF(NOT(ISNUMBER($H870)),"No plan price",IF(ABS($I870-$H870)&lt;0.005,"Match",IF($I870&gt;$H870,"Over plan","Under plan"))))</f>
        <v/>
      </c>
      <c r="K870" s="60" t="n"/>
      <c r="L870" s="60" t="n"/>
      <c r="M870" s="60" t="n"/>
      <c r="N870" s="60" t="n"/>
      <c r="O870" s="60" t="n"/>
      <c r="P870" s="62" t="n"/>
      <c r="Q870" s="62" t="n"/>
      <c r="R870" s="60" t="n"/>
      <c r="S870" s="59" t="n"/>
      <c r="T870" s="60" t="n"/>
      <c r="U870" s="59" t="n"/>
      <c r="V870" s="45">
        <f>IF(OR($A870="",$T870="",$T870="No Issue"),"",IF($T870="Resolved",IF($U870="","",$U870-$A870),TODAY()-$A870))</f>
        <v/>
      </c>
      <c r="W870" s="47">
        <f>IF(AND($C870&lt;&gt;"",$C870='Store History'!$C$4,OR('Store History'!$C$5="",$F870='Store History'!$C$5)),1,0)</f>
        <v/>
      </c>
      <c r="X870" s="47">
        <f>IF($W870=1,SUM($W870:$W$1005),"")</f>
        <v/>
      </c>
    </row>
    <row r="871">
      <c r="A871" s="59" t="n"/>
      <c r="B871" s="60" t="n"/>
      <c r="C871" s="60" t="n"/>
      <c r="D871" s="45">
        <f>IF($C871="","",IFERROR(INDEX('Chain Program'!$B$6:$B$120,MATCH($C871,'Chain Program'!$A$6:$A$120,0)),"Unknown ID"))</f>
        <v/>
      </c>
      <c r="E871" s="45">
        <f>IF($C871="","",IFERROR(INDEX('Chain Program'!$D$6:$D$120,MATCH($C871,'Chain Program'!$A$6:$A$120,0)),"Unknown ID"))</f>
        <v/>
      </c>
      <c r="F871" s="60" t="n"/>
      <c r="G871" s="60" t="n"/>
      <c r="H871" s="56">
        <f>IF(OR($C871="",$A871=""),"",IF(COUNTIFS('Promo Calendar'!$A$6:$A$400,$C871,'Promo Calendar'!$D$6:$D$400,IF($G871="","All",$G871),'Promo Calendar'!$I$6:$I$400,"&lt;="&amp;$A871,'Promo Calendar'!$J$6:$J$400,"&gt;="&amp;$A871,'Promo Calendar'!$G$6:$G$400,"&gt;0")&gt;0,_xlfn.MINIFS('Promo Calendar'!$G$6:$G$400,'Promo Calendar'!$A$6:$A$400,$C871,'Promo Calendar'!$D$6:$D$400,IF($G871="","All",$G871),'Promo Calendar'!$I$6:$I$400,"&lt;="&amp;$A871,'Promo Calendar'!$J$6:$J$400,"&gt;="&amp;$A871,'Promo Calendar'!$G$6:$G$400,"&gt;0"),IF(COUNTIFS('Promo Calendar'!$A$6:$A$400,$C871,'Promo Calendar'!$D$6:$D$400,"All",'Promo Calendar'!$I$6:$I$400,"&lt;="&amp;$A871,'Promo Calendar'!$J$6:$J$400,"&gt;="&amp;$A871,'Promo Calendar'!$G$6:$G$400,"&gt;0")&gt;0,_xlfn.MINIFS('Promo Calendar'!$G$6:$G$400,'Promo Calendar'!$A$6:$A$400,$C871,'Promo Calendar'!$D$6:$D$400,"All",'Promo Calendar'!$I$6:$I$400,"&lt;="&amp;$A871,'Promo Calendar'!$J$6:$J$400,"&gt;="&amp;$A871,'Promo Calendar'!$G$6:$G$400,"&gt;0"),IFERROR(IF(INDEX('Chain Program'!$M$6:$M$120,MATCH($C871,'Chain Program'!$A$6:$A$120,0))="","Not set",INDEX('Chain Program'!$M$6:$M$120,MATCH($C871,'Chain Program'!$A$6:$A$120,0))),"Not set"))))</f>
        <v/>
      </c>
      <c r="I871" s="61" t="n"/>
      <c r="J871" s="45">
        <f>IF($I871="","",IF(NOT(ISNUMBER($H871)),"No plan price",IF(ABS($I871-$H871)&lt;0.005,"Match",IF($I871&gt;$H871,"Over plan","Under plan"))))</f>
        <v/>
      </c>
      <c r="K871" s="60" t="n"/>
      <c r="L871" s="60" t="n"/>
      <c r="M871" s="60" t="n"/>
      <c r="N871" s="60" t="n"/>
      <c r="O871" s="60" t="n"/>
      <c r="P871" s="62" t="n"/>
      <c r="Q871" s="62" t="n"/>
      <c r="R871" s="60" t="n"/>
      <c r="S871" s="59" t="n"/>
      <c r="T871" s="60" t="n"/>
      <c r="U871" s="59" t="n"/>
      <c r="V871" s="45">
        <f>IF(OR($A871="",$T871="",$T871="No Issue"),"",IF($T871="Resolved",IF($U871="","",$U871-$A871),TODAY()-$A871))</f>
        <v/>
      </c>
      <c r="W871" s="47">
        <f>IF(AND($C871&lt;&gt;"",$C871='Store History'!$C$4,OR('Store History'!$C$5="",$F871='Store History'!$C$5)),1,0)</f>
        <v/>
      </c>
      <c r="X871" s="47">
        <f>IF($W871=1,SUM($W871:$W$1005),"")</f>
        <v/>
      </c>
    </row>
    <row r="872">
      <c r="A872" s="59" t="n"/>
      <c r="B872" s="60" t="n"/>
      <c r="C872" s="60" t="n"/>
      <c r="D872" s="45">
        <f>IF($C872="","",IFERROR(INDEX('Chain Program'!$B$6:$B$120,MATCH($C872,'Chain Program'!$A$6:$A$120,0)),"Unknown ID"))</f>
        <v/>
      </c>
      <c r="E872" s="45">
        <f>IF($C872="","",IFERROR(INDEX('Chain Program'!$D$6:$D$120,MATCH($C872,'Chain Program'!$A$6:$A$120,0)),"Unknown ID"))</f>
        <v/>
      </c>
      <c r="F872" s="60" t="n"/>
      <c r="G872" s="60" t="n"/>
      <c r="H872" s="56">
        <f>IF(OR($C872="",$A872=""),"",IF(COUNTIFS('Promo Calendar'!$A$6:$A$400,$C872,'Promo Calendar'!$D$6:$D$400,IF($G872="","All",$G872),'Promo Calendar'!$I$6:$I$400,"&lt;="&amp;$A872,'Promo Calendar'!$J$6:$J$400,"&gt;="&amp;$A872,'Promo Calendar'!$G$6:$G$400,"&gt;0")&gt;0,_xlfn.MINIFS('Promo Calendar'!$G$6:$G$400,'Promo Calendar'!$A$6:$A$400,$C872,'Promo Calendar'!$D$6:$D$400,IF($G872="","All",$G872),'Promo Calendar'!$I$6:$I$400,"&lt;="&amp;$A872,'Promo Calendar'!$J$6:$J$400,"&gt;="&amp;$A872,'Promo Calendar'!$G$6:$G$400,"&gt;0"),IF(COUNTIFS('Promo Calendar'!$A$6:$A$400,$C872,'Promo Calendar'!$D$6:$D$400,"All",'Promo Calendar'!$I$6:$I$400,"&lt;="&amp;$A872,'Promo Calendar'!$J$6:$J$400,"&gt;="&amp;$A872,'Promo Calendar'!$G$6:$G$400,"&gt;0")&gt;0,_xlfn.MINIFS('Promo Calendar'!$G$6:$G$400,'Promo Calendar'!$A$6:$A$400,$C872,'Promo Calendar'!$D$6:$D$400,"All",'Promo Calendar'!$I$6:$I$400,"&lt;="&amp;$A872,'Promo Calendar'!$J$6:$J$400,"&gt;="&amp;$A872,'Promo Calendar'!$G$6:$G$400,"&gt;0"),IFERROR(IF(INDEX('Chain Program'!$M$6:$M$120,MATCH($C872,'Chain Program'!$A$6:$A$120,0))="","Not set",INDEX('Chain Program'!$M$6:$M$120,MATCH($C872,'Chain Program'!$A$6:$A$120,0))),"Not set"))))</f>
        <v/>
      </c>
      <c r="I872" s="61" t="n"/>
      <c r="J872" s="45">
        <f>IF($I872="","",IF(NOT(ISNUMBER($H872)),"No plan price",IF(ABS($I872-$H872)&lt;0.005,"Match",IF($I872&gt;$H872,"Over plan","Under plan"))))</f>
        <v/>
      </c>
      <c r="K872" s="60" t="n"/>
      <c r="L872" s="60" t="n"/>
      <c r="M872" s="60" t="n"/>
      <c r="N872" s="60" t="n"/>
      <c r="O872" s="60" t="n"/>
      <c r="P872" s="62" t="n"/>
      <c r="Q872" s="62" t="n"/>
      <c r="R872" s="60" t="n"/>
      <c r="S872" s="59" t="n"/>
      <c r="T872" s="60" t="n"/>
      <c r="U872" s="59" t="n"/>
      <c r="V872" s="45">
        <f>IF(OR($A872="",$T872="",$T872="No Issue"),"",IF($T872="Resolved",IF($U872="","",$U872-$A872),TODAY()-$A872))</f>
        <v/>
      </c>
      <c r="W872" s="47">
        <f>IF(AND($C872&lt;&gt;"",$C872='Store History'!$C$4,OR('Store History'!$C$5="",$F872='Store History'!$C$5)),1,0)</f>
        <v/>
      </c>
      <c r="X872" s="47">
        <f>IF($W872=1,SUM($W872:$W$1005),"")</f>
        <v/>
      </c>
    </row>
    <row r="873">
      <c r="A873" s="59" t="n"/>
      <c r="B873" s="60" t="n"/>
      <c r="C873" s="60" t="n"/>
      <c r="D873" s="45">
        <f>IF($C873="","",IFERROR(INDEX('Chain Program'!$B$6:$B$120,MATCH($C873,'Chain Program'!$A$6:$A$120,0)),"Unknown ID"))</f>
        <v/>
      </c>
      <c r="E873" s="45">
        <f>IF($C873="","",IFERROR(INDEX('Chain Program'!$D$6:$D$120,MATCH($C873,'Chain Program'!$A$6:$A$120,0)),"Unknown ID"))</f>
        <v/>
      </c>
      <c r="F873" s="60" t="n"/>
      <c r="G873" s="60" t="n"/>
      <c r="H873" s="56">
        <f>IF(OR($C873="",$A873=""),"",IF(COUNTIFS('Promo Calendar'!$A$6:$A$400,$C873,'Promo Calendar'!$D$6:$D$400,IF($G873="","All",$G873),'Promo Calendar'!$I$6:$I$400,"&lt;="&amp;$A873,'Promo Calendar'!$J$6:$J$400,"&gt;="&amp;$A873,'Promo Calendar'!$G$6:$G$400,"&gt;0")&gt;0,_xlfn.MINIFS('Promo Calendar'!$G$6:$G$400,'Promo Calendar'!$A$6:$A$400,$C873,'Promo Calendar'!$D$6:$D$400,IF($G873="","All",$G873),'Promo Calendar'!$I$6:$I$400,"&lt;="&amp;$A873,'Promo Calendar'!$J$6:$J$400,"&gt;="&amp;$A873,'Promo Calendar'!$G$6:$G$400,"&gt;0"),IF(COUNTIFS('Promo Calendar'!$A$6:$A$400,$C873,'Promo Calendar'!$D$6:$D$400,"All",'Promo Calendar'!$I$6:$I$400,"&lt;="&amp;$A873,'Promo Calendar'!$J$6:$J$400,"&gt;="&amp;$A873,'Promo Calendar'!$G$6:$G$400,"&gt;0")&gt;0,_xlfn.MINIFS('Promo Calendar'!$G$6:$G$400,'Promo Calendar'!$A$6:$A$400,$C873,'Promo Calendar'!$D$6:$D$400,"All",'Promo Calendar'!$I$6:$I$400,"&lt;="&amp;$A873,'Promo Calendar'!$J$6:$J$400,"&gt;="&amp;$A873,'Promo Calendar'!$G$6:$G$400,"&gt;0"),IFERROR(IF(INDEX('Chain Program'!$M$6:$M$120,MATCH($C873,'Chain Program'!$A$6:$A$120,0))="","Not set",INDEX('Chain Program'!$M$6:$M$120,MATCH($C873,'Chain Program'!$A$6:$A$120,0))),"Not set"))))</f>
        <v/>
      </c>
      <c r="I873" s="61" t="n"/>
      <c r="J873" s="45">
        <f>IF($I873="","",IF(NOT(ISNUMBER($H873)),"No plan price",IF(ABS($I873-$H873)&lt;0.005,"Match",IF($I873&gt;$H873,"Over plan","Under plan"))))</f>
        <v/>
      </c>
      <c r="K873" s="60" t="n"/>
      <c r="L873" s="60" t="n"/>
      <c r="M873" s="60" t="n"/>
      <c r="N873" s="60" t="n"/>
      <c r="O873" s="60" t="n"/>
      <c r="P873" s="62" t="n"/>
      <c r="Q873" s="62" t="n"/>
      <c r="R873" s="60" t="n"/>
      <c r="S873" s="59" t="n"/>
      <c r="T873" s="60" t="n"/>
      <c r="U873" s="59" t="n"/>
      <c r="V873" s="45">
        <f>IF(OR($A873="",$T873="",$T873="No Issue"),"",IF($T873="Resolved",IF($U873="","",$U873-$A873),TODAY()-$A873))</f>
        <v/>
      </c>
      <c r="W873" s="47">
        <f>IF(AND($C873&lt;&gt;"",$C873='Store History'!$C$4,OR('Store History'!$C$5="",$F873='Store History'!$C$5)),1,0)</f>
        <v/>
      </c>
      <c r="X873" s="47">
        <f>IF($W873=1,SUM($W873:$W$1005),"")</f>
        <v/>
      </c>
    </row>
    <row r="874">
      <c r="A874" s="59" t="n"/>
      <c r="B874" s="60" t="n"/>
      <c r="C874" s="60" t="n"/>
      <c r="D874" s="45">
        <f>IF($C874="","",IFERROR(INDEX('Chain Program'!$B$6:$B$120,MATCH($C874,'Chain Program'!$A$6:$A$120,0)),"Unknown ID"))</f>
        <v/>
      </c>
      <c r="E874" s="45">
        <f>IF($C874="","",IFERROR(INDEX('Chain Program'!$D$6:$D$120,MATCH($C874,'Chain Program'!$A$6:$A$120,0)),"Unknown ID"))</f>
        <v/>
      </c>
      <c r="F874" s="60" t="n"/>
      <c r="G874" s="60" t="n"/>
      <c r="H874" s="56">
        <f>IF(OR($C874="",$A874=""),"",IF(COUNTIFS('Promo Calendar'!$A$6:$A$400,$C874,'Promo Calendar'!$D$6:$D$400,IF($G874="","All",$G874),'Promo Calendar'!$I$6:$I$400,"&lt;="&amp;$A874,'Promo Calendar'!$J$6:$J$400,"&gt;="&amp;$A874,'Promo Calendar'!$G$6:$G$400,"&gt;0")&gt;0,_xlfn.MINIFS('Promo Calendar'!$G$6:$G$400,'Promo Calendar'!$A$6:$A$400,$C874,'Promo Calendar'!$D$6:$D$400,IF($G874="","All",$G874),'Promo Calendar'!$I$6:$I$400,"&lt;="&amp;$A874,'Promo Calendar'!$J$6:$J$400,"&gt;="&amp;$A874,'Promo Calendar'!$G$6:$G$400,"&gt;0"),IF(COUNTIFS('Promo Calendar'!$A$6:$A$400,$C874,'Promo Calendar'!$D$6:$D$400,"All",'Promo Calendar'!$I$6:$I$400,"&lt;="&amp;$A874,'Promo Calendar'!$J$6:$J$400,"&gt;="&amp;$A874,'Promo Calendar'!$G$6:$G$400,"&gt;0")&gt;0,_xlfn.MINIFS('Promo Calendar'!$G$6:$G$400,'Promo Calendar'!$A$6:$A$400,$C874,'Promo Calendar'!$D$6:$D$400,"All",'Promo Calendar'!$I$6:$I$400,"&lt;="&amp;$A874,'Promo Calendar'!$J$6:$J$400,"&gt;="&amp;$A874,'Promo Calendar'!$G$6:$G$400,"&gt;0"),IFERROR(IF(INDEX('Chain Program'!$M$6:$M$120,MATCH($C874,'Chain Program'!$A$6:$A$120,0))="","Not set",INDEX('Chain Program'!$M$6:$M$120,MATCH($C874,'Chain Program'!$A$6:$A$120,0))),"Not set"))))</f>
        <v/>
      </c>
      <c r="I874" s="61" t="n"/>
      <c r="J874" s="45">
        <f>IF($I874="","",IF(NOT(ISNUMBER($H874)),"No plan price",IF(ABS($I874-$H874)&lt;0.005,"Match",IF($I874&gt;$H874,"Over plan","Under plan"))))</f>
        <v/>
      </c>
      <c r="K874" s="60" t="n"/>
      <c r="L874" s="60" t="n"/>
      <c r="M874" s="60" t="n"/>
      <c r="N874" s="60" t="n"/>
      <c r="O874" s="60" t="n"/>
      <c r="P874" s="62" t="n"/>
      <c r="Q874" s="62" t="n"/>
      <c r="R874" s="60" t="n"/>
      <c r="S874" s="59" t="n"/>
      <c r="T874" s="60" t="n"/>
      <c r="U874" s="59" t="n"/>
      <c r="V874" s="45">
        <f>IF(OR($A874="",$T874="",$T874="No Issue"),"",IF($T874="Resolved",IF($U874="","",$U874-$A874),TODAY()-$A874))</f>
        <v/>
      </c>
      <c r="W874" s="47">
        <f>IF(AND($C874&lt;&gt;"",$C874='Store History'!$C$4,OR('Store History'!$C$5="",$F874='Store History'!$C$5)),1,0)</f>
        <v/>
      </c>
      <c r="X874" s="47">
        <f>IF($W874=1,SUM($W874:$W$1005),"")</f>
        <v/>
      </c>
    </row>
    <row r="875">
      <c r="A875" s="59" t="n"/>
      <c r="B875" s="60" t="n"/>
      <c r="C875" s="60" t="n"/>
      <c r="D875" s="45">
        <f>IF($C875="","",IFERROR(INDEX('Chain Program'!$B$6:$B$120,MATCH($C875,'Chain Program'!$A$6:$A$120,0)),"Unknown ID"))</f>
        <v/>
      </c>
      <c r="E875" s="45">
        <f>IF($C875="","",IFERROR(INDEX('Chain Program'!$D$6:$D$120,MATCH($C875,'Chain Program'!$A$6:$A$120,0)),"Unknown ID"))</f>
        <v/>
      </c>
      <c r="F875" s="60" t="n"/>
      <c r="G875" s="60" t="n"/>
      <c r="H875" s="56">
        <f>IF(OR($C875="",$A875=""),"",IF(COUNTIFS('Promo Calendar'!$A$6:$A$400,$C875,'Promo Calendar'!$D$6:$D$400,IF($G875="","All",$G875),'Promo Calendar'!$I$6:$I$400,"&lt;="&amp;$A875,'Promo Calendar'!$J$6:$J$400,"&gt;="&amp;$A875,'Promo Calendar'!$G$6:$G$400,"&gt;0")&gt;0,_xlfn.MINIFS('Promo Calendar'!$G$6:$G$400,'Promo Calendar'!$A$6:$A$400,$C875,'Promo Calendar'!$D$6:$D$400,IF($G875="","All",$G875),'Promo Calendar'!$I$6:$I$400,"&lt;="&amp;$A875,'Promo Calendar'!$J$6:$J$400,"&gt;="&amp;$A875,'Promo Calendar'!$G$6:$G$400,"&gt;0"),IF(COUNTIFS('Promo Calendar'!$A$6:$A$400,$C875,'Promo Calendar'!$D$6:$D$400,"All",'Promo Calendar'!$I$6:$I$400,"&lt;="&amp;$A875,'Promo Calendar'!$J$6:$J$400,"&gt;="&amp;$A875,'Promo Calendar'!$G$6:$G$400,"&gt;0")&gt;0,_xlfn.MINIFS('Promo Calendar'!$G$6:$G$400,'Promo Calendar'!$A$6:$A$400,$C875,'Promo Calendar'!$D$6:$D$400,"All",'Promo Calendar'!$I$6:$I$400,"&lt;="&amp;$A875,'Promo Calendar'!$J$6:$J$400,"&gt;="&amp;$A875,'Promo Calendar'!$G$6:$G$400,"&gt;0"),IFERROR(IF(INDEX('Chain Program'!$M$6:$M$120,MATCH($C875,'Chain Program'!$A$6:$A$120,0))="","Not set",INDEX('Chain Program'!$M$6:$M$120,MATCH($C875,'Chain Program'!$A$6:$A$120,0))),"Not set"))))</f>
        <v/>
      </c>
      <c r="I875" s="61" t="n"/>
      <c r="J875" s="45">
        <f>IF($I875="","",IF(NOT(ISNUMBER($H875)),"No plan price",IF(ABS($I875-$H875)&lt;0.005,"Match",IF($I875&gt;$H875,"Over plan","Under plan"))))</f>
        <v/>
      </c>
      <c r="K875" s="60" t="n"/>
      <c r="L875" s="60" t="n"/>
      <c r="M875" s="60" t="n"/>
      <c r="N875" s="60" t="n"/>
      <c r="O875" s="60" t="n"/>
      <c r="P875" s="62" t="n"/>
      <c r="Q875" s="62" t="n"/>
      <c r="R875" s="60" t="n"/>
      <c r="S875" s="59" t="n"/>
      <c r="T875" s="60" t="n"/>
      <c r="U875" s="59" t="n"/>
      <c r="V875" s="45">
        <f>IF(OR($A875="",$T875="",$T875="No Issue"),"",IF($T875="Resolved",IF($U875="","",$U875-$A875),TODAY()-$A875))</f>
        <v/>
      </c>
      <c r="W875" s="47">
        <f>IF(AND($C875&lt;&gt;"",$C875='Store History'!$C$4,OR('Store History'!$C$5="",$F875='Store History'!$C$5)),1,0)</f>
        <v/>
      </c>
      <c r="X875" s="47">
        <f>IF($W875=1,SUM($W875:$W$1005),"")</f>
        <v/>
      </c>
    </row>
    <row r="876">
      <c r="A876" s="59" t="n"/>
      <c r="B876" s="60" t="n"/>
      <c r="C876" s="60" t="n"/>
      <c r="D876" s="45">
        <f>IF($C876="","",IFERROR(INDEX('Chain Program'!$B$6:$B$120,MATCH($C876,'Chain Program'!$A$6:$A$120,0)),"Unknown ID"))</f>
        <v/>
      </c>
      <c r="E876" s="45">
        <f>IF($C876="","",IFERROR(INDEX('Chain Program'!$D$6:$D$120,MATCH($C876,'Chain Program'!$A$6:$A$120,0)),"Unknown ID"))</f>
        <v/>
      </c>
      <c r="F876" s="60" t="n"/>
      <c r="G876" s="60" t="n"/>
      <c r="H876" s="56">
        <f>IF(OR($C876="",$A876=""),"",IF(COUNTIFS('Promo Calendar'!$A$6:$A$400,$C876,'Promo Calendar'!$D$6:$D$400,IF($G876="","All",$G876),'Promo Calendar'!$I$6:$I$400,"&lt;="&amp;$A876,'Promo Calendar'!$J$6:$J$400,"&gt;="&amp;$A876,'Promo Calendar'!$G$6:$G$400,"&gt;0")&gt;0,_xlfn.MINIFS('Promo Calendar'!$G$6:$G$400,'Promo Calendar'!$A$6:$A$400,$C876,'Promo Calendar'!$D$6:$D$400,IF($G876="","All",$G876),'Promo Calendar'!$I$6:$I$400,"&lt;="&amp;$A876,'Promo Calendar'!$J$6:$J$400,"&gt;="&amp;$A876,'Promo Calendar'!$G$6:$G$400,"&gt;0"),IF(COUNTIFS('Promo Calendar'!$A$6:$A$400,$C876,'Promo Calendar'!$D$6:$D$400,"All",'Promo Calendar'!$I$6:$I$400,"&lt;="&amp;$A876,'Promo Calendar'!$J$6:$J$400,"&gt;="&amp;$A876,'Promo Calendar'!$G$6:$G$400,"&gt;0")&gt;0,_xlfn.MINIFS('Promo Calendar'!$G$6:$G$400,'Promo Calendar'!$A$6:$A$400,$C876,'Promo Calendar'!$D$6:$D$400,"All",'Promo Calendar'!$I$6:$I$400,"&lt;="&amp;$A876,'Promo Calendar'!$J$6:$J$400,"&gt;="&amp;$A876,'Promo Calendar'!$G$6:$G$400,"&gt;0"),IFERROR(IF(INDEX('Chain Program'!$M$6:$M$120,MATCH($C876,'Chain Program'!$A$6:$A$120,0))="","Not set",INDEX('Chain Program'!$M$6:$M$120,MATCH($C876,'Chain Program'!$A$6:$A$120,0))),"Not set"))))</f>
        <v/>
      </c>
      <c r="I876" s="61" t="n"/>
      <c r="J876" s="45">
        <f>IF($I876="","",IF(NOT(ISNUMBER($H876)),"No plan price",IF(ABS($I876-$H876)&lt;0.005,"Match",IF($I876&gt;$H876,"Over plan","Under plan"))))</f>
        <v/>
      </c>
      <c r="K876" s="60" t="n"/>
      <c r="L876" s="60" t="n"/>
      <c r="M876" s="60" t="n"/>
      <c r="N876" s="60" t="n"/>
      <c r="O876" s="60" t="n"/>
      <c r="P876" s="62" t="n"/>
      <c r="Q876" s="62" t="n"/>
      <c r="R876" s="60" t="n"/>
      <c r="S876" s="59" t="n"/>
      <c r="T876" s="60" t="n"/>
      <c r="U876" s="59" t="n"/>
      <c r="V876" s="45">
        <f>IF(OR($A876="",$T876="",$T876="No Issue"),"",IF($T876="Resolved",IF($U876="","",$U876-$A876),TODAY()-$A876))</f>
        <v/>
      </c>
      <c r="W876" s="47">
        <f>IF(AND($C876&lt;&gt;"",$C876='Store History'!$C$4,OR('Store History'!$C$5="",$F876='Store History'!$C$5)),1,0)</f>
        <v/>
      </c>
      <c r="X876" s="47">
        <f>IF($W876=1,SUM($W876:$W$1005),"")</f>
        <v/>
      </c>
    </row>
    <row r="877">
      <c r="A877" s="59" t="n"/>
      <c r="B877" s="60" t="n"/>
      <c r="C877" s="60" t="n"/>
      <c r="D877" s="45">
        <f>IF($C877="","",IFERROR(INDEX('Chain Program'!$B$6:$B$120,MATCH($C877,'Chain Program'!$A$6:$A$120,0)),"Unknown ID"))</f>
        <v/>
      </c>
      <c r="E877" s="45">
        <f>IF($C877="","",IFERROR(INDEX('Chain Program'!$D$6:$D$120,MATCH($C877,'Chain Program'!$A$6:$A$120,0)),"Unknown ID"))</f>
        <v/>
      </c>
      <c r="F877" s="60" t="n"/>
      <c r="G877" s="60" t="n"/>
      <c r="H877" s="56">
        <f>IF(OR($C877="",$A877=""),"",IF(COUNTIFS('Promo Calendar'!$A$6:$A$400,$C877,'Promo Calendar'!$D$6:$D$400,IF($G877="","All",$G877),'Promo Calendar'!$I$6:$I$400,"&lt;="&amp;$A877,'Promo Calendar'!$J$6:$J$400,"&gt;="&amp;$A877,'Promo Calendar'!$G$6:$G$400,"&gt;0")&gt;0,_xlfn.MINIFS('Promo Calendar'!$G$6:$G$400,'Promo Calendar'!$A$6:$A$400,$C877,'Promo Calendar'!$D$6:$D$400,IF($G877="","All",$G877),'Promo Calendar'!$I$6:$I$400,"&lt;="&amp;$A877,'Promo Calendar'!$J$6:$J$400,"&gt;="&amp;$A877,'Promo Calendar'!$G$6:$G$400,"&gt;0"),IF(COUNTIFS('Promo Calendar'!$A$6:$A$400,$C877,'Promo Calendar'!$D$6:$D$400,"All",'Promo Calendar'!$I$6:$I$400,"&lt;="&amp;$A877,'Promo Calendar'!$J$6:$J$400,"&gt;="&amp;$A877,'Promo Calendar'!$G$6:$G$400,"&gt;0")&gt;0,_xlfn.MINIFS('Promo Calendar'!$G$6:$G$400,'Promo Calendar'!$A$6:$A$400,$C877,'Promo Calendar'!$D$6:$D$400,"All",'Promo Calendar'!$I$6:$I$400,"&lt;="&amp;$A877,'Promo Calendar'!$J$6:$J$400,"&gt;="&amp;$A877,'Promo Calendar'!$G$6:$G$400,"&gt;0"),IFERROR(IF(INDEX('Chain Program'!$M$6:$M$120,MATCH($C877,'Chain Program'!$A$6:$A$120,0))="","Not set",INDEX('Chain Program'!$M$6:$M$120,MATCH($C877,'Chain Program'!$A$6:$A$120,0))),"Not set"))))</f>
        <v/>
      </c>
      <c r="I877" s="61" t="n"/>
      <c r="J877" s="45">
        <f>IF($I877="","",IF(NOT(ISNUMBER($H877)),"No plan price",IF(ABS($I877-$H877)&lt;0.005,"Match",IF($I877&gt;$H877,"Over plan","Under plan"))))</f>
        <v/>
      </c>
      <c r="K877" s="60" t="n"/>
      <c r="L877" s="60" t="n"/>
      <c r="M877" s="60" t="n"/>
      <c r="N877" s="60" t="n"/>
      <c r="O877" s="60" t="n"/>
      <c r="P877" s="62" t="n"/>
      <c r="Q877" s="62" t="n"/>
      <c r="R877" s="60" t="n"/>
      <c r="S877" s="59" t="n"/>
      <c r="T877" s="60" t="n"/>
      <c r="U877" s="59" t="n"/>
      <c r="V877" s="45">
        <f>IF(OR($A877="",$T877="",$T877="No Issue"),"",IF($T877="Resolved",IF($U877="","",$U877-$A877),TODAY()-$A877))</f>
        <v/>
      </c>
      <c r="W877" s="47">
        <f>IF(AND($C877&lt;&gt;"",$C877='Store History'!$C$4,OR('Store History'!$C$5="",$F877='Store History'!$C$5)),1,0)</f>
        <v/>
      </c>
      <c r="X877" s="47">
        <f>IF($W877=1,SUM($W877:$W$1005),"")</f>
        <v/>
      </c>
    </row>
    <row r="878">
      <c r="A878" s="59" t="n"/>
      <c r="B878" s="60" t="n"/>
      <c r="C878" s="60" t="n"/>
      <c r="D878" s="45">
        <f>IF($C878="","",IFERROR(INDEX('Chain Program'!$B$6:$B$120,MATCH($C878,'Chain Program'!$A$6:$A$120,0)),"Unknown ID"))</f>
        <v/>
      </c>
      <c r="E878" s="45">
        <f>IF($C878="","",IFERROR(INDEX('Chain Program'!$D$6:$D$120,MATCH($C878,'Chain Program'!$A$6:$A$120,0)),"Unknown ID"))</f>
        <v/>
      </c>
      <c r="F878" s="60" t="n"/>
      <c r="G878" s="60" t="n"/>
      <c r="H878" s="56">
        <f>IF(OR($C878="",$A878=""),"",IF(COUNTIFS('Promo Calendar'!$A$6:$A$400,$C878,'Promo Calendar'!$D$6:$D$400,IF($G878="","All",$G878),'Promo Calendar'!$I$6:$I$400,"&lt;="&amp;$A878,'Promo Calendar'!$J$6:$J$400,"&gt;="&amp;$A878,'Promo Calendar'!$G$6:$G$400,"&gt;0")&gt;0,_xlfn.MINIFS('Promo Calendar'!$G$6:$G$400,'Promo Calendar'!$A$6:$A$400,$C878,'Promo Calendar'!$D$6:$D$400,IF($G878="","All",$G878),'Promo Calendar'!$I$6:$I$400,"&lt;="&amp;$A878,'Promo Calendar'!$J$6:$J$400,"&gt;="&amp;$A878,'Promo Calendar'!$G$6:$G$400,"&gt;0"),IF(COUNTIFS('Promo Calendar'!$A$6:$A$400,$C878,'Promo Calendar'!$D$6:$D$400,"All",'Promo Calendar'!$I$6:$I$400,"&lt;="&amp;$A878,'Promo Calendar'!$J$6:$J$400,"&gt;="&amp;$A878,'Promo Calendar'!$G$6:$G$400,"&gt;0")&gt;0,_xlfn.MINIFS('Promo Calendar'!$G$6:$G$400,'Promo Calendar'!$A$6:$A$400,$C878,'Promo Calendar'!$D$6:$D$400,"All",'Promo Calendar'!$I$6:$I$400,"&lt;="&amp;$A878,'Promo Calendar'!$J$6:$J$400,"&gt;="&amp;$A878,'Promo Calendar'!$G$6:$G$400,"&gt;0"),IFERROR(IF(INDEX('Chain Program'!$M$6:$M$120,MATCH($C878,'Chain Program'!$A$6:$A$120,0))="","Not set",INDEX('Chain Program'!$M$6:$M$120,MATCH($C878,'Chain Program'!$A$6:$A$120,0))),"Not set"))))</f>
        <v/>
      </c>
      <c r="I878" s="61" t="n"/>
      <c r="J878" s="45">
        <f>IF($I878="","",IF(NOT(ISNUMBER($H878)),"No plan price",IF(ABS($I878-$H878)&lt;0.005,"Match",IF($I878&gt;$H878,"Over plan","Under plan"))))</f>
        <v/>
      </c>
      <c r="K878" s="60" t="n"/>
      <c r="L878" s="60" t="n"/>
      <c r="M878" s="60" t="n"/>
      <c r="N878" s="60" t="n"/>
      <c r="O878" s="60" t="n"/>
      <c r="P878" s="62" t="n"/>
      <c r="Q878" s="62" t="n"/>
      <c r="R878" s="60" t="n"/>
      <c r="S878" s="59" t="n"/>
      <c r="T878" s="60" t="n"/>
      <c r="U878" s="59" t="n"/>
      <c r="V878" s="45">
        <f>IF(OR($A878="",$T878="",$T878="No Issue"),"",IF($T878="Resolved",IF($U878="","",$U878-$A878),TODAY()-$A878))</f>
        <v/>
      </c>
      <c r="W878" s="47">
        <f>IF(AND($C878&lt;&gt;"",$C878='Store History'!$C$4,OR('Store History'!$C$5="",$F878='Store History'!$C$5)),1,0)</f>
        <v/>
      </c>
      <c r="X878" s="47">
        <f>IF($W878=1,SUM($W878:$W$1005),"")</f>
        <v/>
      </c>
    </row>
    <row r="879">
      <c r="A879" s="59" t="n"/>
      <c r="B879" s="60" t="n"/>
      <c r="C879" s="60" t="n"/>
      <c r="D879" s="45">
        <f>IF($C879="","",IFERROR(INDEX('Chain Program'!$B$6:$B$120,MATCH($C879,'Chain Program'!$A$6:$A$120,0)),"Unknown ID"))</f>
        <v/>
      </c>
      <c r="E879" s="45">
        <f>IF($C879="","",IFERROR(INDEX('Chain Program'!$D$6:$D$120,MATCH($C879,'Chain Program'!$A$6:$A$120,0)),"Unknown ID"))</f>
        <v/>
      </c>
      <c r="F879" s="60" t="n"/>
      <c r="G879" s="60" t="n"/>
      <c r="H879" s="56">
        <f>IF(OR($C879="",$A879=""),"",IF(COUNTIFS('Promo Calendar'!$A$6:$A$400,$C879,'Promo Calendar'!$D$6:$D$400,IF($G879="","All",$G879),'Promo Calendar'!$I$6:$I$400,"&lt;="&amp;$A879,'Promo Calendar'!$J$6:$J$400,"&gt;="&amp;$A879,'Promo Calendar'!$G$6:$G$400,"&gt;0")&gt;0,_xlfn.MINIFS('Promo Calendar'!$G$6:$G$400,'Promo Calendar'!$A$6:$A$400,$C879,'Promo Calendar'!$D$6:$D$400,IF($G879="","All",$G879),'Promo Calendar'!$I$6:$I$400,"&lt;="&amp;$A879,'Promo Calendar'!$J$6:$J$400,"&gt;="&amp;$A879,'Promo Calendar'!$G$6:$G$400,"&gt;0"),IF(COUNTIFS('Promo Calendar'!$A$6:$A$400,$C879,'Promo Calendar'!$D$6:$D$400,"All",'Promo Calendar'!$I$6:$I$400,"&lt;="&amp;$A879,'Promo Calendar'!$J$6:$J$400,"&gt;="&amp;$A879,'Promo Calendar'!$G$6:$G$400,"&gt;0")&gt;0,_xlfn.MINIFS('Promo Calendar'!$G$6:$G$400,'Promo Calendar'!$A$6:$A$400,$C879,'Promo Calendar'!$D$6:$D$400,"All",'Promo Calendar'!$I$6:$I$400,"&lt;="&amp;$A879,'Promo Calendar'!$J$6:$J$400,"&gt;="&amp;$A879,'Promo Calendar'!$G$6:$G$400,"&gt;0"),IFERROR(IF(INDEX('Chain Program'!$M$6:$M$120,MATCH($C879,'Chain Program'!$A$6:$A$120,0))="","Not set",INDEX('Chain Program'!$M$6:$M$120,MATCH($C879,'Chain Program'!$A$6:$A$120,0))),"Not set"))))</f>
        <v/>
      </c>
      <c r="I879" s="61" t="n"/>
      <c r="J879" s="45">
        <f>IF($I879="","",IF(NOT(ISNUMBER($H879)),"No plan price",IF(ABS($I879-$H879)&lt;0.005,"Match",IF($I879&gt;$H879,"Over plan","Under plan"))))</f>
        <v/>
      </c>
      <c r="K879" s="60" t="n"/>
      <c r="L879" s="60" t="n"/>
      <c r="M879" s="60" t="n"/>
      <c r="N879" s="60" t="n"/>
      <c r="O879" s="60" t="n"/>
      <c r="P879" s="62" t="n"/>
      <c r="Q879" s="62" t="n"/>
      <c r="R879" s="60" t="n"/>
      <c r="S879" s="59" t="n"/>
      <c r="T879" s="60" t="n"/>
      <c r="U879" s="59" t="n"/>
      <c r="V879" s="45">
        <f>IF(OR($A879="",$T879="",$T879="No Issue"),"",IF($T879="Resolved",IF($U879="","",$U879-$A879),TODAY()-$A879))</f>
        <v/>
      </c>
      <c r="W879" s="47">
        <f>IF(AND($C879&lt;&gt;"",$C879='Store History'!$C$4,OR('Store History'!$C$5="",$F879='Store History'!$C$5)),1,0)</f>
        <v/>
      </c>
      <c r="X879" s="47">
        <f>IF($W879=1,SUM($W879:$W$1005),"")</f>
        <v/>
      </c>
    </row>
    <row r="880">
      <c r="A880" s="59" t="n"/>
      <c r="B880" s="60" t="n"/>
      <c r="C880" s="60" t="n"/>
      <c r="D880" s="45">
        <f>IF($C880="","",IFERROR(INDEX('Chain Program'!$B$6:$B$120,MATCH($C880,'Chain Program'!$A$6:$A$120,0)),"Unknown ID"))</f>
        <v/>
      </c>
      <c r="E880" s="45">
        <f>IF($C880="","",IFERROR(INDEX('Chain Program'!$D$6:$D$120,MATCH($C880,'Chain Program'!$A$6:$A$120,0)),"Unknown ID"))</f>
        <v/>
      </c>
      <c r="F880" s="60" t="n"/>
      <c r="G880" s="60" t="n"/>
      <c r="H880" s="56">
        <f>IF(OR($C880="",$A880=""),"",IF(COUNTIFS('Promo Calendar'!$A$6:$A$400,$C880,'Promo Calendar'!$D$6:$D$400,IF($G880="","All",$G880),'Promo Calendar'!$I$6:$I$400,"&lt;="&amp;$A880,'Promo Calendar'!$J$6:$J$400,"&gt;="&amp;$A880,'Promo Calendar'!$G$6:$G$400,"&gt;0")&gt;0,_xlfn.MINIFS('Promo Calendar'!$G$6:$G$400,'Promo Calendar'!$A$6:$A$400,$C880,'Promo Calendar'!$D$6:$D$400,IF($G880="","All",$G880),'Promo Calendar'!$I$6:$I$400,"&lt;="&amp;$A880,'Promo Calendar'!$J$6:$J$400,"&gt;="&amp;$A880,'Promo Calendar'!$G$6:$G$400,"&gt;0"),IF(COUNTIFS('Promo Calendar'!$A$6:$A$400,$C880,'Promo Calendar'!$D$6:$D$400,"All",'Promo Calendar'!$I$6:$I$400,"&lt;="&amp;$A880,'Promo Calendar'!$J$6:$J$400,"&gt;="&amp;$A880,'Promo Calendar'!$G$6:$G$400,"&gt;0")&gt;0,_xlfn.MINIFS('Promo Calendar'!$G$6:$G$400,'Promo Calendar'!$A$6:$A$400,$C880,'Promo Calendar'!$D$6:$D$400,"All",'Promo Calendar'!$I$6:$I$400,"&lt;="&amp;$A880,'Promo Calendar'!$J$6:$J$400,"&gt;="&amp;$A880,'Promo Calendar'!$G$6:$G$400,"&gt;0"),IFERROR(IF(INDEX('Chain Program'!$M$6:$M$120,MATCH($C880,'Chain Program'!$A$6:$A$120,0))="","Not set",INDEX('Chain Program'!$M$6:$M$120,MATCH($C880,'Chain Program'!$A$6:$A$120,0))),"Not set"))))</f>
        <v/>
      </c>
      <c r="I880" s="61" t="n"/>
      <c r="J880" s="45">
        <f>IF($I880="","",IF(NOT(ISNUMBER($H880)),"No plan price",IF(ABS($I880-$H880)&lt;0.005,"Match",IF($I880&gt;$H880,"Over plan","Under plan"))))</f>
        <v/>
      </c>
      <c r="K880" s="60" t="n"/>
      <c r="L880" s="60" t="n"/>
      <c r="M880" s="60" t="n"/>
      <c r="N880" s="60" t="n"/>
      <c r="O880" s="60" t="n"/>
      <c r="P880" s="62" t="n"/>
      <c r="Q880" s="62" t="n"/>
      <c r="R880" s="60" t="n"/>
      <c r="S880" s="59" t="n"/>
      <c r="T880" s="60" t="n"/>
      <c r="U880" s="59" t="n"/>
      <c r="V880" s="45">
        <f>IF(OR($A880="",$T880="",$T880="No Issue"),"",IF($T880="Resolved",IF($U880="","",$U880-$A880),TODAY()-$A880))</f>
        <v/>
      </c>
      <c r="W880" s="47">
        <f>IF(AND($C880&lt;&gt;"",$C880='Store History'!$C$4,OR('Store History'!$C$5="",$F880='Store History'!$C$5)),1,0)</f>
        <v/>
      </c>
      <c r="X880" s="47">
        <f>IF($W880=1,SUM($W880:$W$1005),"")</f>
        <v/>
      </c>
    </row>
    <row r="881">
      <c r="A881" s="59" t="n"/>
      <c r="B881" s="60" t="n"/>
      <c r="C881" s="60" t="n"/>
      <c r="D881" s="45">
        <f>IF($C881="","",IFERROR(INDEX('Chain Program'!$B$6:$B$120,MATCH($C881,'Chain Program'!$A$6:$A$120,0)),"Unknown ID"))</f>
        <v/>
      </c>
      <c r="E881" s="45">
        <f>IF($C881="","",IFERROR(INDEX('Chain Program'!$D$6:$D$120,MATCH($C881,'Chain Program'!$A$6:$A$120,0)),"Unknown ID"))</f>
        <v/>
      </c>
      <c r="F881" s="60" t="n"/>
      <c r="G881" s="60" t="n"/>
      <c r="H881" s="56">
        <f>IF(OR($C881="",$A881=""),"",IF(COUNTIFS('Promo Calendar'!$A$6:$A$400,$C881,'Promo Calendar'!$D$6:$D$400,IF($G881="","All",$G881),'Promo Calendar'!$I$6:$I$400,"&lt;="&amp;$A881,'Promo Calendar'!$J$6:$J$400,"&gt;="&amp;$A881,'Promo Calendar'!$G$6:$G$400,"&gt;0")&gt;0,_xlfn.MINIFS('Promo Calendar'!$G$6:$G$400,'Promo Calendar'!$A$6:$A$400,$C881,'Promo Calendar'!$D$6:$D$400,IF($G881="","All",$G881),'Promo Calendar'!$I$6:$I$400,"&lt;="&amp;$A881,'Promo Calendar'!$J$6:$J$400,"&gt;="&amp;$A881,'Promo Calendar'!$G$6:$G$400,"&gt;0"),IF(COUNTIFS('Promo Calendar'!$A$6:$A$400,$C881,'Promo Calendar'!$D$6:$D$400,"All",'Promo Calendar'!$I$6:$I$400,"&lt;="&amp;$A881,'Promo Calendar'!$J$6:$J$400,"&gt;="&amp;$A881,'Promo Calendar'!$G$6:$G$400,"&gt;0")&gt;0,_xlfn.MINIFS('Promo Calendar'!$G$6:$G$400,'Promo Calendar'!$A$6:$A$400,$C881,'Promo Calendar'!$D$6:$D$400,"All",'Promo Calendar'!$I$6:$I$400,"&lt;="&amp;$A881,'Promo Calendar'!$J$6:$J$400,"&gt;="&amp;$A881,'Promo Calendar'!$G$6:$G$400,"&gt;0"),IFERROR(IF(INDEX('Chain Program'!$M$6:$M$120,MATCH($C881,'Chain Program'!$A$6:$A$120,0))="","Not set",INDEX('Chain Program'!$M$6:$M$120,MATCH($C881,'Chain Program'!$A$6:$A$120,0))),"Not set"))))</f>
        <v/>
      </c>
      <c r="I881" s="61" t="n"/>
      <c r="J881" s="45">
        <f>IF($I881="","",IF(NOT(ISNUMBER($H881)),"No plan price",IF(ABS($I881-$H881)&lt;0.005,"Match",IF($I881&gt;$H881,"Over plan","Under plan"))))</f>
        <v/>
      </c>
      <c r="K881" s="60" t="n"/>
      <c r="L881" s="60" t="n"/>
      <c r="M881" s="60" t="n"/>
      <c r="N881" s="60" t="n"/>
      <c r="O881" s="60" t="n"/>
      <c r="P881" s="62" t="n"/>
      <c r="Q881" s="62" t="n"/>
      <c r="R881" s="60" t="n"/>
      <c r="S881" s="59" t="n"/>
      <c r="T881" s="60" t="n"/>
      <c r="U881" s="59" t="n"/>
      <c r="V881" s="45">
        <f>IF(OR($A881="",$T881="",$T881="No Issue"),"",IF($T881="Resolved",IF($U881="","",$U881-$A881),TODAY()-$A881))</f>
        <v/>
      </c>
      <c r="W881" s="47">
        <f>IF(AND($C881&lt;&gt;"",$C881='Store History'!$C$4,OR('Store History'!$C$5="",$F881='Store History'!$C$5)),1,0)</f>
        <v/>
      </c>
      <c r="X881" s="47">
        <f>IF($W881=1,SUM($W881:$W$1005),"")</f>
        <v/>
      </c>
    </row>
    <row r="882">
      <c r="A882" s="59" t="n"/>
      <c r="B882" s="60" t="n"/>
      <c r="C882" s="60" t="n"/>
      <c r="D882" s="45">
        <f>IF($C882="","",IFERROR(INDEX('Chain Program'!$B$6:$B$120,MATCH($C882,'Chain Program'!$A$6:$A$120,0)),"Unknown ID"))</f>
        <v/>
      </c>
      <c r="E882" s="45">
        <f>IF($C882="","",IFERROR(INDEX('Chain Program'!$D$6:$D$120,MATCH($C882,'Chain Program'!$A$6:$A$120,0)),"Unknown ID"))</f>
        <v/>
      </c>
      <c r="F882" s="60" t="n"/>
      <c r="G882" s="60" t="n"/>
      <c r="H882" s="56">
        <f>IF(OR($C882="",$A882=""),"",IF(COUNTIFS('Promo Calendar'!$A$6:$A$400,$C882,'Promo Calendar'!$D$6:$D$400,IF($G882="","All",$G882),'Promo Calendar'!$I$6:$I$400,"&lt;="&amp;$A882,'Promo Calendar'!$J$6:$J$400,"&gt;="&amp;$A882,'Promo Calendar'!$G$6:$G$400,"&gt;0")&gt;0,_xlfn.MINIFS('Promo Calendar'!$G$6:$G$400,'Promo Calendar'!$A$6:$A$400,$C882,'Promo Calendar'!$D$6:$D$400,IF($G882="","All",$G882),'Promo Calendar'!$I$6:$I$400,"&lt;="&amp;$A882,'Promo Calendar'!$J$6:$J$400,"&gt;="&amp;$A882,'Promo Calendar'!$G$6:$G$400,"&gt;0"),IF(COUNTIFS('Promo Calendar'!$A$6:$A$400,$C882,'Promo Calendar'!$D$6:$D$400,"All",'Promo Calendar'!$I$6:$I$400,"&lt;="&amp;$A882,'Promo Calendar'!$J$6:$J$400,"&gt;="&amp;$A882,'Promo Calendar'!$G$6:$G$400,"&gt;0")&gt;0,_xlfn.MINIFS('Promo Calendar'!$G$6:$G$400,'Promo Calendar'!$A$6:$A$400,$C882,'Promo Calendar'!$D$6:$D$400,"All",'Promo Calendar'!$I$6:$I$400,"&lt;="&amp;$A882,'Promo Calendar'!$J$6:$J$400,"&gt;="&amp;$A882,'Promo Calendar'!$G$6:$G$400,"&gt;0"),IFERROR(IF(INDEX('Chain Program'!$M$6:$M$120,MATCH($C882,'Chain Program'!$A$6:$A$120,0))="","Not set",INDEX('Chain Program'!$M$6:$M$120,MATCH($C882,'Chain Program'!$A$6:$A$120,0))),"Not set"))))</f>
        <v/>
      </c>
      <c r="I882" s="61" t="n"/>
      <c r="J882" s="45">
        <f>IF($I882="","",IF(NOT(ISNUMBER($H882)),"No plan price",IF(ABS($I882-$H882)&lt;0.005,"Match",IF($I882&gt;$H882,"Over plan","Under plan"))))</f>
        <v/>
      </c>
      <c r="K882" s="60" t="n"/>
      <c r="L882" s="60" t="n"/>
      <c r="M882" s="60" t="n"/>
      <c r="N882" s="60" t="n"/>
      <c r="O882" s="60" t="n"/>
      <c r="P882" s="62" t="n"/>
      <c r="Q882" s="62" t="n"/>
      <c r="R882" s="60" t="n"/>
      <c r="S882" s="59" t="n"/>
      <c r="T882" s="60" t="n"/>
      <c r="U882" s="59" t="n"/>
      <c r="V882" s="45">
        <f>IF(OR($A882="",$T882="",$T882="No Issue"),"",IF($T882="Resolved",IF($U882="","",$U882-$A882),TODAY()-$A882))</f>
        <v/>
      </c>
      <c r="W882" s="47">
        <f>IF(AND($C882&lt;&gt;"",$C882='Store History'!$C$4,OR('Store History'!$C$5="",$F882='Store History'!$C$5)),1,0)</f>
        <v/>
      </c>
      <c r="X882" s="47">
        <f>IF($W882=1,SUM($W882:$W$1005),"")</f>
        <v/>
      </c>
    </row>
    <row r="883">
      <c r="A883" s="59" t="n"/>
      <c r="B883" s="60" t="n"/>
      <c r="C883" s="60" t="n"/>
      <c r="D883" s="45">
        <f>IF($C883="","",IFERROR(INDEX('Chain Program'!$B$6:$B$120,MATCH($C883,'Chain Program'!$A$6:$A$120,0)),"Unknown ID"))</f>
        <v/>
      </c>
      <c r="E883" s="45">
        <f>IF($C883="","",IFERROR(INDEX('Chain Program'!$D$6:$D$120,MATCH($C883,'Chain Program'!$A$6:$A$120,0)),"Unknown ID"))</f>
        <v/>
      </c>
      <c r="F883" s="60" t="n"/>
      <c r="G883" s="60" t="n"/>
      <c r="H883" s="56">
        <f>IF(OR($C883="",$A883=""),"",IF(COUNTIFS('Promo Calendar'!$A$6:$A$400,$C883,'Promo Calendar'!$D$6:$D$400,IF($G883="","All",$G883),'Promo Calendar'!$I$6:$I$400,"&lt;="&amp;$A883,'Promo Calendar'!$J$6:$J$400,"&gt;="&amp;$A883,'Promo Calendar'!$G$6:$G$400,"&gt;0")&gt;0,_xlfn.MINIFS('Promo Calendar'!$G$6:$G$400,'Promo Calendar'!$A$6:$A$400,$C883,'Promo Calendar'!$D$6:$D$400,IF($G883="","All",$G883),'Promo Calendar'!$I$6:$I$400,"&lt;="&amp;$A883,'Promo Calendar'!$J$6:$J$400,"&gt;="&amp;$A883,'Promo Calendar'!$G$6:$G$400,"&gt;0"),IF(COUNTIFS('Promo Calendar'!$A$6:$A$400,$C883,'Promo Calendar'!$D$6:$D$400,"All",'Promo Calendar'!$I$6:$I$400,"&lt;="&amp;$A883,'Promo Calendar'!$J$6:$J$400,"&gt;="&amp;$A883,'Promo Calendar'!$G$6:$G$400,"&gt;0")&gt;0,_xlfn.MINIFS('Promo Calendar'!$G$6:$G$400,'Promo Calendar'!$A$6:$A$400,$C883,'Promo Calendar'!$D$6:$D$400,"All",'Promo Calendar'!$I$6:$I$400,"&lt;="&amp;$A883,'Promo Calendar'!$J$6:$J$400,"&gt;="&amp;$A883,'Promo Calendar'!$G$6:$G$400,"&gt;0"),IFERROR(IF(INDEX('Chain Program'!$M$6:$M$120,MATCH($C883,'Chain Program'!$A$6:$A$120,0))="","Not set",INDEX('Chain Program'!$M$6:$M$120,MATCH($C883,'Chain Program'!$A$6:$A$120,0))),"Not set"))))</f>
        <v/>
      </c>
      <c r="I883" s="61" t="n"/>
      <c r="J883" s="45">
        <f>IF($I883="","",IF(NOT(ISNUMBER($H883)),"No plan price",IF(ABS($I883-$H883)&lt;0.005,"Match",IF($I883&gt;$H883,"Over plan","Under plan"))))</f>
        <v/>
      </c>
      <c r="K883" s="60" t="n"/>
      <c r="L883" s="60" t="n"/>
      <c r="M883" s="60" t="n"/>
      <c r="N883" s="60" t="n"/>
      <c r="O883" s="60" t="n"/>
      <c r="P883" s="62" t="n"/>
      <c r="Q883" s="62" t="n"/>
      <c r="R883" s="60" t="n"/>
      <c r="S883" s="59" t="n"/>
      <c r="T883" s="60" t="n"/>
      <c r="U883" s="59" t="n"/>
      <c r="V883" s="45">
        <f>IF(OR($A883="",$T883="",$T883="No Issue"),"",IF($T883="Resolved",IF($U883="","",$U883-$A883),TODAY()-$A883))</f>
        <v/>
      </c>
      <c r="W883" s="47">
        <f>IF(AND($C883&lt;&gt;"",$C883='Store History'!$C$4,OR('Store History'!$C$5="",$F883='Store History'!$C$5)),1,0)</f>
        <v/>
      </c>
      <c r="X883" s="47">
        <f>IF($W883=1,SUM($W883:$W$1005),"")</f>
        <v/>
      </c>
    </row>
    <row r="884">
      <c r="A884" s="59" t="n"/>
      <c r="B884" s="60" t="n"/>
      <c r="C884" s="60" t="n"/>
      <c r="D884" s="45">
        <f>IF($C884="","",IFERROR(INDEX('Chain Program'!$B$6:$B$120,MATCH($C884,'Chain Program'!$A$6:$A$120,0)),"Unknown ID"))</f>
        <v/>
      </c>
      <c r="E884" s="45">
        <f>IF($C884="","",IFERROR(INDEX('Chain Program'!$D$6:$D$120,MATCH($C884,'Chain Program'!$A$6:$A$120,0)),"Unknown ID"))</f>
        <v/>
      </c>
      <c r="F884" s="60" t="n"/>
      <c r="G884" s="60" t="n"/>
      <c r="H884" s="56">
        <f>IF(OR($C884="",$A884=""),"",IF(COUNTIFS('Promo Calendar'!$A$6:$A$400,$C884,'Promo Calendar'!$D$6:$D$400,IF($G884="","All",$G884),'Promo Calendar'!$I$6:$I$400,"&lt;="&amp;$A884,'Promo Calendar'!$J$6:$J$400,"&gt;="&amp;$A884,'Promo Calendar'!$G$6:$G$400,"&gt;0")&gt;0,_xlfn.MINIFS('Promo Calendar'!$G$6:$G$400,'Promo Calendar'!$A$6:$A$400,$C884,'Promo Calendar'!$D$6:$D$400,IF($G884="","All",$G884),'Promo Calendar'!$I$6:$I$400,"&lt;="&amp;$A884,'Promo Calendar'!$J$6:$J$400,"&gt;="&amp;$A884,'Promo Calendar'!$G$6:$G$400,"&gt;0"),IF(COUNTIFS('Promo Calendar'!$A$6:$A$400,$C884,'Promo Calendar'!$D$6:$D$400,"All",'Promo Calendar'!$I$6:$I$400,"&lt;="&amp;$A884,'Promo Calendar'!$J$6:$J$400,"&gt;="&amp;$A884,'Promo Calendar'!$G$6:$G$400,"&gt;0")&gt;0,_xlfn.MINIFS('Promo Calendar'!$G$6:$G$400,'Promo Calendar'!$A$6:$A$400,$C884,'Promo Calendar'!$D$6:$D$400,"All",'Promo Calendar'!$I$6:$I$400,"&lt;="&amp;$A884,'Promo Calendar'!$J$6:$J$400,"&gt;="&amp;$A884,'Promo Calendar'!$G$6:$G$400,"&gt;0"),IFERROR(IF(INDEX('Chain Program'!$M$6:$M$120,MATCH($C884,'Chain Program'!$A$6:$A$120,0))="","Not set",INDEX('Chain Program'!$M$6:$M$120,MATCH($C884,'Chain Program'!$A$6:$A$120,0))),"Not set"))))</f>
        <v/>
      </c>
      <c r="I884" s="61" t="n"/>
      <c r="J884" s="45">
        <f>IF($I884="","",IF(NOT(ISNUMBER($H884)),"No plan price",IF(ABS($I884-$H884)&lt;0.005,"Match",IF($I884&gt;$H884,"Over plan","Under plan"))))</f>
        <v/>
      </c>
      <c r="K884" s="60" t="n"/>
      <c r="L884" s="60" t="n"/>
      <c r="M884" s="60" t="n"/>
      <c r="N884" s="60" t="n"/>
      <c r="O884" s="60" t="n"/>
      <c r="P884" s="62" t="n"/>
      <c r="Q884" s="62" t="n"/>
      <c r="R884" s="60" t="n"/>
      <c r="S884" s="59" t="n"/>
      <c r="T884" s="60" t="n"/>
      <c r="U884" s="59" t="n"/>
      <c r="V884" s="45">
        <f>IF(OR($A884="",$T884="",$T884="No Issue"),"",IF($T884="Resolved",IF($U884="","",$U884-$A884),TODAY()-$A884))</f>
        <v/>
      </c>
      <c r="W884" s="47">
        <f>IF(AND($C884&lt;&gt;"",$C884='Store History'!$C$4,OR('Store History'!$C$5="",$F884='Store History'!$C$5)),1,0)</f>
        <v/>
      </c>
      <c r="X884" s="47">
        <f>IF($W884=1,SUM($W884:$W$1005),"")</f>
        <v/>
      </c>
    </row>
    <row r="885">
      <c r="A885" s="59" t="n"/>
      <c r="B885" s="60" t="n"/>
      <c r="C885" s="60" t="n"/>
      <c r="D885" s="45">
        <f>IF($C885="","",IFERROR(INDEX('Chain Program'!$B$6:$B$120,MATCH($C885,'Chain Program'!$A$6:$A$120,0)),"Unknown ID"))</f>
        <v/>
      </c>
      <c r="E885" s="45">
        <f>IF($C885="","",IFERROR(INDEX('Chain Program'!$D$6:$D$120,MATCH($C885,'Chain Program'!$A$6:$A$120,0)),"Unknown ID"))</f>
        <v/>
      </c>
      <c r="F885" s="60" t="n"/>
      <c r="G885" s="60" t="n"/>
      <c r="H885" s="56">
        <f>IF(OR($C885="",$A885=""),"",IF(COUNTIFS('Promo Calendar'!$A$6:$A$400,$C885,'Promo Calendar'!$D$6:$D$400,IF($G885="","All",$G885),'Promo Calendar'!$I$6:$I$400,"&lt;="&amp;$A885,'Promo Calendar'!$J$6:$J$400,"&gt;="&amp;$A885,'Promo Calendar'!$G$6:$G$400,"&gt;0")&gt;0,_xlfn.MINIFS('Promo Calendar'!$G$6:$G$400,'Promo Calendar'!$A$6:$A$400,$C885,'Promo Calendar'!$D$6:$D$400,IF($G885="","All",$G885),'Promo Calendar'!$I$6:$I$400,"&lt;="&amp;$A885,'Promo Calendar'!$J$6:$J$400,"&gt;="&amp;$A885,'Promo Calendar'!$G$6:$G$400,"&gt;0"),IF(COUNTIFS('Promo Calendar'!$A$6:$A$400,$C885,'Promo Calendar'!$D$6:$D$400,"All",'Promo Calendar'!$I$6:$I$400,"&lt;="&amp;$A885,'Promo Calendar'!$J$6:$J$400,"&gt;="&amp;$A885,'Promo Calendar'!$G$6:$G$400,"&gt;0")&gt;0,_xlfn.MINIFS('Promo Calendar'!$G$6:$G$400,'Promo Calendar'!$A$6:$A$400,$C885,'Promo Calendar'!$D$6:$D$400,"All",'Promo Calendar'!$I$6:$I$400,"&lt;="&amp;$A885,'Promo Calendar'!$J$6:$J$400,"&gt;="&amp;$A885,'Promo Calendar'!$G$6:$G$400,"&gt;0"),IFERROR(IF(INDEX('Chain Program'!$M$6:$M$120,MATCH($C885,'Chain Program'!$A$6:$A$120,0))="","Not set",INDEX('Chain Program'!$M$6:$M$120,MATCH($C885,'Chain Program'!$A$6:$A$120,0))),"Not set"))))</f>
        <v/>
      </c>
      <c r="I885" s="61" t="n"/>
      <c r="J885" s="45">
        <f>IF($I885="","",IF(NOT(ISNUMBER($H885)),"No plan price",IF(ABS($I885-$H885)&lt;0.005,"Match",IF($I885&gt;$H885,"Over plan","Under plan"))))</f>
        <v/>
      </c>
      <c r="K885" s="60" t="n"/>
      <c r="L885" s="60" t="n"/>
      <c r="M885" s="60" t="n"/>
      <c r="N885" s="60" t="n"/>
      <c r="O885" s="60" t="n"/>
      <c r="P885" s="62" t="n"/>
      <c r="Q885" s="62" t="n"/>
      <c r="R885" s="60" t="n"/>
      <c r="S885" s="59" t="n"/>
      <c r="T885" s="60" t="n"/>
      <c r="U885" s="59" t="n"/>
      <c r="V885" s="45">
        <f>IF(OR($A885="",$T885="",$T885="No Issue"),"",IF($T885="Resolved",IF($U885="","",$U885-$A885),TODAY()-$A885))</f>
        <v/>
      </c>
      <c r="W885" s="47">
        <f>IF(AND($C885&lt;&gt;"",$C885='Store History'!$C$4,OR('Store History'!$C$5="",$F885='Store History'!$C$5)),1,0)</f>
        <v/>
      </c>
      <c r="X885" s="47">
        <f>IF($W885=1,SUM($W885:$W$1005),"")</f>
        <v/>
      </c>
    </row>
    <row r="886">
      <c r="A886" s="59" t="n"/>
      <c r="B886" s="60" t="n"/>
      <c r="C886" s="60" t="n"/>
      <c r="D886" s="45">
        <f>IF($C886="","",IFERROR(INDEX('Chain Program'!$B$6:$B$120,MATCH($C886,'Chain Program'!$A$6:$A$120,0)),"Unknown ID"))</f>
        <v/>
      </c>
      <c r="E886" s="45">
        <f>IF($C886="","",IFERROR(INDEX('Chain Program'!$D$6:$D$120,MATCH($C886,'Chain Program'!$A$6:$A$120,0)),"Unknown ID"))</f>
        <v/>
      </c>
      <c r="F886" s="60" t="n"/>
      <c r="G886" s="60" t="n"/>
      <c r="H886" s="56">
        <f>IF(OR($C886="",$A886=""),"",IF(COUNTIFS('Promo Calendar'!$A$6:$A$400,$C886,'Promo Calendar'!$D$6:$D$400,IF($G886="","All",$G886),'Promo Calendar'!$I$6:$I$400,"&lt;="&amp;$A886,'Promo Calendar'!$J$6:$J$400,"&gt;="&amp;$A886,'Promo Calendar'!$G$6:$G$400,"&gt;0")&gt;0,_xlfn.MINIFS('Promo Calendar'!$G$6:$G$400,'Promo Calendar'!$A$6:$A$400,$C886,'Promo Calendar'!$D$6:$D$400,IF($G886="","All",$G886),'Promo Calendar'!$I$6:$I$400,"&lt;="&amp;$A886,'Promo Calendar'!$J$6:$J$400,"&gt;="&amp;$A886,'Promo Calendar'!$G$6:$G$400,"&gt;0"),IF(COUNTIFS('Promo Calendar'!$A$6:$A$400,$C886,'Promo Calendar'!$D$6:$D$400,"All",'Promo Calendar'!$I$6:$I$400,"&lt;="&amp;$A886,'Promo Calendar'!$J$6:$J$400,"&gt;="&amp;$A886,'Promo Calendar'!$G$6:$G$400,"&gt;0")&gt;0,_xlfn.MINIFS('Promo Calendar'!$G$6:$G$400,'Promo Calendar'!$A$6:$A$400,$C886,'Promo Calendar'!$D$6:$D$400,"All",'Promo Calendar'!$I$6:$I$400,"&lt;="&amp;$A886,'Promo Calendar'!$J$6:$J$400,"&gt;="&amp;$A886,'Promo Calendar'!$G$6:$G$400,"&gt;0"),IFERROR(IF(INDEX('Chain Program'!$M$6:$M$120,MATCH($C886,'Chain Program'!$A$6:$A$120,0))="","Not set",INDEX('Chain Program'!$M$6:$M$120,MATCH($C886,'Chain Program'!$A$6:$A$120,0))),"Not set"))))</f>
        <v/>
      </c>
      <c r="I886" s="61" t="n"/>
      <c r="J886" s="45">
        <f>IF($I886="","",IF(NOT(ISNUMBER($H886)),"No plan price",IF(ABS($I886-$H886)&lt;0.005,"Match",IF($I886&gt;$H886,"Over plan","Under plan"))))</f>
        <v/>
      </c>
      <c r="K886" s="60" t="n"/>
      <c r="L886" s="60" t="n"/>
      <c r="M886" s="60" t="n"/>
      <c r="N886" s="60" t="n"/>
      <c r="O886" s="60" t="n"/>
      <c r="P886" s="62" t="n"/>
      <c r="Q886" s="62" t="n"/>
      <c r="R886" s="60" t="n"/>
      <c r="S886" s="59" t="n"/>
      <c r="T886" s="60" t="n"/>
      <c r="U886" s="59" t="n"/>
      <c r="V886" s="45">
        <f>IF(OR($A886="",$T886="",$T886="No Issue"),"",IF($T886="Resolved",IF($U886="","",$U886-$A886),TODAY()-$A886))</f>
        <v/>
      </c>
      <c r="W886" s="47">
        <f>IF(AND($C886&lt;&gt;"",$C886='Store History'!$C$4,OR('Store History'!$C$5="",$F886='Store History'!$C$5)),1,0)</f>
        <v/>
      </c>
      <c r="X886" s="47">
        <f>IF($W886=1,SUM($W886:$W$1005),"")</f>
        <v/>
      </c>
    </row>
    <row r="887">
      <c r="A887" s="59" t="n"/>
      <c r="B887" s="60" t="n"/>
      <c r="C887" s="60" t="n"/>
      <c r="D887" s="45">
        <f>IF($C887="","",IFERROR(INDEX('Chain Program'!$B$6:$B$120,MATCH($C887,'Chain Program'!$A$6:$A$120,0)),"Unknown ID"))</f>
        <v/>
      </c>
      <c r="E887" s="45">
        <f>IF($C887="","",IFERROR(INDEX('Chain Program'!$D$6:$D$120,MATCH($C887,'Chain Program'!$A$6:$A$120,0)),"Unknown ID"))</f>
        <v/>
      </c>
      <c r="F887" s="60" t="n"/>
      <c r="G887" s="60" t="n"/>
      <c r="H887" s="56">
        <f>IF(OR($C887="",$A887=""),"",IF(COUNTIFS('Promo Calendar'!$A$6:$A$400,$C887,'Promo Calendar'!$D$6:$D$400,IF($G887="","All",$G887),'Promo Calendar'!$I$6:$I$400,"&lt;="&amp;$A887,'Promo Calendar'!$J$6:$J$400,"&gt;="&amp;$A887,'Promo Calendar'!$G$6:$G$400,"&gt;0")&gt;0,_xlfn.MINIFS('Promo Calendar'!$G$6:$G$400,'Promo Calendar'!$A$6:$A$400,$C887,'Promo Calendar'!$D$6:$D$400,IF($G887="","All",$G887),'Promo Calendar'!$I$6:$I$400,"&lt;="&amp;$A887,'Promo Calendar'!$J$6:$J$400,"&gt;="&amp;$A887,'Promo Calendar'!$G$6:$G$400,"&gt;0"),IF(COUNTIFS('Promo Calendar'!$A$6:$A$400,$C887,'Promo Calendar'!$D$6:$D$400,"All",'Promo Calendar'!$I$6:$I$400,"&lt;="&amp;$A887,'Promo Calendar'!$J$6:$J$400,"&gt;="&amp;$A887,'Promo Calendar'!$G$6:$G$400,"&gt;0")&gt;0,_xlfn.MINIFS('Promo Calendar'!$G$6:$G$400,'Promo Calendar'!$A$6:$A$400,$C887,'Promo Calendar'!$D$6:$D$400,"All",'Promo Calendar'!$I$6:$I$400,"&lt;="&amp;$A887,'Promo Calendar'!$J$6:$J$400,"&gt;="&amp;$A887,'Promo Calendar'!$G$6:$G$400,"&gt;0"),IFERROR(IF(INDEX('Chain Program'!$M$6:$M$120,MATCH($C887,'Chain Program'!$A$6:$A$120,0))="","Not set",INDEX('Chain Program'!$M$6:$M$120,MATCH($C887,'Chain Program'!$A$6:$A$120,0))),"Not set"))))</f>
        <v/>
      </c>
      <c r="I887" s="61" t="n"/>
      <c r="J887" s="45">
        <f>IF($I887="","",IF(NOT(ISNUMBER($H887)),"No plan price",IF(ABS($I887-$H887)&lt;0.005,"Match",IF($I887&gt;$H887,"Over plan","Under plan"))))</f>
        <v/>
      </c>
      <c r="K887" s="60" t="n"/>
      <c r="L887" s="60" t="n"/>
      <c r="M887" s="60" t="n"/>
      <c r="N887" s="60" t="n"/>
      <c r="O887" s="60" t="n"/>
      <c r="P887" s="62" t="n"/>
      <c r="Q887" s="62" t="n"/>
      <c r="R887" s="60" t="n"/>
      <c r="S887" s="59" t="n"/>
      <c r="T887" s="60" t="n"/>
      <c r="U887" s="59" t="n"/>
      <c r="V887" s="45">
        <f>IF(OR($A887="",$T887="",$T887="No Issue"),"",IF($T887="Resolved",IF($U887="","",$U887-$A887),TODAY()-$A887))</f>
        <v/>
      </c>
      <c r="W887" s="47">
        <f>IF(AND($C887&lt;&gt;"",$C887='Store History'!$C$4,OR('Store History'!$C$5="",$F887='Store History'!$C$5)),1,0)</f>
        <v/>
      </c>
      <c r="X887" s="47">
        <f>IF($W887=1,SUM($W887:$W$1005),"")</f>
        <v/>
      </c>
    </row>
    <row r="888">
      <c r="A888" s="59" t="n"/>
      <c r="B888" s="60" t="n"/>
      <c r="C888" s="60" t="n"/>
      <c r="D888" s="45">
        <f>IF($C888="","",IFERROR(INDEX('Chain Program'!$B$6:$B$120,MATCH($C888,'Chain Program'!$A$6:$A$120,0)),"Unknown ID"))</f>
        <v/>
      </c>
      <c r="E888" s="45">
        <f>IF($C888="","",IFERROR(INDEX('Chain Program'!$D$6:$D$120,MATCH($C888,'Chain Program'!$A$6:$A$120,0)),"Unknown ID"))</f>
        <v/>
      </c>
      <c r="F888" s="60" t="n"/>
      <c r="G888" s="60" t="n"/>
      <c r="H888" s="56">
        <f>IF(OR($C888="",$A888=""),"",IF(COUNTIFS('Promo Calendar'!$A$6:$A$400,$C888,'Promo Calendar'!$D$6:$D$400,IF($G888="","All",$G888),'Promo Calendar'!$I$6:$I$400,"&lt;="&amp;$A888,'Promo Calendar'!$J$6:$J$400,"&gt;="&amp;$A888,'Promo Calendar'!$G$6:$G$400,"&gt;0")&gt;0,_xlfn.MINIFS('Promo Calendar'!$G$6:$G$400,'Promo Calendar'!$A$6:$A$400,$C888,'Promo Calendar'!$D$6:$D$400,IF($G888="","All",$G888),'Promo Calendar'!$I$6:$I$400,"&lt;="&amp;$A888,'Promo Calendar'!$J$6:$J$400,"&gt;="&amp;$A888,'Promo Calendar'!$G$6:$G$400,"&gt;0"),IF(COUNTIFS('Promo Calendar'!$A$6:$A$400,$C888,'Promo Calendar'!$D$6:$D$400,"All",'Promo Calendar'!$I$6:$I$400,"&lt;="&amp;$A888,'Promo Calendar'!$J$6:$J$400,"&gt;="&amp;$A888,'Promo Calendar'!$G$6:$G$400,"&gt;0")&gt;0,_xlfn.MINIFS('Promo Calendar'!$G$6:$G$400,'Promo Calendar'!$A$6:$A$400,$C888,'Promo Calendar'!$D$6:$D$400,"All",'Promo Calendar'!$I$6:$I$400,"&lt;="&amp;$A888,'Promo Calendar'!$J$6:$J$400,"&gt;="&amp;$A888,'Promo Calendar'!$G$6:$G$400,"&gt;0"),IFERROR(IF(INDEX('Chain Program'!$M$6:$M$120,MATCH($C888,'Chain Program'!$A$6:$A$120,0))="","Not set",INDEX('Chain Program'!$M$6:$M$120,MATCH($C888,'Chain Program'!$A$6:$A$120,0))),"Not set"))))</f>
        <v/>
      </c>
      <c r="I888" s="61" t="n"/>
      <c r="J888" s="45">
        <f>IF($I888="","",IF(NOT(ISNUMBER($H888)),"No plan price",IF(ABS($I888-$H888)&lt;0.005,"Match",IF($I888&gt;$H888,"Over plan","Under plan"))))</f>
        <v/>
      </c>
      <c r="K888" s="60" t="n"/>
      <c r="L888" s="60" t="n"/>
      <c r="M888" s="60" t="n"/>
      <c r="N888" s="60" t="n"/>
      <c r="O888" s="60" t="n"/>
      <c r="P888" s="62" t="n"/>
      <c r="Q888" s="62" t="n"/>
      <c r="R888" s="60" t="n"/>
      <c r="S888" s="59" t="n"/>
      <c r="T888" s="60" t="n"/>
      <c r="U888" s="59" t="n"/>
      <c r="V888" s="45">
        <f>IF(OR($A888="",$T888="",$T888="No Issue"),"",IF($T888="Resolved",IF($U888="","",$U888-$A888),TODAY()-$A888))</f>
        <v/>
      </c>
      <c r="W888" s="47">
        <f>IF(AND($C888&lt;&gt;"",$C888='Store History'!$C$4,OR('Store History'!$C$5="",$F888='Store History'!$C$5)),1,0)</f>
        <v/>
      </c>
      <c r="X888" s="47">
        <f>IF($W888=1,SUM($W888:$W$1005),"")</f>
        <v/>
      </c>
    </row>
    <row r="889">
      <c r="A889" s="59" t="n"/>
      <c r="B889" s="60" t="n"/>
      <c r="C889" s="60" t="n"/>
      <c r="D889" s="45">
        <f>IF($C889="","",IFERROR(INDEX('Chain Program'!$B$6:$B$120,MATCH($C889,'Chain Program'!$A$6:$A$120,0)),"Unknown ID"))</f>
        <v/>
      </c>
      <c r="E889" s="45">
        <f>IF($C889="","",IFERROR(INDEX('Chain Program'!$D$6:$D$120,MATCH($C889,'Chain Program'!$A$6:$A$120,0)),"Unknown ID"))</f>
        <v/>
      </c>
      <c r="F889" s="60" t="n"/>
      <c r="G889" s="60" t="n"/>
      <c r="H889" s="56">
        <f>IF(OR($C889="",$A889=""),"",IF(COUNTIFS('Promo Calendar'!$A$6:$A$400,$C889,'Promo Calendar'!$D$6:$D$400,IF($G889="","All",$G889),'Promo Calendar'!$I$6:$I$400,"&lt;="&amp;$A889,'Promo Calendar'!$J$6:$J$400,"&gt;="&amp;$A889,'Promo Calendar'!$G$6:$G$400,"&gt;0")&gt;0,_xlfn.MINIFS('Promo Calendar'!$G$6:$G$400,'Promo Calendar'!$A$6:$A$400,$C889,'Promo Calendar'!$D$6:$D$400,IF($G889="","All",$G889),'Promo Calendar'!$I$6:$I$400,"&lt;="&amp;$A889,'Promo Calendar'!$J$6:$J$400,"&gt;="&amp;$A889,'Promo Calendar'!$G$6:$G$400,"&gt;0"),IF(COUNTIFS('Promo Calendar'!$A$6:$A$400,$C889,'Promo Calendar'!$D$6:$D$400,"All",'Promo Calendar'!$I$6:$I$400,"&lt;="&amp;$A889,'Promo Calendar'!$J$6:$J$400,"&gt;="&amp;$A889,'Promo Calendar'!$G$6:$G$400,"&gt;0")&gt;0,_xlfn.MINIFS('Promo Calendar'!$G$6:$G$400,'Promo Calendar'!$A$6:$A$400,$C889,'Promo Calendar'!$D$6:$D$400,"All",'Promo Calendar'!$I$6:$I$400,"&lt;="&amp;$A889,'Promo Calendar'!$J$6:$J$400,"&gt;="&amp;$A889,'Promo Calendar'!$G$6:$G$400,"&gt;0"),IFERROR(IF(INDEX('Chain Program'!$M$6:$M$120,MATCH($C889,'Chain Program'!$A$6:$A$120,0))="","Not set",INDEX('Chain Program'!$M$6:$M$120,MATCH($C889,'Chain Program'!$A$6:$A$120,0))),"Not set"))))</f>
        <v/>
      </c>
      <c r="I889" s="61" t="n"/>
      <c r="J889" s="45">
        <f>IF($I889="","",IF(NOT(ISNUMBER($H889)),"No plan price",IF(ABS($I889-$H889)&lt;0.005,"Match",IF($I889&gt;$H889,"Over plan","Under plan"))))</f>
        <v/>
      </c>
      <c r="K889" s="60" t="n"/>
      <c r="L889" s="60" t="n"/>
      <c r="M889" s="60" t="n"/>
      <c r="N889" s="60" t="n"/>
      <c r="O889" s="60" t="n"/>
      <c r="P889" s="62" t="n"/>
      <c r="Q889" s="62" t="n"/>
      <c r="R889" s="60" t="n"/>
      <c r="S889" s="59" t="n"/>
      <c r="T889" s="60" t="n"/>
      <c r="U889" s="59" t="n"/>
      <c r="V889" s="45">
        <f>IF(OR($A889="",$T889="",$T889="No Issue"),"",IF($T889="Resolved",IF($U889="","",$U889-$A889),TODAY()-$A889))</f>
        <v/>
      </c>
      <c r="W889" s="47">
        <f>IF(AND($C889&lt;&gt;"",$C889='Store History'!$C$4,OR('Store History'!$C$5="",$F889='Store History'!$C$5)),1,0)</f>
        <v/>
      </c>
      <c r="X889" s="47">
        <f>IF($W889=1,SUM($W889:$W$1005),"")</f>
        <v/>
      </c>
    </row>
    <row r="890">
      <c r="A890" s="59" t="n"/>
      <c r="B890" s="60" t="n"/>
      <c r="C890" s="60" t="n"/>
      <c r="D890" s="45">
        <f>IF($C890="","",IFERROR(INDEX('Chain Program'!$B$6:$B$120,MATCH($C890,'Chain Program'!$A$6:$A$120,0)),"Unknown ID"))</f>
        <v/>
      </c>
      <c r="E890" s="45">
        <f>IF($C890="","",IFERROR(INDEX('Chain Program'!$D$6:$D$120,MATCH($C890,'Chain Program'!$A$6:$A$120,0)),"Unknown ID"))</f>
        <v/>
      </c>
      <c r="F890" s="60" t="n"/>
      <c r="G890" s="60" t="n"/>
      <c r="H890" s="56">
        <f>IF(OR($C890="",$A890=""),"",IF(COUNTIFS('Promo Calendar'!$A$6:$A$400,$C890,'Promo Calendar'!$D$6:$D$400,IF($G890="","All",$G890),'Promo Calendar'!$I$6:$I$400,"&lt;="&amp;$A890,'Promo Calendar'!$J$6:$J$400,"&gt;="&amp;$A890,'Promo Calendar'!$G$6:$G$400,"&gt;0")&gt;0,_xlfn.MINIFS('Promo Calendar'!$G$6:$G$400,'Promo Calendar'!$A$6:$A$400,$C890,'Promo Calendar'!$D$6:$D$400,IF($G890="","All",$G890),'Promo Calendar'!$I$6:$I$400,"&lt;="&amp;$A890,'Promo Calendar'!$J$6:$J$400,"&gt;="&amp;$A890,'Promo Calendar'!$G$6:$G$400,"&gt;0"),IF(COUNTIFS('Promo Calendar'!$A$6:$A$400,$C890,'Promo Calendar'!$D$6:$D$400,"All",'Promo Calendar'!$I$6:$I$400,"&lt;="&amp;$A890,'Promo Calendar'!$J$6:$J$400,"&gt;="&amp;$A890,'Promo Calendar'!$G$6:$G$400,"&gt;0")&gt;0,_xlfn.MINIFS('Promo Calendar'!$G$6:$G$400,'Promo Calendar'!$A$6:$A$400,$C890,'Promo Calendar'!$D$6:$D$400,"All",'Promo Calendar'!$I$6:$I$400,"&lt;="&amp;$A890,'Promo Calendar'!$J$6:$J$400,"&gt;="&amp;$A890,'Promo Calendar'!$G$6:$G$400,"&gt;0"),IFERROR(IF(INDEX('Chain Program'!$M$6:$M$120,MATCH($C890,'Chain Program'!$A$6:$A$120,0))="","Not set",INDEX('Chain Program'!$M$6:$M$120,MATCH($C890,'Chain Program'!$A$6:$A$120,0))),"Not set"))))</f>
        <v/>
      </c>
      <c r="I890" s="61" t="n"/>
      <c r="J890" s="45">
        <f>IF($I890="","",IF(NOT(ISNUMBER($H890)),"No plan price",IF(ABS($I890-$H890)&lt;0.005,"Match",IF($I890&gt;$H890,"Over plan","Under plan"))))</f>
        <v/>
      </c>
      <c r="K890" s="60" t="n"/>
      <c r="L890" s="60" t="n"/>
      <c r="M890" s="60" t="n"/>
      <c r="N890" s="60" t="n"/>
      <c r="O890" s="60" t="n"/>
      <c r="P890" s="62" t="n"/>
      <c r="Q890" s="62" t="n"/>
      <c r="R890" s="60" t="n"/>
      <c r="S890" s="59" t="n"/>
      <c r="T890" s="60" t="n"/>
      <c r="U890" s="59" t="n"/>
      <c r="V890" s="45">
        <f>IF(OR($A890="",$T890="",$T890="No Issue"),"",IF($T890="Resolved",IF($U890="","",$U890-$A890),TODAY()-$A890))</f>
        <v/>
      </c>
      <c r="W890" s="47">
        <f>IF(AND($C890&lt;&gt;"",$C890='Store History'!$C$4,OR('Store History'!$C$5="",$F890='Store History'!$C$5)),1,0)</f>
        <v/>
      </c>
      <c r="X890" s="47">
        <f>IF($W890=1,SUM($W890:$W$1005),"")</f>
        <v/>
      </c>
    </row>
    <row r="891">
      <c r="A891" s="59" t="n"/>
      <c r="B891" s="60" t="n"/>
      <c r="C891" s="60" t="n"/>
      <c r="D891" s="45">
        <f>IF($C891="","",IFERROR(INDEX('Chain Program'!$B$6:$B$120,MATCH($C891,'Chain Program'!$A$6:$A$120,0)),"Unknown ID"))</f>
        <v/>
      </c>
      <c r="E891" s="45">
        <f>IF($C891="","",IFERROR(INDEX('Chain Program'!$D$6:$D$120,MATCH($C891,'Chain Program'!$A$6:$A$120,0)),"Unknown ID"))</f>
        <v/>
      </c>
      <c r="F891" s="60" t="n"/>
      <c r="G891" s="60" t="n"/>
      <c r="H891" s="56">
        <f>IF(OR($C891="",$A891=""),"",IF(COUNTIFS('Promo Calendar'!$A$6:$A$400,$C891,'Promo Calendar'!$D$6:$D$400,IF($G891="","All",$G891),'Promo Calendar'!$I$6:$I$400,"&lt;="&amp;$A891,'Promo Calendar'!$J$6:$J$400,"&gt;="&amp;$A891,'Promo Calendar'!$G$6:$G$400,"&gt;0")&gt;0,_xlfn.MINIFS('Promo Calendar'!$G$6:$G$400,'Promo Calendar'!$A$6:$A$400,$C891,'Promo Calendar'!$D$6:$D$400,IF($G891="","All",$G891),'Promo Calendar'!$I$6:$I$400,"&lt;="&amp;$A891,'Promo Calendar'!$J$6:$J$400,"&gt;="&amp;$A891,'Promo Calendar'!$G$6:$G$400,"&gt;0"),IF(COUNTIFS('Promo Calendar'!$A$6:$A$400,$C891,'Promo Calendar'!$D$6:$D$400,"All",'Promo Calendar'!$I$6:$I$400,"&lt;="&amp;$A891,'Promo Calendar'!$J$6:$J$400,"&gt;="&amp;$A891,'Promo Calendar'!$G$6:$G$400,"&gt;0")&gt;0,_xlfn.MINIFS('Promo Calendar'!$G$6:$G$400,'Promo Calendar'!$A$6:$A$400,$C891,'Promo Calendar'!$D$6:$D$400,"All",'Promo Calendar'!$I$6:$I$400,"&lt;="&amp;$A891,'Promo Calendar'!$J$6:$J$400,"&gt;="&amp;$A891,'Promo Calendar'!$G$6:$G$400,"&gt;0"),IFERROR(IF(INDEX('Chain Program'!$M$6:$M$120,MATCH($C891,'Chain Program'!$A$6:$A$120,0))="","Not set",INDEX('Chain Program'!$M$6:$M$120,MATCH($C891,'Chain Program'!$A$6:$A$120,0))),"Not set"))))</f>
        <v/>
      </c>
      <c r="I891" s="61" t="n"/>
      <c r="J891" s="45">
        <f>IF($I891="","",IF(NOT(ISNUMBER($H891)),"No plan price",IF(ABS($I891-$H891)&lt;0.005,"Match",IF($I891&gt;$H891,"Over plan","Under plan"))))</f>
        <v/>
      </c>
      <c r="K891" s="60" t="n"/>
      <c r="L891" s="60" t="n"/>
      <c r="M891" s="60" t="n"/>
      <c r="N891" s="60" t="n"/>
      <c r="O891" s="60" t="n"/>
      <c r="P891" s="62" t="n"/>
      <c r="Q891" s="62" t="n"/>
      <c r="R891" s="60" t="n"/>
      <c r="S891" s="59" t="n"/>
      <c r="T891" s="60" t="n"/>
      <c r="U891" s="59" t="n"/>
      <c r="V891" s="45">
        <f>IF(OR($A891="",$T891="",$T891="No Issue"),"",IF($T891="Resolved",IF($U891="","",$U891-$A891),TODAY()-$A891))</f>
        <v/>
      </c>
      <c r="W891" s="47">
        <f>IF(AND($C891&lt;&gt;"",$C891='Store History'!$C$4,OR('Store History'!$C$5="",$F891='Store History'!$C$5)),1,0)</f>
        <v/>
      </c>
      <c r="X891" s="47">
        <f>IF($W891=1,SUM($W891:$W$1005),"")</f>
        <v/>
      </c>
    </row>
    <row r="892">
      <c r="A892" s="59" t="n"/>
      <c r="B892" s="60" t="n"/>
      <c r="C892" s="60" t="n"/>
      <c r="D892" s="45">
        <f>IF($C892="","",IFERROR(INDEX('Chain Program'!$B$6:$B$120,MATCH($C892,'Chain Program'!$A$6:$A$120,0)),"Unknown ID"))</f>
        <v/>
      </c>
      <c r="E892" s="45">
        <f>IF($C892="","",IFERROR(INDEX('Chain Program'!$D$6:$D$120,MATCH($C892,'Chain Program'!$A$6:$A$120,0)),"Unknown ID"))</f>
        <v/>
      </c>
      <c r="F892" s="60" t="n"/>
      <c r="G892" s="60" t="n"/>
      <c r="H892" s="56">
        <f>IF(OR($C892="",$A892=""),"",IF(COUNTIFS('Promo Calendar'!$A$6:$A$400,$C892,'Promo Calendar'!$D$6:$D$400,IF($G892="","All",$G892),'Promo Calendar'!$I$6:$I$400,"&lt;="&amp;$A892,'Promo Calendar'!$J$6:$J$400,"&gt;="&amp;$A892,'Promo Calendar'!$G$6:$G$400,"&gt;0")&gt;0,_xlfn.MINIFS('Promo Calendar'!$G$6:$G$400,'Promo Calendar'!$A$6:$A$400,$C892,'Promo Calendar'!$D$6:$D$400,IF($G892="","All",$G892),'Promo Calendar'!$I$6:$I$400,"&lt;="&amp;$A892,'Promo Calendar'!$J$6:$J$400,"&gt;="&amp;$A892,'Promo Calendar'!$G$6:$G$400,"&gt;0"),IF(COUNTIFS('Promo Calendar'!$A$6:$A$400,$C892,'Promo Calendar'!$D$6:$D$400,"All",'Promo Calendar'!$I$6:$I$400,"&lt;="&amp;$A892,'Promo Calendar'!$J$6:$J$400,"&gt;="&amp;$A892,'Promo Calendar'!$G$6:$G$400,"&gt;0")&gt;0,_xlfn.MINIFS('Promo Calendar'!$G$6:$G$400,'Promo Calendar'!$A$6:$A$400,$C892,'Promo Calendar'!$D$6:$D$400,"All",'Promo Calendar'!$I$6:$I$400,"&lt;="&amp;$A892,'Promo Calendar'!$J$6:$J$400,"&gt;="&amp;$A892,'Promo Calendar'!$G$6:$G$400,"&gt;0"),IFERROR(IF(INDEX('Chain Program'!$M$6:$M$120,MATCH($C892,'Chain Program'!$A$6:$A$120,0))="","Not set",INDEX('Chain Program'!$M$6:$M$120,MATCH($C892,'Chain Program'!$A$6:$A$120,0))),"Not set"))))</f>
        <v/>
      </c>
      <c r="I892" s="61" t="n"/>
      <c r="J892" s="45">
        <f>IF($I892="","",IF(NOT(ISNUMBER($H892)),"No plan price",IF(ABS($I892-$H892)&lt;0.005,"Match",IF($I892&gt;$H892,"Over plan","Under plan"))))</f>
        <v/>
      </c>
      <c r="K892" s="60" t="n"/>
      <c r="L892" s="60" t="n"/>
      <c r="M892" s="60" t="n"/>
      <c r="N892" s="60" t="n"/>
      <c r="O892" s="60" t="n"/>
      <c r="P892" s="62" t="n"/>
      <c r="Q892" s="62" t="n"/>
      <c r="R892" s="60" t="n"/>
      <c r="S892" s="59" t="n"/>
      <c r="T892" s="60" t="n"/>
      <c r="U892" s="59" t="n"/>
      <c r="V892" s="45">
        <f>IF(OR($A892="",$T892="",$T892="No Issue"),"",IF($T892="Resolved",IF($U892="","",$U892-$A892),TODAY()-$A892))</f>
        <v/>
      </c>
      <c r="W892" s="47">
        <f>IF(AND($C892&lt;&gt;"",$C892='Store History'!$C$4,OR('Store History'!$C$5="",$F892='Store History'!$C$5)),1,0)</f>
        <v/>
      </c>
      <c r="X892" s="47">
        <f>IF($W892=1,SUM($W892:$W$1005),"")</f>
        <v/>
      </c>
    </row>
    <row r="893">
      <c r="A893" s="59" t="n"/>
      <c r="B893" s="60" t="n"/>
      <c r="C893" s="60" t="n"/>
      <c r="D893" s="45">
        <f>IF($C893="","",IFERROR(INDEX('Chain Program'!$B$6:$B$120,MATCH($C893,'Chain Program'!$A$6:$A$120,0)),"Unknown ID"))</f>
        <v/>
      </c>
      <c r="E893" s="45">
        <f>IF($C893="","",IFERROR(INDEX('Chain Program'!$D$6:$D$120,MATCH($C893,'Chain Program'!$A$6:$A$120,0)),"Unknown ID"))</f>
        <v/>
      </c>
      <c r="F893" s="60" t="n"/>
      <c r="G893" s="60" t="n"/>
      <c r="H893" s="56">
        <f>IF(OR($C893="",$A893=""),"",IF(COUNTIFS('Promo Calendar'!$A$6:$A$400,$C893,'Promo Calendar'!$D$6:$D$400,IF($G893="","All",$G893),'Promo Calendar'!$I$6:$I$400,"&lt;="&amp;$A893,'Promo Calendar'!$J$6:$J$400,"&gt;="&amp;$A893,'Promo Calendar'!$G$6:$G$400,"&gt;0")&gt;0,_xlfn.MINIFS('Promo Calendar'!$G$6:$G$400,'Promo Calendar'!$A$6:$A$400,$C893,'Promo Calendar'!$D$6:$D$400,IF($G893="","All",$G893),'Promo Calendar'!$I$6:$I$400,"&lt;="&amp;$A893,'Promo Calendar'!$J$6:$J$400,"&gt;="&amp;$A893,'Promo Calendar'!$G$6:$G$400,"&gt;0"),IF(COUNTIFS('Promo Calendar'!$A$6:$A$400,$C893,'Promo Calendar'!$D$6:$D$400,"All",'Promo Calendar'!$I$6:$I$400,"&lt;="&amp;$A893,'Promo Calendar'!$J$6:$J$400,"&gt;="&amp;$A893,'Promo Calendar'!$G$6:$G$400,"&gt;0")&gt;0,_xlfn.MINIFS('Promo Calendar'!$G$6:$G$400,'Promo Calendar'!$A$6:$A$400,$C893,'Promo Calendar'!$D$6:$D$400,"All",'Promo Calendar'!$I$6:$I$400,"&lt;="&amp;$A893,'Promo Calendar'!$J$6:$J$400,"&gt;="&amp;$A893,'Promo Calendar'!$G$6:$G$400,"&gt;0"),IFERROR(IF(INDEX('Chain Program'!$M$6:$M$120,MATCH($C893,'Chain Program'!$A$6:$A$120,0))="","Not set",INDEX('Chain Program'!$M$6:$M$120,MATCH($C893,'Chain Program'!$A$6:$A$120,0))),"Not set"))))</f>
        <v/>
      </c>
      <c r="I893" s="61" t="n"/>
      <c r="J893" s="45">
        <f>IF($I893="","",IF(NOT(ISNUMBER($H893)),"No plan price",IF(ABS($I893-$H893)&lt;0.005,"Match",IF($I893&gt;$H893,"Over plan","Under plan"))))</f>
        <v/>
      </c>
      <c r="K893" s="60" t="n"/>
      <c r="L893" s="60" t="n"/>
      <c r="M893" s="60" t="n"/>
      <c r="N893" s="60" t="n"/>
      <c r="O893" s="60" t="n"/>
      <c r="P893" s="62" t="n"/>
      <c r="Q893" s="62" t="n"/>
      <c r="R893" s="60" t="n"/>
      <c r="S893" s="59" t="n"/>
      <c r="T893" s="60" t="n"/>
      <c r="U893" s="59" t="n"/>
      <c r="V893" s="45">
        <f>IF(OR($A893="",$T893="",$T893="No Issue"),"",IF($T893="Resolved",IF($U893="","",$U893-$A893),TODAY()-$A893))</f>
        <v/>
      </c>
      <c r="W893" s="47">
        <f>IF(AND($C893&lt;&gt;"",$C893='Store History'!$C$4,OR('Store History'!$C$5="",$F893='Store History'!$C$5)),1,0)</f>
        <v/>
      </c>
      <c r="X893" s="47">
        <f>IF($W893=1,SUM($W893:$W$1005),"")</f>
        <v/>
      </c>
    </row>
    <row r="894">
      <c r="A894" s="59" t="n"/>
      <c r="B894" s="60" t="n"/>
      <c r="C894" s="60" t="n"/>
      <c r="D894" s="45">
        <f>IF($C894="","",IFERROR(INDEX('Chain Program'!$B$6:$B$120,MATCH($C894,'Chain Program'!$A$6:$A$120,0)),"Unknown ID"))</f>
        <v/>
      </c>
      <c r="E894" s="45">
        <f>IF($C894="","",IFERROR(INDEX('Chain Program'!$D$6:$D$120,MATCH($C894,'Chain Program'!$A$6:$A$120,0)),"Unknown ID"))</f>
        <v/>
      </c>
      <c r="F894" s="60" t="n"/>
      <c r="G894" s="60" t="n"/>
      <c r="H894" s="56">
        <f>IF(OR($C894="",$A894=""),"",IF(COUNTIFS('Promo Calendar'!$A$6:$A$400,$C894,'Promo Calendar'!$D$6:$D$400,IF($G894="","All",$G894),'Promo Calendar'!$I$6:$I$400,"&lt;="&amp;$A894,'Promo Calendar'!$J$6:$J$400,"&gt;="&amp;$A894,'Promo Calendar'!$G$6:$G$400,"&gt;0")&gt;0,_xlfn.MINIFS('Promo Calendar'!$G$6:$G$400,'Promo Calendar'!$A$6:$A$400,$C894,'Promo Calendar'!$D$6:$D$400,IF($G894="","All",$G894),'Promo Calendar'!$I$6:$I$400,"&lt;="&amp;$A894,'Promo Calendar'!$J$6:$J$400,"&gt;="&amp;$A894,'Promo Calendar'!$G$6:$G$400,"&gt;0"),IF(COUNTIFS('Promo Calendar'!$A$6:$A$400,$C894,'Promo Calendar'!$D$6:$D$400,"All",'Promo Calendar'!$I$6:$I$400,"&lt;="&amp;$A894,'Promo Calendar'!$J$6:$J$400,"&gt;="&amp;$A894,'Promo Calendar'!$G$6:$G$400,"&gt;0")&gt;0,_xlfn.MINIFS('Promo Calendar'!$G$6:$G$400,'Promo Calendar'!$A$6:$A$400,$C894,'Promo Calendar'!$D$6:$D$400,"All",'Promo Calendar'!$I$6:$I$400,"&lt;="&amp;$A894,'Promo Calendar'!$J$6:$J$400,"&gt;="&amp;$A894,'Promo Calendar'!$G$6:$G$400,"&gt;0"),IFERROR(IF(INDEX('Chain Program'!$M$6:$M$120,MATCH($C894,'Chain Program'!$A$6:$A$120,0))="","Not set",INDEX('Chain Program'!$M$6:$M$120,MATCH($C894,'Chain Program'!$A$6:$A$120,0))),"Not set"))))</f>
        <v/>
      </c>
      <c r="I894" s="61" t="n"/>
      <c r="J894" s="45">
        <f>IF($I894="","",IF(NOT(ISNUMBER($H894)),"No plan price",IF(ABS($I894-$H894)&lt;0.005,"Match",IF($I894&gt;$H894,"Over plan","Under plan"))))</f>
        <v/>
      </c>
      <c r="K894" s="60" t="n"/>
      <c r="L894" s="60" t="n"/>
      <c r="M894" s="60" t="n"/>
      <c r="N894" s="60" t="n"/>
      <c r="O894" s="60" t="n"/>
      <c r="P894" s="62" t="n"/>
      <c r="Q894" s="62" t="n"/>
      <c r="R894" s="60" t="n"/>
      <c r="S894" s="59" t="n"/>
      <c r="T894" s="60" t="n"/>
      <c r="U894" s="59" t="n"/>
      <c r="V894" s="45">
        <f>IF(OR($A894="",$T894="",$T894="No Issue"),"",IF($T894="Resolved",IF($U894="","",$U894-$A894),TODAY()-$A894))</f>
        <v/>
      </c>
      <c r="W894" s="47">
        <f>IF(AND($C894&lt;&gt;"",$C894='Store History'!$C$4,OR('Store History'!$C$5="",$F894='Store History'!$C$5)),1,0)</f>
        <v/>
      </c>
      <c r="X894" s="47">
        <f>IF($W894=1,SUM($W894:$W$1005),"")</f>
        <v/>
      </c>
    </row>
    <row r="895">
      <c r="A895" s="59" t="n"/>
      <c r="B895" s="60" t="n"/>
      <c r="C895" s="60" t="n"/>
      <c r="D895" s="45">
        <f>IF($C895="","",IFERROR(INDEX('Chain Program'!$B$6:$B$120,MATCH($C895,'Chain Program'!$A$6:$A$120,0)),"Unknown ID"))</f>
        <v/>
      </c>
      <c r="E895" s="45">
        <f>IF($C895="","",IFERROR(INDEX('Chain Program'!$D$6:$D$120,MATCH($C895,'Chain Program'!$A$6:$A$120,0)),"Unknown ID"))</f>
        <v/>
      </c>
      <c r="F895" s="60" t="n"/>
      <c r="G895" s="60" t="n"/>
      <c r="H895" s="56">
        <f>IF(OR($C895="",$A895=""),"",IF(COUNTIFS('Promo Calendar'!$A$6:$A$400,$C895,'Promo Calendar'!$D$6:$D$400,IF($G895="","All",$G895),'Promo Calendar'!$I$6:$I$400,"&lt;="&amp;$A895,'Promo Calendar'!$J$6:$J$400,"&gt;="&amp;$A895,'Promo Calendar'!$G$6:$G$400,"&gt;0")&gt;0,_xlfn.MINIFS('Promo Calendar'!$G$6:$G$400,'Promo Calendar'!$A$6:$A$400,$C895,'Promo Calendar'!$D$6:$D$400,IF($G895="","All",$G895),'Promo Calendar'!$I$6:$I$400,"&lt;="&amp;$A895,'Promo Calendar'!$J$6:$J$400,"&gt;="&amp;$A895,'Promo Calendar'!$G$6:$G$400,"&gt;0"),IF(COUNTIFS('Promo Calendar'!$A$6:$A$400,$C895,'Promo Calendar'!$D$6:$D$400,"All",'Promo Calendar'!$I$6:$I$400,"&lt;="&amp;$A895,'Promo Calendar'!$J$6:$J$400,"&gt;="&amp;$A895,'Promo Calendar'!$G$6:$G$400,"&gt;0")&gt;0,_xlfn.MINIFS('Promo Calendar'!$G$6:$G$400,'Promo Calendar'!$A$6:$A$400,$C895,'Promo Calendar'!$D$6:$D$400,"All",'Promo Calendar'!$I$6:$I$400,"&lt;="&amp;$A895,'Promo Calendar'!$J$6:$J$400,"&gt;="&amp;$A895,'Promo Calendar'!$G$6:$G$400,"&gt;0"),IFERROR(IF(INDEX('Chain Program'!$M$6:$M$120,MATCH($C895,'Chain Program'!$A$6:$A$120,0))="","Not set",INDEX('Chain Program'!$M$6:$M$120,MATCH($C895,'Chain Program'!$A$6:$A$120,0))),"Not set"))))</f>
        <v/>
      </c>
      <c r="I895" s="61" t="n"/>
      <c r="J895" s="45">
        <f>IF($I895="","",IF(NOT(ISNUMBER($H895)),"No plan price",IF(ABS($I895-$H895)&lt;0.005,"Match",IF($I895&gt;$H895,"Over plan","Under plan"))))</f>
        <v/>
      </c>
      <c r="K895" s="60" t="n"/>
      <c r="L895" s="60" t="n"/>
      <c r="M895" s="60" t="n"/>
      <c r="N895" s="60" t="n"/>
      <c r="O895" s="60" t="n"/>
      <c r="P895" s="62" t="n"/>
      <c r="Q895" s="62" t="n"/>
      <c r="R895" s="60" t="n"/>
      <c r="S895" s="59" t="n"/>
      <c r="T895" s="60" t="n"/>
      <c r="U895" s="59" t="n"/>
      <c r="V895" s="45">
        <f>IF(OR($A895="",$T895="",$T895="No Issue"),"",IF($T895="Resolved",IF($U895="","",$U895-$A895),TODAY()-$A895))</f>
        <v/>
      </c>
      <c r="W895" s="47">
        <f>IF(AND($C895&lt;&gt;"",$C895='Store History'!$C$4,OR('Store History'!$C$5="",$F895='Store History'!$C$5)),1,0)</f>
        <v/>
      </c>
      <c r="X895" s="47">
        <f>IF($W895=1,SUM($W895:$W$1005),"")</f>
        <v/>
      </c>
    </row>
    <row r="896">
      <c r="A896" s="59" t="n"/>
      <c r="B896" s="60" t="n"/>
      <c r="C896" s="60" t="n"/>
      <c r="D896" s="45">
        <f>IF($C896="","",IFERROR(INDEX('Chain Program'!$B$6:$B$120,MATCH($C896,'Chain Program'!$A$6:$A$120,0)),"Unknown ID"))</f>
        <v/>
      </c>
      <c r="E896" s="45">
        <f>IF($C896="","",IFERROR(INDEX('Chain Program'!$D$6:$D$120,MATCH($C896,'Chain Program'!$A$6:$A$120,0)),"Unknown ID"))</f>
        <v/>
      </c>
      <c r="F896" s="60" t="n"/>
      <c r="G896" s="60" t="n"/>
      <c r="H896" s="56">
        <f>IF(OR($C896="",$A896=""),"",IF(COUNTIFS('Promo Calendar'!$A$6:$A$400,$C896,'Promo Calendar'!$D$6:$D$400,IF($G896="","All",$G896),'Promo Calendar'!$I$6:$I$400,"&lt;="&amp;$A896,'Promo Calendar'!$J$6:$J$400,"&gt;="&amp;$A896,'Promo Calendar'!$G$6:$G$400,"&gt;0")&gt;0,_xlfn.MINIFS('Promo Calendar'!$G$6:$G$400,'Promo Calendar'!$A$6:$A$400,$C896,'Promo Calendar'!$D$6:$D$400,IF($G896="","All",$G896),'Promo Calendar'!$I$6:$I$400,"&lt;="&amp;$A896,'Promo Calendar'!$J$6:$J$400,"&gt;="&amp;$A896,'Promo Calendar'!$G$6:$G$400,"&gt;0"),IF(COUNTIFS('Promo Calendar'!$A$6:$A$400,$C896,'Promo Calendar'!$D$6:$D$400,"All",'Promo Calendar'!$I$6:$I$400,"&lt;="&amp;$A896,'Promo Calendar'!$J$6:$J$400,"&gt;="&amp;$A896,'Promo Calendar'!$G$6:$G$400,"&gt;0")&gt;0,_xlfn.MINIFS('Promo Calendar'!$G$6:$G$400,'Promo Calendar'!$A$6:$A$400,$C896,'Promo Calendar'!$D$6:$D$400,"All",'Promo Calendar'!$I$6:$I$400,"&lt;="&amp;$A896,'Promo Calendar'!$J$6:$J$400,"&gt;="&amp;$A896,'Promo Calendar'!$G$6:$G$400,"&gt;0"),IFERROR(IF(INDEX('Chain Program'!$M$6:$M$120,MATCH($C896,'Chain Program'!$A$6:$A$120,0))="","Not set",INDEX('Chain Program'!$M$6:$M$120,MATCH($C896,'Chain Program'!$A$6:$A$120,0))),"Not set"))))</f>
        <v/>
      </c>
      <c r="I896" s="61" t="n"/>
      <c r="J896" s="45">
        <f>IF($I896="","",IF(NOT(ISNUMBER($H896)),"No plan price",IF(ABS($I896-$H896)&lt;0.005,"Match",IF($I896&gt;$H896,"Over plan","Under plan"))))</f>
        <v/>
      </c>
      <c r="K896" s="60" t="n"/>
      <c r="L896" s="60" t="n"/>
      <c r="M896" s="60" t="n"/>
      <c r="N896" s="60" t="n"/>
      <c r="O896" s="60" t="n"/>
      <c r="P896" s="62" t="n"/>
      <c r="Q896" s="62" t="n"/>
      <c r="R896" s="60" t="n"/>
      <c r="S896" s="59" t="n"/>
      <c r="T896" s="60" t="n"/>
      <c r="U896" s="59" t="n"/>
      <c r="V896" s="45">
        <f>IF(OR($A896="",$T896="",$T896="No Issue"),"",IF($T896="Resolved",IF($U896="","",$U896-$A896),TODAY()-$A896))</f>
        <v/>
      </c>
      <c r="W896" s="47">
        <f>IF(AND($C896&lt;&gt;"",$C896='Store History'!$C$4,OR('Store History'!$C$5="",$F896='Store History'!$C$5)),1,0)</f>
        <v/>
      </c>
      <c r="X896" s="47">
        <f>IF($W896=1,SUM($W896:$W$1005),"")</f>
        <v/>
      </c>
    </row>
    <row r="897">
      <c r="A897" s="59" t="n"/>
      <c r="B897" s="60" t="n"/>
      <c r="C897" s="60" t="n"/>
      <c r="D897" s="45">
        <f>IF($C897="","",IFERROR(INDEX('Chain Program'!$B$6:$B$120,MATCH($C897,'Chain Program'!$A$6:$A$120,0)),"Unknown ID"))</f>
        <v/>
      </c>
      <c r="E897" s="45">
        <f>IF($C897="","",IFERROR(INDEX('Chain Program'!$D$6:$D$120,MATCH($C897,'Chain Program'!$A$6:$A$120,0)),"Unknown ID"))</f>
        <v/>
      </c>
      <c r="F897" s="60" t="n"/>
      <c r="G897" s="60" t="n"/>
      <c r="H897" s="56">
        <f>IF(OR($C897="",$A897=""),"",IF(COUNTIFS('Promo Calendar'!$A$6:$A$400,$C897,'Promo Calendar'!$D$6:$D$400,IF($G897="","All",$G897),'Promo Calendar'!$I$6:$I$400,"&lt;="&amp;$A897,'Promo Calendar'!$J$6:$J$400,"&gt;="&amp;$A897,'Promo Calendar'!$G$6:$G$400,"&gt;0")&gt;0,_xlfn.MINIFS('Promo Calendar'!$G$6:$G$400,'Promo Calendar'!$A$6:$A$400,$C897,'Promo Calendar'!$D$6:$D$400,IF($G897="","All",$G897),'Promo Calendar'!$I$6:$I$400,"&lt;="&amp;$A897,'Promo Calendar'!$J$6:$J$400,"&gt;="&amp;$A897,'Promo Calendar'!$G$6:$G$400,"&gt;0"),IF(COUNTIFS('Promo Calendar'!$A$6:$A$400,$C897,'Promo Calendar'!$D$6:$D$400,"All",'Promo Calendar'!$I$6:$I$400,"&lt;="&amp;$A897,'Promo Calendar'!$J$6:$J$400,"&gt;="&amp;$A897,'Promo Calendar'!$G$6:$G$400,"&gt;0")&gt;0,_xlfn.MINIFS('Promo Calendar'!$G$6:$G$400,'Promo Calendar'!$A$6:$A$400,$C897,'Promo Calendar'!$D$6:$D$400,"All",'Promo Calendar'!$I$6:$I$400,"&lt;="&amp;$A897,'Promo Calendar'!$J$6:$J$400,"&gt;="&amp;$A897,'Promo Calendar'!$G$6:$G$400,"&gt;0"),IFERROR(IF(INDEX('Chain Program'!$M$6:$M$120,MATCH($C897,'Chain Program'!$A$6:$A$120,0))="","Not set",INDEX('Chain Program'!$M$6:$M$120,MATCH($C897,'Chain Program'!$A$6:$A$120,0))),"Not set"))))</f>
        <v/>
      </c>
      <c r="I897" s="61" t="n"/>
      <c r="J897" s="45">
        <f>IF($I897="","",IF(NOT(ISNUMBER($H897)),"No plan price",IF(ABS($I897-$H897)&lt;0.005,"Match",IF($I897&gt;$H897,"Over plan","Under plan"))))</f>
        <v/>
      </c>
      <c r="K897" s="60" t="n"/>
      <c r="L897" s="60" t="n"/>
      <c r="M897" s="60" t="n"/>
      <c r="N897" s="60" t="n"/>
      <c r="O897" s="60" t="n"/>
      <c r="P897" s="62" t="n"/>
      <c r="Q897" s="62" t="n"/>
      <c r="R897" s="60" t="n"/>
      <c r="S897" s="59" t="n"/>
      <c r="T897" s="60" t="n"/>
      <c r="U897" s="59" t="n"/>
      <c r="V897" s="45">
        <f>IF(OR($A897="",$T897="",$T897="No Issue"),"",IF($T897="Resolved",IF($U897="","",$U897-$A897),TODAY()-$A897))</f>
        <v/>
      </c>
      <c r="W897" s="47">
        <f>IF(AND($C897&lt;&gt;"",$C897='Store History'!$C$4,OR('Store History'!$C$5="",$F897='Store History'!$C$5)),1,0)</f>
        <v/>
      </c>
      <c r="X897" s="47">
        <f>IF($W897=1,SUM($W897:$W$1005),"")</f>
        <v/>
      </c>
    </row>
    <row r="898">
      <c r="A898" s="59" t="n"/>
      <c r="B898" s="60" t="n"/>
      <c r="C898" s="60" t="n"/>
      <c r="D898" s="45">
        <f>IF($C898="","",IFERROR(INDEX('Chain Program'!$B$6:$B$120,MATCH($C898,'Chain Program'!$A$6:$A$120,0)),"Unknown ID"))</f>
        <v/>
      </c>
      <c r="E898" s="45">
        <f>IF($C898="","",IFERROR(INDEX('Chain Program'!$D$6:$D$120,MATCH($C898,'Chain Program'!$A$6:$A$120,0)),"Unknown ID"))</f>
        <v/>
      </c>
      <c r="F898" s="60" t="n"/>
      <c r="G898" s="60" t="n"/>
      <c r="H898" s="56">
        <f>IF(OR($C898="",$A898=""),"",IF(COUNTIFS('Promo Calendar'!$A$6:$A$400,$C898,'Promo Calendar'!$D$6:$D$400,IF($G898="","All",$G898),'Promo Calendar'!$I$6:$I$400,"&lt;="&amp;$A898,'Promo Calendar'!$J$6:$J$400,"&gt;="&amp;$A898,'Promo Calendar'!$G$6:$G$400,"&gt;0")&gt;0,_xlfn.MINIFS('Promo Calendar'!$G$6:$G$400,'Promo Calendar'!$A$6:$A$400,$C898,'Promo Calendar'!$D$6:$D$400,IF($G898="","All",$G898),'Promo Calendar'!$I$6:$I$400,"&lt;="&amp;$A898,'Promo Calendar'!$J$6:$J$400,"&gt;="&amp;$A898,'Promo Calendar'!$G$6:$G$400,"&gt;0"),IF(COUNTIFS('Promo Calendar'!$A$6:$A$400,$C898,'Promo Calendar'!$D$6:$D$400,"All",'Promo Calendar'!$I$6:$I$400,"&lt;="&amp;$A898,'Promo Calendar'!$J$6:$J$400,"&gt;="&amp;$A898,'Promo Calendar'!$G$6:$G$400,"&gt;0")&gt;0,_xlfn.MINIFS('Promo Calendar'!$G$6:$G$400,'Promo Calendar'!$A$6:$A$400,$C898,'Promo Calendar'!$D$6:$D$400,"All",'Promo Calendar'!$I$6:$I$400,"&lt;="&amp;$A898,'Promo Calendar'!$J$6:$J$400,"&gt;="&amp;$A898,'Promo Calendar'!$G$6:$G$400,"&gt;0"),IFERROR(IF(INDEX('Chain Program'!$M$6:$M$120,MATCH($C898,'Chain Program'!$A$6:$A$120,0))="","Not set",INDEX('Chain Program'!$M$6:$M$120,MATCH($C898,'Chain Program'!$A$6:$A$120,0))),"Not set"))))</f>
        <v/>
      </c>
      <c r="I898" s="61" t="n"/>
      <c r="J898" s="45">
        <f>IF($I898="","",IF(NOT(ISNUMBER($H898)),"No plan price",IF(ABS($I898-$H898)&lt;0.005,"Match",IF($I898&gt;$H898,"Over plan","Under plan"))))</f>
        <v/>
      </c>
      <c r="K898" s="60" t="n"/>
      <c r="L898" s="60" t="n"/>
      <c r="M898" s="60" t="n"/>
      <c r="N898" s="60" t="n"/>
      <c r="O898" s="60" t="n"/>
      <c r="P898" s="62" t="n"/>
      <c r="Q898" s="62" t="n"/>
      <c r="R898" s="60" t="n"/>
      <c r="S898" s="59" t="n"/>
      <c r="T898" s="60" t="n"/>
      <c r="U898" s="59" t="n"/>
      <c r="V898" s="45">
        <f>IF(OR($A898="",$T898="",$T898="No Issue"),"",IF($T898="Resolved",IF($U898="","",$U898-$A898),TODAY()-$A898))</f>
        <v/>
      </c>
      <c r="W898" s="47">
        <f>IF(AND($C898&lt;&gt;"",$C898='Store History'!$C$4,OR('Store History'!$C$5="",$F898='Store History'!$C$5)),1,0)</f>
        <v/>
      </c>
      <c r="X898" s="47">
        <f>IF($W898=1,SUM($W898:$W$1005),"")</f>
        <v/>
      </c>
    </row>
    <row r="899">
      <c r="A899" s="59" t="n"/>
      <c r="B899" s="60" t="n"/>
      <c r="C899" s="60" t="n"/>
      <c r="D899" s="45">
        <f>IF($C899="","",IFERROR(INDEX('Chain Program'!$B$6:$B$120,MATCH($C899,'Chain Program'!$A$6:$A$120,0)),"Unknown ID"))</f>
        <v/>
      </c>
      <c r="E899" s="45">
        <f>IF($C899="","",IFERROR(INDEX('Chain Program'!$D$6:$D$120,MATCH($C899,'Chain Program'!$A$6:$A$120,0)),"Unknown ID"))</f>
        <v/>
      </c>
      <c r="F899" s="60" t="n"/>
      <c r="G899" s="60" t="n"/>
      <c r="H899" s="56">
        <f>IF(OR($C899="",$A899=""),"",IF(COUNTIFS('Promo Calendar'!$A$6:$A$400,$C899,'Promo Calendar'!$D$6:$D$400,IF($G899="","All",$G899),'Promo Calendar'!$I$6:$I$400,"&lt;="&amp;$A899,'Promo Calendar'!$J$6:$J$400,"&gt;="&amp;$A899,'Promo Calendar'!$G$6:$G$400,"&gt;0")&gt;0,_xlfn.MINIFS('Promo Calendar'!$G$6:$G$400,'Promo Calendar'!$A$6:$A$400,$C899,'Promo Calendar'!$D$6:$D$400,IF($G899="","All",$G899),'Promo Calendar'!$I$6:$I$400,"&lt;="&amp;$A899,'Promo Calendar'!$J$6:$J$400,"&gt;="&amp;$A899,'Promo Calendar'!$G$6:$G$400,"&gt;0"),IF(COUNTIFS('Promo Calendar'!$A$6:$A$400,$C899,'Promo Calendar'!$D$6:$D$400,"All",'Promo Calendar'!$I$6:$I$400,"&lt;="&amp;$A899,'Promo Calendar'!$J$6:$J$400,"&gt;="&amp;$A899,'Promo Calendar'!$G$6:$G$400,"&gt;0")&gt;0,_xlfn.MINIFS('Promo Calendar'!$G$6:$G$400,'Promo Calendar'!$A$6:$A$400,$C899,'Promo Calendar'!$D$6:$D$400,"All",'Promo Calendar'!$I$6:$I$400,"&lt;="&amp;$A899,'Promo Calendar'!$J$6:$J$400,"&gt;="&amp;$A899,'Promo Calendar'!$G$6:$G$400,"&gt;0"),IFERROR(IF(INDEX('Chain Program'!$M$6:$M$120,MATCH($C899,'Chain Program'!$A$6:$A$120,0))="","Not set",INDEX('Chain Program'!$M$6:$M$120,MATCH($C899,'Chain Program'!$A$6:$A$120,0))),"Not set"))))</f>
        <v/>
      </c>
      <c r="I899" s="61" t="n"/>
      <c r="J899" s="45">
        <f>IF($I899="","",IF(NOT(ISNUMBER($H899)),"No plan price",IF(ABS($I899-$H899)&lt;0.005,"Match",IF($I899&gt;$H899,"Over plan","Under plan"))))</f>
        <v/>
      </c>
      <c r="K899" s="60" t="n"/>
      <c r="L899" s="60" t="n"/>
      <c r="M899" s="60" t="n"/>
      <c r="N899" s="60" t="n"/>
      <c r="O899" s="60" t="n"/>
      <c r="P899" s="62" t="n"/>
      <c r="Q899" s="62" t="n"/>
      <c r="R899" s="60" t="n"/>
      <c r="S899" s="59" t="n"/>
      <c r="T899" s="60" t="n"/>
      <c r="U899" s="59" t="n"/>
      <c r="V899" s="45">
        <f>IF(OR($A899="",$T899="",$T899="No Issue"),"",IF($T899="Resolved",IF($U899="","",$U899-$A899),TODAY()-$A899))</f>
        <v/>
      </c>
      <c r="W899" s="47">
        <f>IF(AND($C899&lt;&gt;"",$C899='Store History'!$C$4,OR('Store History'!$C$5="",$F899='Store History'!$C$5)),1,0)</f>
        <v/>
      </c>
      <c r="X899" s="47">
        <f>IF($W899=1,SUM($W899:$W$1005),"")</f>
        <v/>
      </c>
    </row>
    <row r="900">
      <c r="A900" s="59" t="n"/>
      <c r="B900" s="60" t="n"/>
      <c r="C900" s="60" t="n"/>
      <c r="D900" s="45">
        <f>IF($C900="","",IFERROR(INDEX('Chain Program'!$B$6:$B$120,MATCH($C900,'Chain Program'!$A$6:$A$120,0)),"Unknown ID"))</f>
        <v/>
      </c>
      <c r="E900" s="45">
        <f>IF($C900="","",IFERROR(INDEX('Chain Program'!$D$6:$D$120,MATCH($C900,'Chain Program'!$A$6:$A$120,0)),"Unknown ID"))</f>
        <v/>
      </c>
      <c r="F900" s="60" t="n"/>
      <c r="G900" s="60" t="n"/>
      <c r="H900" s="56">
        <f>IF(OR($C900="",$A900=""),"",IF(COUNTIFS('Promo Calendar'!$A$6:$A$400,$C900,'Promo Calendar'!$D$6:$D$400,IF($G900="","All",$G900),'Promo Calendar'!$I$6:$I$400,"&lt;="&amp;$A900,'Promo Calendar'!$J$6:$J$400,"&gt;="&amp;$A900,'Promo Calendar'!$G$6:$G$400,"&gt;0")&gt;0,_xlfn.MINIFS('Promo Calendar'!$G$6:$G$400,'Promo Calendar'!$A$6:$A$400,$C900,'Promo Calendar'!$D$6:$D$400,IF($G900="","All",$G900),'Promo Calendar'!$I$6:$I$400,"&lt;="&amp;$A900,'Promo Calendar'!$J$6:$J$400,"&gt;="&amp;$A900,'Promo Calendar'!$G$6:$G$400,"&gt;0"),IF(COUNTIFS('Promo Calendar'!$A$6:$A$400,$C900,'Promo Calendar'!$D$6:$D$400,"All",'Promo Calendar'!$I$6:$I$400,"&lt;="&amp;$A900,'Promo Calendar'!$J$6:$J$400,"&gt;="&amp;$A900,'Promo Calendar'!$G$6:$G$400,"&gt;0")&gt;0,_xlfn.MINIFS('Promo Calendar'!$G$6:$G$400,'Promo Calendar'!$A$6:$A$400,$C900,'Promo Calendar'!$D$6:$D$400,"All",'Promo Calendar'!$I$6:$I$400,"&lt;="&amp;$A900,'Promo Calendar'!$J$6:$J$400,"&gt;="&amp;$A900,'Promo Calendar'!$G$6:$G$400,"&gt;0"),IFERROR(IF(INDEX('Chain Program'!$M$6:$M$120,MATCH($C900,'Chain Program'!$A$6:$A$120,0))="","Not set",INDEX('Chain Program'!$M$6:$M$120,MATCH($C900,'Chain Program'!$A$6:$A$120,0))),"Not set"))))</f>
        <v/>
      </c>
      <c r="I900" s="61" t="n"/>
      <c r="J900" s="45">
        <f>IF($I900="","",IF(NOT(ISNUMBER($H900)),"No plan price",IF(ABS($I900-$H900)&lt;0.005,"Match",IF($I900&gt;$H900,"Over plan","Under plan"))))</f>
        <v/>
      </c>
      <c r="K900" s="60" t="n"/>
      <c r="L900" s="60" t="n"/>
      <c r="M900" s="60" t="n"/>
      <c r="N900" s="60" t="n"/>
      <c r="O900" s="60" t="n"/>
      <c r="P900" s="62" t="n"/>
      <c r="Q900" s="62" t="n"/>
      <c r="R900" s="60" t="n"/>
      <c r="S900" s="59" t="n"/>
      <c r="T900" s="60" t="n"/>
      <c r="U900" s="59" t="n"/>
      <c r="V900" s="45">
        <f>IF(OR($A900="",$T900="",$T900="No Issue"),"",IF($T900="Resolved",IF($U900="","",$U900-$A900),TODAY()-$A900))</f>
        <v/>
      </c>
      <c r="W900" s="47">
        <f>IF(AND($C900&lt;&gt;"",$C900='Store History'!$C$4,OR('Store History'!$C$5="",$F900='Store History'!$C$5)),1,0)</f>
        <v/>
      </c>
      <c r="X900" s="47">
        <f>IF($W900=1,SUM($W900:$W$1005),"")</f>
        <v/>
      </c>
    </row>
    <row r="901">
      <c r="A901" s="59" t="n"/>
      <c r="B901" s="60" t="n"/>
      <c r="C901" s="60" t="n"/>
      <c r="D901" s="45">
        <f>IF($C901="","",IFERROR(INDEX('Chain Program'!$B$6:$B$120,MATCH($C901,'Chain Program'!$A$6:$A$120,0)),"Unknown ID"))</f>
        <v/>
      </c>
      <c r="E901" s="45">
        <f>IF($C901="","",IFERROR(INDEX('Chain Program'!$D$6:$D$120,MATCH($C901,'Chain Program'!$A$6:$A$120,0)),"Unknown ID"))</f>
        <v/>
      </c>
      <c r="F901" s="60" t="n"/>
      <c r="G901" s="60" t="n"/>
      <c r="H901" s="56">
        <f>IF(OR($C901="",$A901=""),"",IF(COUNTIFS('Promo Calendar'!$A$6:$A$400,$C901,'Promo Calendar'!$D$6:$D$400,IF($G901="","All",$G901),'Promo Calendar'!$I$6:$I$400,"&lt;="&amp;$A901,'Promo Calendar'!$J$6:$J$400,"&gt;="&amp;$A901,'Promo Calendar'!$G$6:$G$400,"&gt;0")&gt;0,_xlfn.MINIFS('Promo Calendar'!$G$6:$G$400,'Promo Calendar'!$A$6:$A$400,$C901,'Promo Calendar'!$D$6:$D$400,IF($G901="","All",$G901),'Promo Calendar'!$I$6:$I$400,"&lt;="&amp;$A901,'Promo Calendar'!$J$6:$J$400,"&gt;="&amp;$A901,'Promo Calendar'!$G$6:$G$400,"&gt;0"),IF(COUNTIFS('Promo Calendar'!$A$6:$A$400,$C901,'Promo Calendar'!$D$6:$D$400,"All",'Promo Calendar'!$I$6:$I$400,"&lt;="&amp;$A901,'Promo Calendar'!$J$6:$J$400,"&gt;="&amp;$A901,'Promo Calendar'!$G$6:$G$400,"&gt;0")&gt;0,_xlfn.MINIFS('Promo Calendar'!$G$6:$G$400,'Promo Calendar'!$A$6:$A$400,$C901,'Promo Calendar'!$D$6:$D$400,"All",'Promo Calendar'!$I$6:$I$400,"&lt;="&amp;$A901,'Promo Calendar'!$J$6:$J$400,"&gt;="&amp;$A901,'Promo Calendar'!$G$6:$G$400,"&gt;0"),IFERROR(IF(INDEX('Chain Program'!$M$6:$M$120,MATCH($C901,'Chain Program'!$A$6:$A$120,0))="","Not set",INDEX('Chain Program'!$M$6:$M$120,MATCH($C901,'Chain Program'!$A$6:$A$120,0))),"Not set"))))</f>
        <v/>
      </c>
      <c r="I901" s="61" t="n"/>
      <c r="J901" s="45">
        <f>IF($I901="","",IF(NOT(ISNUMBER($H901)),"No plan price",IF(ABS($I901-$H901)&lt;0.005,"Match",IF($I901&gt;$H901,"Over plan","Under plan"))))</f>
        <v/>
      </c>
      <c r="K901" s="60" t="n"/>
      <c r="L901" s="60" t="n"/>
      <c r="M901" s="60" t="n"/>
      <c r="N901" s="60" t="n"/>
      <c r="O901" s="60" t="n"/>
      <c r="P901" s="62" t="n"/>
      <c r="Q901" s="62" t="n"/>
      <c r="R901" s="60" t="n"/>
      <c r="S901" s="59" t="n"/>
      <c r="T901" s="60" t="n"/>
      <c r="U901" s="59" t="n"/>
      <c r="V901" s="45">
        <f>IF(OR($A901="",$T901="",$T901="No Issue"),"",IF($T901="Resolved",IF($U901="","",$U901-$A901),TODAY()-$A901))</f>
        <v/>
      </c>
      <c r="W901" s="47">
        <f>IF(AND($C901&lt;&gt;"",$C901='Store History'!$C$4,OR('Store History'!$C$5="",$F901='Store History'!$C$5)),1,0)</f>
        <v/>
      </c>
      <c r="X901" s="47">
        <f>IF($W901=1,SUM($W901:$W$1005),"")</f>
        <v/>
      </c>
    </row>
    <row r="902">
      <c r="A902" s="59" t="n"/>
      <c r="B902" s="60" t="n"/>
      <c r="C902" s="60" t="n"/>
      <c r="D902" s="45">
        <f>IF($C902="","",IFERROR(INDEX('Chain Program'!$B$6:$B$120,MATCH($C902,'Chain Program'!$A$6:$A$120,0)),"Unknown ID"))</f>
        <v/>
      </c>
      <c r="E902" s="45">
        <f>IF($C902="","",IFERROR(INDEX('Chain Program'!$D$6:$D$120,MATCH($C902,'Chain Program'!$A$6:$A$120,0)),"Unknown ID"))</f>
        <v/>
      </c>
      <c r="F902" s="60" t="n"/>
      <c r="G902" s="60" t="n"/>
      <c r="H902" s="56">
        <f>IF(OR($C902="",$A902=""),"",IF(COUNTIFS('Promo Calendar'!$A$6:$A$400,$C902,'Promo Calendar'!$D$6:$D$400,IF($G902="","All",$G902),'Promo Calendar'!$I$6:$I$400,"&lt;="&amp;$A902,'Promo Calendar'!$J$6:$J$400,"&gt;="&amp;$A902,'Promo Calendar'!$G$6:$G$400,"&gt;0")&gt;0,_xlfn.MINIFS('Promo Calendar'!$G$6:$G$400,'Promo Calendar'!$A$6:$A$400,$C902,'Promo Calendar'!$D$6:$D$400,IF($G902="","All",$G902),'Promo Calendar'!$I$6:$I$400,"&lt;="&amp;$A902,'Promo Calendar'!$J$6:$J$400,"&gt;="&amp;$A902,'Promo Calendar'!$G$6:$G$400,"&gt;0"),IF(COUNTIFS('Promo Calendar'!$A$6:$A$400,$C902,'Promo Calendar'!$D$6:$D$400,"All",'Promo Calendar'!$I$6:$I$400,"&lt;="&amp;$A902,'Promo Calendar'!$J$6:$J$400,"&gt;="&amp;$A902,'Promo Calendar'!$G$6:$G$400,"&gt;0")&gt;0,_xlfn.MINIFS('Promo Calendar'!$G$6:$G$400,'Promo Calendar'!$A$6:$A$400,$C902,'Promo Calendar'!$D$6:$D$400,"All",'Promo Calendar'!$I$6:$I$400,"&lt;="&amp;$A902,'Promo Calendar'!$J$6:$J$400,"&gt;="&amp;$A902,'Promo Calendar'!$G$6:$G$400,"&gt;0"),IFERROR(IF(INDEX('Chain Program'!$M$6:$M$120,MATCH($C902,'Chain Program'!$A$6:$A$120,0))="","Not set",INDEX('Chain Program'!$M$6:$M$120,MATCH($C902,'Chain Program'!$A$6:$A$120,0))),"Not set"))))</f>
        <v/>
      </c>
      <c r="I902" s="61" t="n"/>
      <c r="J902" s="45">
        <f>IF($I902="","",IF(NOT(ISNUMBER($H902)),"No plan price",IF(ABS($I902-$H902)&lt;0.005,"Match",IF($I902&gt;$H902,"Over plan","Under plan"))))</f>
        <v/>
      </c>
      <c r="K902" s="60" t="n"/>
      <c r="L902" s="60" t="n"/>
      <c r="M902" s="60" t="n"/>
      <c r="N902" s="60" t="n"/>
      <c r="O902" s="60" t="n"/>
      <c r="P902" s="62" t="n"/>
      <c r="Q902" s="62" t="n"/>
      <c r="R902" s="60" t="n"/>
      <c r="S902" s="59" t="n"/>
      <c r="T902" s="60" t="n"/>
      <c r="U902" s="59" t="n"/>
      <c r="V902" s="45">
        <f>IF(OR($A902="",$T902="",$T902="No Issue"),"",IF($T902="Resolved",IF($U902="","",$U902-$A902),TODAY()-$A902))</f>
        <v/>
      </c>
      <c r="W902" s="47">
        <f>IF(AND($C902&lt;&gt;"",$C902='Store History'!$C$4,OR('Store History'!$C$5="",$F902='Store History'!$C$5)),1,0)</f>
        <v/>
      </c>
      <c r="X902" s="47">
        <f>IF($W902=1,SUM($W902:$W$1005),"")</f>
        <v/>
      </c>
    </row>
    <row r="903">
      <c r="A903" s="59" t="n"/>
      <c r="B903" s="60" t="n"/>
      <c r="C903" s="60" t="n"/>
      <c r="D903" s="45">
        <f>IF($C903="","",IFERROR(INDEX('Chain Program'!$B$6:$B$120,MATCH($C903,'Chain Program'!$A$6:$A$120,0)),"Unknown ID"))</f>
        <v/>
      </c>
      <c r="E903" s="45">
        <f>IF($C903="","",IFERROR(INDEX('Chain Program'!$D$6:$D$120,MATCH($C903,'Chain Program'!$A$6:$A$120,0)),"Unknown ID"))</f>
        <v/>
      </c>
      <c r="F903" s="60" t="n"/>
      <c r="G903" s="60" t="n"/>
      <c r="H903" s="56">
        <f>IF(OR($C903="",$A903=""),"",IF(COUNTIFS('Promo Calendar'!$A$6:$A$400,$C903,'Promo Calendar'!$D$6:$D$400,IF($G903="","All",$G903),'Promo Calendar'!$I$6:$I$400,"&lt;="&amp;$A903,'Promo Calendar'!$J$6:$J$400,"&gt;="&amp;$A903,'Promo Calendar'!$G$6:$G$400,"&gt;0")&gt;0,_xlfn.MINIFS('Promo Calendar'!$G$6:$G$400,'Promo Calendar'!$A$6:$A$400,$C903,'Promo Calendar'!$D$6:$D$400,IF($G903="","All",$G903),'Promo Calendar'!$I$6:$I$400,"&lt;="&amp;$A903,'Promo Calendar'!$J$6:$J$400,"&gt;="&amp;$A903,'Promo Calendar'!$G$6:$G$400,"&gt;0"),IF(COUNTIFS('Promo Calendar'!$A$6:$A$400,$C903,'Promo Calendar'!$D$6:$D$400,"All",'Promo Calendar'!$I$6:$I$400,"&lt;="&amp;$A903,'Promo Calendar'!$J$6:$J$400,"&gt;="&amp;$A903,'Promo Calendar'!$G$6:$G$400,"&gt;0")&gt;0,_xlfn.MINIFS('Promo Calendar'!$G$6:$G$400,'Promo Calendar'!$A$6:$A$400,$C903,'Promo Calendar'!$D$6:$D$400,"All",'Promo Calendar'!$I$6:$I$400,"&lt;="&amp;$A903,'Promo Calendar'!$J$6:$J$400,"&gt;="&amp;$A903,'Promo Calendar'!$G$6:$G$400,"&gt;0"),IFERROR(IF(INDEX('Chain Program'!$M$6:$M$120,MATCH($C903,'Chain Program'!$A$6:$A$120,0))="","Not set",INDEX('Chain Program'!$M$6:$M$120,MATCH($C903,'Chain Program'!$A$6:$A$120,0))),"Not set"))))</f>
        <v/>
      </c>
      <c r="I903" s="61" t="n"/>
      <c r="J903" s="45">
        <f>IF($I903="","",IF(NOT(ISNUMBER($H903)),"No plan price",IF(ABS($I903-$H903)&lt;0.005,"Match",IF($I903&gt;$H903,"Over plan","Under plan"))))</f>
        <v/>
      </c>
      <c r="K903" s="60" t="n"/>
      <c r="L903" s="60" t="n"/>
      <c r="M903" s="60" t="n"/>
      <c r="N903" s="60" t="n"/>
      <c r="O903" s="60" t="n"/>
      <c r="P903" s="62" t="n"/>
      <c r="Q903" s="62" t="n"/>
      <c r="R903" s="60" t="n"/>
      <c r="S903" s="59" t="n"/>
      <c r="T903" s="60" t="n"/>
      <c r="U903" s="59" t="n"/>
      <c r="V903" s="45">
        <f>IF(OR($A903="",$T903="",$T903="No Issue"),"",IF($T903="Resolved",IF($U903="","",$U903-$A903),TODAY()-$A903))</f>
        <v/>
      </c>
      <c r="W903" s="47">
        <f>IF(AND($C903&lt;&gt;"",$C903='Store History'!$C$4,OR('Store History'!$C$5="",$F903='Store History'!$C$5)),1,0)</f>
        <v/>
      </c>
      <c r="X903" s="47">
        <f>IF($W903=1,SUM($W903:$W$1005),"")</f>
        <v/>
      </c>
    </row>
    <row r="904">
      <c r="A904" s="59" t="n"/>
      <c r="B904" s="60" t="n"/>
      <c r="C904" s="60" t="n"/>
      <c r="D904" s="45">
        <f>IF($C904="","",IFERROR(INDEX('Chain Program'!$B$6:$B$120,MATCH($C904,'Chain Program'!$A$6:$A$120,0)),"Unknown ID"))</f>
        <v/>
      </c>
      <c r="E904" s="45">
        <f>IF($C904="","",IFERROR(INDEX('Chain Program'!$D$6:$D$120,MATCH($C904,'Chain Program'!$A$6:$A$120,0)),"Unknown ID"))</f>
        <v/>
      </c>
      <c r="F904" s="60" t="n"/>
      <c r="G904" s="60" t="n"/>
      <c r="H904" s="56">
        <f>IF(OR($C904="",$A904=""),"",IF(COUNTIFS('Promo Calendar'!$A$6:$A$400,$C904,'Promo Calendar'!$D$6:$D$400,IF($G904="","All",$G904),'Promo Calendar'!$I$6:$I$400,"&lt;="&amp;$A904,'Promo Calendar'!$J$6:$J$400,"&gt;="&amp;$A904,'Promo Calendar'!$G$6:$G$400,"&gt;0")&gt;0,_xlfn.MINIFS('Promo Calendar'!$G$6:$G$400,'Promo Calendar'!$A$6:$A$400,$C904,'Promo Calendar'!$D$6:$D$400,IF($G904="","All",$G904),'Promo Calendar'!$I$6:$I$400,"&lt;="&amp;$A904,'Promo Calendar'!$J$6:$J$400,"&gt;="&amp;$A904,'Promo Calendar'!$G$6:$G$400,"&gt;0"),IF(COUNTIFS('Promo Calendar'!$A$6:$A$400,$C904,'Promo Calendar'!$D$6:$D$400,"All",'Promo Calendar'!$I$6:$I$400,"&lt;="&amp;$A904,'Promo Calendar'!$J$6:$J$400,"&gt;="&amp;$A904,'Promo Calendar'!$G$6:$G$400,"&gt;0")&gt;0,_xlfn.MINIFS('Promo Calendar'!$G$6:$G$400,'Promo Calendar'!$A$6:$A$400,$C904,'Promo Calendar'!$D$6:$D$400,"All",'Promo Calendar'!$I$6:$I$400,"&lt;="&amp;$A904,'Promo Calendar'!$J$6:$J$400,"&gt;="&amp;$A904,'Promo Calendar'!$G$6:$G$400,"&gt;0"),IFERROR(IF(INDEX('Chain Program'!$M$6:$M$120,MATCH($C904,'Chain Program'!$A$6:$A$120,0))="","Not set",INDEX('Chain Program'!$M$6:$M$120,MATCH($C904,'Chain Program'!$A$6:$A$120,0))),"Not set"))))</f>
        <v/>
      </c>
      <c r="I904" s="61" t="n"/>
      <c r="J904" s="45">
        <f>IF($I904="","",IF(NOT(ISNUMBER($H904)),"No plan price",IF(ABS($I904-$H904)&lt;0.005,"Match",IF($I904&gt;$H904,"Over plan","Under plan"))))</f>
        <v/>
      </c>
      <c r="K904" s="60" t="n"/>
      <c r="L904" s="60" t="n"/>
      <c r="M904" s="60" t="n"/>
      <c r="N904" s="60" t="n"/>
      <c r="O904" s="60" t="n"/>
      <c r="P904" s="62" t="n"/>
      <c r="Q904" s="62" t="n"/>
      <c r="R904" s="60" t="n"/>
      <c r="S904" s="59" t="n"/>
      <c r="T904" s="60" t="n"/>
      <c r="U904" s="59" t="n"/>
      <c r="V904" s="45">
        <f>IF(OR($A904="",$T904="",$T904="No Issue"),"",IF($T904="Resolved",IF($U904="","",$U904-$A904),TODAY()-$A904))</f>
        <v/>
      </c>
      <c r="W904" s="47">
        <f>IF(AND($C904&lt;&gt;"",$C904='Store History'!$C$4,OR('Store History'!$C$5="",$F904='Store History'!$C$5)),1,0)</f>
        <v/>
      </c>
      <c r="X904" s="47">
        <f>IF($W904=1,SUM($W904:$W$1005),"")</f>
        <v/>
      </c>
    </row>
    <row r="905">
      <c r="A905" s="59" t="n"/>
      <c r="B905" s="60" t="n"/>
      <c r="C905" s="60" t="n"/>
      <c r="D905" s="45">
        <f>IF($C905="","",IFERROR(INDEX('Chain Program'!$B$6:$B$120,MATCH($C905,'Chain Program'!$A$6:$A$120,0)),"Unknown ID"))</f>
        <v/>
      </c>
      <c r="E905" s="45">
        <f>IF($C905="","",IFERROR(INDEX('Chain Program'!$D$6:$D$120,MATCH($C905,'Chain Program'!$A$6:$A$120,0)),"Unknown ID"))</f>
        <v/>
      </c>
      <c r="F905" s="60" t="n"/>
      <c r="G905" s="60" t="n"/>
      <c r="H905" s="56">
        <f>IF(OR($C905="",$A905=""),"",IF(COUNTIFS('Promo Calendar'!$A$6:$A$400,$C905,'Promo Calendar'!$D$6:$D$400,IF($G905="","All",$G905),'Promo Calendar'!$I$6:$I$400,"&lt;="&amp;$A905,'Promo Calendar'!$J$6:$J$400,"&gt;="&amp;$A905,'Promo Calendar'!$G$6:$G$400,"&gt;0")&gt;0,_xlfn.MINIFS('Promo Calendar'!$G$6:$G$400,'Promo Calendar'!$A$6:$A$400,$C905,'Promo Calendar'!$D$6:$D$400,IF($G905="","All",$G905),'Promo Calendar'!$I$6:$I$400,"&lt;="&amp;$A905,'Promo Calendar'!$J$6:$J$400,"&gt;="&amp;$A905,'Promo Calendar'!$G$6:$G$400,"&gt;0"),IF(COUNTIFS('Promo Calendar'!$A$6:$A$400,$C905,'Promo Calendar'!$D$6:$D$400,"All",'Promo Calendar'!$I$6:$I$400,"&lt;="&amp;$A905,'Promo Calendar'!$J$6:$J$400,"&gt;="&amp;$A905,'Promo Calendar'!$G$6:$G$400,"&gt;0")&gt;0,_xlfn.MINIFS('Promo Calendar'!$G$6:$G$400,'Promo Calendar'!$A$6:$A$400,$C905,'Promo Calendar'!$D$6:$D$400,"All",'Promo Calendar'!$I$6:$I$400,"&lt;="&amp;$A905,'Promo Calendar'!$J$6:$J$400,"&gt;="&amp;$A905,'Promo Calendar'!$G$6:$G$400,"&gt;0"),IFERROR(IF(INDEX('Chain Program'!$M$6:$M$120,MATCH($C905,'Chain Program'!$A$6:$A$120,0))="","Not set",INDEX('Chain Program'!$M$6:$M$120,MATCH($C905,'Chain Program'!$A$6:$A$120,0))),"Not set"))))</f>
        <v/>
      </c>
      <c r="I905" s="61" t="n"/>
      <c r="J905" s="45">
        <f>IF($I905="","",IF(NOT(ISNUMBER($H905)),"No plan price",IF(ABS($I905-$H905)&lt;0.005,"Match",IF($I905&gt;$H905,"Over plan","Under plan"))))</f>
        <v/>
      </c>
      <c r="K905" s="60" t="n"/>
      <c r="L905" s="60" t="n"/>
      <c r="M905" s="60" t="n"/>
      <c r="N905" s="60" t="n"/>
      <c r="O905" s="60" t="n"/>
      <c r="P905" s="62" t="n"/>
      <c r="Q905" s="62" t="n"/>
      <c r="R905" s="60" t="n"/>
      <c r="S905" s="59" t="n"/>
      <c r="T905" s="60" t="n"/>
      <c r="U905" s="59" t="n"/>
      <c r="V905" s="45">
        <f>IF(OR($A905="",$T905="",$T905="No Issue"),"",IF($T905="Resolved",IF($U905="","",$U905-$A905),TODAY()-$A905))</f>
        <v/>
      </c>
      <c r="W905" s="47">
        <f>IF(AND($C905&lt;&gt;"",$C905='Store History'!$C$4,OR('Store History'!$C$5="",$F905='Store History'!$C$5)),1,0)</f>
        <v/>
      </c>
      <c r="X905" s="47">
        <f>IF($W905=1,SUM($W905:$W$1005),"")</f>
        <v/>
      </c>
    </row>
    <row r="906">
      <c r="A906" s="59" t="n"/>
      <c r="B906" s="60" t="n"/>
      <c r="C906" s="60" t="n"/>
      <c r="D906" s="45">
        <f>IF($C906="","",IFERROR(INDEX('Chain Program'!$B$6:$B$120,MATCH($C906,'Chain Program'!$A$6:$A$120,0)),"Unknown ID"))</f>
        <v/>
      </c>
      <c r="E906" s="45">
        <f>IF($C906="","",IFERROR(INDEX('Chain Program'!$D$6:$D$120,MATCH($C906,'Chain Program'!$A$6:$A$120,0)),"Unknown ID"))</f>
        <v/>
      </c>
      <c r="F906" s="60" t="n"/>
      <c r="G906" s="60" t="n"/>
      <c r="H906" s="56">
        <f>IF(OR($C906="",$A906=""),"",IF(COUNTIFS('Promo Calendar'!$A$6:$A$400,$C906,'Promo Calendar'!$D$6:$D$400,IF($G906="","All",$G906),'Promo Calendar'!$I$6:$I$400,"&lt;="&amp;$A906,'Promo Calendar'!$J$6:$J$400,"&gt;="&amp;$A906,'Promo Calendar'!$G$6:$G$400,"&gt;0")&gt;0,_xlfn.MINIFS('Promo Calendar'!$G$6:$G$400,'Promo Calendar'!$A$6:$A$400,$C906,'Promo Calendar'!$D$6:$D$400,IF($G906="","All",$G906),'Promo Calendar'!$I$6:$I$400,"&lt;="&amp;$A906,'Promo Calendar'!$J$6:$J$400,"&gt;="&amp;$A906,'Promo Calendar'!$G$6:$G$400,"&gt;0"),IF(COUNTIFS('Promo Calendar'!$A$6:$A$400,$C906,'Promo Calendar'!$D$6:$D$400,"All",'Promo Calendar'!$I$6:$I$400,"&lt;="&amp;$A906,'Promo Calendar'!$J$6:$J$400,"&gt;="&amp;$A906,'Promo Calendar'!$G$6:$G$400,"&gt;0")&gt;0,_xlfn.MINIFS('Promo Calendar'!$G$6:$G$400,'Promo Calendar'!$A$6:$A$400,$C906,'Promo Calendar'!$D$6:$D$400,"All",'Promo Calendar'!$I$6:$I$400,"&lt;="&amp;$A906,'Promo Calendar'!$J$6:$J$400,"&gt;="&amp;$A906,'Promo Calendar'!$G$6:$G$400,"&gt;0"),IFERROR(IF(INDEX('Chain Program'!$M$6:$M$120,MATCH($C906,'Chain Program'!$A$6:$A$120,0))="","Not set",INDEX('Chain Program'!$M$6:$M$120,MATCH($C906,'Chain Program'!$A$6:$A$120,0))),"Not set"))))</f>
        <v/>
      </c>
      <c r="I906" s="61" t="n"/>
      <c r="J906" s="45">
        <f>IF($I906="","",IF(NOT(ISNUMBER($H906)),"No plan price",IF(ABS($I906-$H906)&lt;0.005,"Match",IF($I906&gt;$H906,"Over plan","Under plan"))))</f>
        <v/>
      </c>
      <c r="K906" s="60" t="n"/>
      <c r="L906" s="60" t="n"/>
      <c r="M906" s="60" t="n"/>
      <c r="N906" s="60" t="n"/>
      <c r="O906" s="60" t="n"/>
      <c r="P906" s="62" t="n"/>
      <c r="Q906" s="62" t="n"/>
      <c r="R906" s="60" t="n"/>
      <c r="S906" s="59" t="n"/>
      <c r="T906" s="60" t="n"/>
      <c r="U906" s="59" t="n"/>
      <c r="V906" s="45">
        <f>IF(OR($A906="",$T906="",$T906="No Issue"),"",IF($T906="Resolved",IF($U906="","",$U906-$A906),TODAY()-$A906))</f>
        <v/>
      </c>
      <c r="W906" s="47">
        <f>IF(AND($C906&lt;&gt;"",$C906='Store History'!$C$4,OR('Store History'!$C$5="",$F906='Store History'!$C$5)),1,0)</f>
        <v/>
      </c>
      <c r="X906" s="47">
        <f>IF($W906=1,SUM($W906:$W$1005),"")</f>
        <v/>
      </c>
    </row>
    <row r="907">
      <c r="A907" s="59" t="n"/>
      <c r="B907" s="60" t="n"/>
      <c r="C907" s="60" t="n"/>
      <c r="D907" s="45">
        <f>IF($C907="","",IFERROR(INDEX('Chain Program'!$B$6:$B$120,MATCH($C907,'Chain Program'!$A$6:$A$120,0)),"Unknown ID"))</f>
        <v/>
      </c>
      <c r="E907" s="45">
        <f>IF($C907="","",IFERROR(INDEX('Chain Program'!$D$6:$D$120,MATCH($C907,'Chain Program'!$A$6:$A$120,0)),"Unknown ID"))</f>
        <v/>
      </c>
      <c r="F907" s="60" t="n"/>
      <c r="G907" s="60" t="n"/>
      <c r="H907" s="56">
        <f>IF(OR($C907="",$A907=""),"",IF(COUNTIFS('Promo Calendar'!$A$6:$A$400,$C907,'Promo Calendar'!$D$6:$D$400,IF($G907="","All",$G907),'Promo Calendar'!$I$6:$I$400,"&lt;="&amp;$A907,'Promo Calendar'!$J$6:$J$400,"&gt;="&amp;$A907,'Promo Calendar'!$G$6:$G$400,"&gt;0")&gt;0,_xlfn.MINIFS('Promo Calendar'!$G$6:$G$400,'Promo Calendar'!$A$6:$A$400,$C907,'Promo Calendar'!$D$6:$D$400,IF($G907="","All",$G907),'Promo Calendar'!$I$6:$I$400,"&lt;="&amp;$A907,'Promo Calendar'!$J$6:$J$400,"&gt;="&amp;$A907,'Promo Calendar'!$G$6:$G$400,"&gt;0"),IF(COUNTIFS('Promo Calendar'!$A$6:$A$400,$C907,'Promo Calendar'!$D$6:$D$400,"All",'Promo Calendar'!$I$6:$I$400,"&lt;="&amp;$A907,'Promo Calendar'!$J$6:$J$400,"&gt;="&amp;$A907,'Promo Calendar'!$G$6:$G$400,"&gt;0")&gt;0,_xlfn.MINIFS('Promo Calendar'!$G$6:$G$400,'Promo Calendar'!$A$6:$A$400,$C907,'Promo Calendar'!$D$6:$D$400,"All",'Promo Calendar'!$I$6:$I$400,"&lt;="&amp;$A907,'Promo Calendar'!$J$6:$J$400,"&gt;="&amp;$A907,'Promo Calendar'!$G$6:$G$400,"&gt;0"),IFERROR(IF(INDEX('Chain Program'!$M$6:$M$120,MATCH($C907,'Chain Program'!$A$6:$A$120,0))="","Not set",INDEX('Chain Program'!$M$6:$M$120,MATCH($C907,'Chain Program'!$A$6:$A$120,0))),"Not set"))))</f>
        <v/>
      </c>
      <c r="I907" s="61" t="n"/>
      <c r="J907" s="45">
        <f>IF($I907="","",IF(NOT(ISNUMBER($H907)),"No plan price",IF(ABS($I907-$H907)&lt;0.005,"Match",IF($I907&gt;$H907,"Over plan","Under plan"))))</f>
        <v/>
      </c>
      <c r="K907" s="60" t="n"/>
      <c r="L907" s="60" t="n"/>
      <c r="M907" s="60" t="n"/>
      <c r="N907" s="60" t="n"/>
      <c r="O907" s="60" t="n"/>
      <c r="P907" s="62" t="n"/>
      <c r="Q907" s="62" t="n"/>
      <c r="R907" s="60" t="n"/>
      <c r="S907" s="59" t="n"/>
      <c r="T907" s="60" t="n"/>
      <c r="U907" s="59" t="n"/>
      <c r="V907" s="45">
        <f>IF(OR($A907="",$T907="",$T907="No Issue"),"",IF($T907="Resolved",IF($U907="","",$U907-$A907),TODAY()-$A907))</f>
        <v/>
      </c>
      <c r="W907" s="47">
        <f>IF(AND($C907&lt;&gt;"",$C907='Store History'!$C$4,OR('Store History'!$C$5="",$F907='Store History'!$C$5)),1,0)</f>
        <v/>
      </c>
      <c r="X907" s="47">
        <f>IF($W907=1,SUM($W907:$W$1005),"")</f>
        <v/>
      </c>
    </row>
    <row r="908">
      <c r="A908" s="59" t="n"/>
      <c r="B908" s="60" t="n"/>
      <c r="C908" s="60" t="n"/>
      <c r="D908" s="45">
        <f>IF($C908="","",IFERROR(INDEX('Chain Program'!$B$6:$B$120,MATCH($C908,'Chain Program'!$A$6:$A$120,0)),"Unknown ID"))</f>
        <v/>
      </c>
      <c r="E908" s="45">
        <f>IF($C908="","",IFERROR(INDEX('Chain Program'!$D$6:$D$120,MATCH($C908,'Chain Program'!$A$6:$A$120,0)),"Unknown ID"))</f>
        <v/>
      </c>
      <c r="F908" s="60" t="n"/>
      <c r="G908" s="60" t="n"/>
      <c r="H908" s="56">
        <f>IF(OR($C908="",$A908=""),"",IF(COUNTIFS('Promo Calendar'!$A$6:$A$400,$C908,'Promo Calendar'!$D$6:$D$400,IF($G908="","All",$G908),'Promo Calendar'!$I$6:$I$400,"&lt;="&amp;$A908,'Promo Calendar'!$J$6:$J$400,"&gt;="&amp;$A908,'Promo Calendar'!$G$6:$G$400,"&gt;0")&gt;0,_xlfn.MINIFS('Promo Calendar'!$G$6:$G$400,'Promo Calendar'!$A$6:$A$400,$C908,'Promo Calendar'!$D$6:$D$400,IF($G908="","All",$G908),'Promo Calendar'!$I$6:$I$400,"&lt;="&amp;$A908,'Promo Calendar'!$J$6:$J$400,"&gt;="&amp;$A908,'Promo Calendar'!$G$6:$G$400,"&gt;0"),IF(COUNTIFS('Promo Calendar'!$A$6:$A$400,$C908,'Promo Calendar'!$D$6:$D$400,"All",'Promo Calendar'!$I$6:$I$400,"&lt;="&amp;$A908,'Promo Calendar'!$J$6:$J$400,"&gt;="&amp;$A908,'Promo Calendar'!$G$6:$G$400,"&gt;0")&gt;0,_xlfn.MINIFS('Promo Calendar'!$G$6:$G$400,'Promo Calendar'!$A$6:$A$400,$C908,'Promo Calendar'!$D$6:$D$400,"All",'Promo Calendar'!$I$6:$I$400,"&lt;="&amp;$A908,'Promo Calendar'!$J$6:$J$400,"&gt;="&amp;$A908,'Promo Calendar'!$G$6:$G$400,"&gt;0"),IFERROR(IF(INDEX('Chain Program'!$M$6:$M$120,MATCH($C908,'Chain Program'!$A$6:$A$120,0))="","Not set",INDEX('Chain Program'!$M$6:$M$120,MATCH($C908,'Chain Program'!$A$6:$A$120,0))),"Not set"))))</f>
        <v/>
      </c>
      <c r="I908" s="61" t="n"/>
      <c r="J908" s="45">
        <f>IF($I908="","",IF(NOT(ISNUMBER($H908)),"No plan price",IF(ABS($I908-$H908)&lt;0.005,"Match",IF($I908&gt;$H908,"Over plan","Under plan"))))</f>
        <v/>
      </c>
      <c r="K908" s="60" t="n"/>
      <c r="L908" s="60" t="n"/>
      <c r="M908" s="60" t="n"/>
      <c r="N908" s="60" t="n"/>
      <c r="O908" s="60" t="n"/>
      <c r="P908" s="62" t="n"/>
      <c r="Q908" s="62" t="n"/>
      <c r="R908" s="60" t="n"/>
      <c r="S908" s="59" t="n"/>
      <c r="T908" s="60" t="n"/>
      <c r="U908" s="59" t="n"/>
      <c r="V908" s="45">
        <f>IF(OR($A908="",$T908="",$T908="No Issue"),"",IF($T908="Resolved",IF($U908="","",$U908-$A908),TODAY()-$A908))</f>
        <v/>
      </c>
      <c r="W908" s="47">
        <f>IF(AND($C908&lt;&gt;"",$C908='Store History'!$C$4,OR('Store History'!$C$5="",$F908='Store History'!$C$5)),1,0)</f>
        <v/>
      </c>
      <c r="X908" s="47">
        <f>IF($W908=1,SUM($W908:$W$1005),"")</f>
        <v/>
      </c>
    </row>
    <row r="909">
      <c r="A909" s="59" t="n"/>
      <c r="B909" s="60" t="n"/>
      <c r="C909" s="60" t="n"/>
      <c r="D909" s="45">
        <f>IF($C909="","",IFERROR(INDEX('Chain Program'!$B$6:$B$120,MATCH($C909,'Chain Program'!$A$6:$A$120,0)),"Unknown ID"))</f>
        <v/>
      </c>
      <c r="E909" s="45">
        <f>IF($C909="","",IFERROR(INDEX('Chain Program'!$D$6:$D$120,MATCH($C909,'Chain Program'!$A$6:$A$120,0)),"Unknown ID"))</f>
        <v/>
      </c>
      <c r="F909" s="60" t="n"/>
      <c r="G909" s="60" t="n"/>
      <c r="H909" s="56">
        <f>IF(OR($C909="",$A909=""),"",IF(COUNTIFS('Promo Calendar'!$A$6:$A$400,$C909,'Promo Calendar'!$D$6:$D$400,IF($G909="","All",$G909),'Promo Calendar'!$I$6:$I$400,"&lt;="&amp;$A909,'Promo Calendar'!$J$6:$J$400,"&gt;="&amp;$A909,'Promo Calendar'!$G$6:$G$400,"&gt;0")&gt;0,_xlfn.MINIFS('Promo Calendar'!$G$6:$G$400,'Promo Calendar'!$A$6:$A$400,$C909,'Promo Calendar'!$D$6:$D$400,IF($G909="","All",$G909),'Promo Calendar'!$I$6:$I$400,"&lt;="&amp;$A909,'Promo Calendar'!$J$6:$J$400,"&gt;="&amp;$A909,'Promo Calendar'!$G$6:$G$400,"&gt;0"),IF(COUNTIFS('Promo Calendar'!$A$6:$A$400,$C909,'Promo Calendar'!$D$6:$D$400,"All",'Promo Calendar'!$I$6:$I$400,"&lt;="&amp;$A909,'Promo Calendar'!$J$6:$J$400,"&gt;="&amp;$A909,'Promo Calendar'!$G$6:$G$400,"&gt;0")&gt;0,_xlfn.MINIFS('Promo Calendar'!$G$6:$G$400,'Promo Calendar'!$A$6:$A$400,$C909,'Promo Calendar'!$D$6:$D$400,"All",'Promo Calendar'!$I$6:$I$400,"&lt;="&amp;$A909,'Promo Calendar'!$J$6:$J$400,"&gt;="&amp;$A909,'Promo Calendar'!$G$6:$G$400,"&gt;0"),IFERROR(IF(INDEX('Chain Program'!$M$6:$M$120,MATCH($C909,'Chain Program'!$A$6:$A$120,0))="","Not set",INDEX('Chain Program'!$M$6:$M$120,MATCH($C909,'Chain Program'!$A$6:$A$120,0))),"Not set"))))</f>
        <v/>
      </c>
      <c r="I909" s="61" t="n"/>
      <c r="J909" s="45">
        <f>IF($I909="","",IF(NOT(ISNUMBER($H909)),"No plan price",IF(ABS($I909-$H909)&lt;0.005,"Match",IF($I909&gt;$H909,"Over plan","Under plan"))))</f>
        <v/>
      </c>
      <c r="K909" s="60" t="n"/>
      <c r="L909" s="60" t="n"/>
      <c r="M909" s="60" t="n"/>
      <c r="N909" s="60" t="n"/>
      <c r="O909" s="60" t="n"/>
      <c r="P909" s="62" t="n"/>
      <c r="Q909" s="62" t="n"/>
      <c r="R909" s="60" t="n"/>
      <c r="S909" s="59" t="n"/>
      <c r="T909" s="60" t="n"/>
      <c r="U909" s="59" t="n"/>
      <c r="V909" s="45">
        <f>IF(OR($A909="",$T909="",$T909="No Issue"),"",IF($T909="Resolved",IF($U909="","",$U909-$A909),TODAY()-$A909))</f>
        <v/>
      </c>
      <c r="W909" s="47">
        <f>IF(AND($C909&lt;&gt;"",$C909='Store History'!$C$4,OR('Store History'!$C$5="",$F909='Store History'!$C$5)),1,0)</f>
        <v/>
      </c>
      <c r="X909" s="47">
        <f>IF($W909=1,SUM($W909:$W$1005),"")</f>
        <v/>
      </c>
    </row>
    <row r="910">
      <c r="A910" s="59" t="n"/>
      <c r="B910" s="60" t="n"/>
      <c r="C910" s="60" t="n"/>
      <c r="D910" s="45">
        <f>IF($C910="","",IFERROR(INDEX('Chain Program'!$B$6:$B$120,MATCH($C910,'Chain Program'!$A$6:$A$120,0)),"Unknown ID"))</f>
        <v/>
      </c>
      <c r="E910" s="45">
        <f>IF($C910="","",IFERROR(INDEX('Chain Program'!$D$6:$D$120,MATCH($C910,'Chain Program'!$A$6:$A$120,0)),"Unknown ID"))</f>
        <v/>
      </c>
      <c r="F910" s="60" t="n"/>
      <c r="G910" s="60" t="n"/>
      <c r="H910" s="56">
        <f>IF(OR($C910="",$A910=""),"",IF(COUNTIFS('Promo Calendar'!$A$6:$A$400,$C910,'Promo Calendar'!$D$6:$D$400,IF($G910="","All",$G910),'Promo Calendar'!$I$6:$I$400,"&lt;="&amp;$A910,'Promo Calendar'!$J$6:$J$400,"&gt;="&amp;$A910,'Promo Calendar'!$G$6:$G$400,"&gt;0")&gt;0,_xlfn.MINIFS('Promo Calendar'!$G$6:$G$400,'Promo Calendar'!$A$6:$A$400,$C910,'Promo Calendar'!$D$6:$D$400,IF($G910="","All",$G910),'Promo Calendar'!$I$6:$I$400,"&lt;="&amp;$A910,'Promo Calendar'!$J$6:$J$400,"&gt;="&amp;$A910,'Promo Calendar'!$G$6:$G$400,"&gt;0"),IF(COUNTIFS('Promo Calendar'!$A$6:$A$400,$C910,'Promo Calendar'!$D$6:$D$400,"All",'Promo Calendar'!$I$6:$I$400,"&lt;="&amp;$A910,'Promo Calendar'!$J$6:$J$400,"&gt;="&amp;$A910,'Promo Calendar'!$G$6:$G$400,"&gt;0")&gt;0,_xlfn.MINIFS('Promo Calendar'!$G$6:$G$400,'Promo Calendar'!$A$6:$A$400,$C910,'Promo Calendar'!$D$6:$D$400,"All",'Promo Calendar'!$I$6:$I$400,"&lt;="&amp;$A910,'Promo Calendar'!$J$6:$J$400,"&gt;="&amp;$A910,'Promo Calendar'!$G$6:$G$400,"&gt;0"),IFERROR(IF(INDEX('Chain Program'!$M$6:$M$120,MATCH($C910,'Chain Program'!$A$6:$A$120,0))="","Not set",INDEX('Chain Program'!$M$6:$M$120,MATCH($C910,'Chain Program'!$A$6:$A$120,0))),"Not set"))))</f>
        <v/>
      </c>
      <c r="I910" s="61" t="n"/>
      <c r="J910" s="45">
        <f>IF($I910="","",IF(NOT(ISNUMBER($H910)),"No plan price",IF(ABS($I910-$H910)&lt;0.005,"Match",IF($I910&gt;$H910,"Over plan","Under plan"))))</f>
        <v/>
      </c>
      <c r="K910" s="60" t="n"/>
      <c r="L910" s="60" t="n"/>
      <c r="M910" s="60" t="n"/>
      <c r="N910" s="60" t="n"/>
      <c r="O910" s="60" t="n"/>
      <c r="P910" s="62" t="n"/>
      <c r="Q910" s="62" t="n"/>
      <c r="R910" s="60" t="n"/>
      <c r="S910" s="59" t="n"/>
      <c r="T910" s="60" t="n"/>
      <c r="U910" s="59" t="n"/>
      <c r="V910" s="45">
        <f>IF(OR($A910="",$T910="",$T910="No Issue"),"",IF($T910="Resolved",IF($U910="","",$U910-$A910),TODAY()-$A910))</f>
        <v/>
      </c>
      <c r="W910" s="47">
        <f>IF(AND($C910&lt;&gt;"",$C910='Store History'!$C$4,OR('Store History'!$C$5="",$F910='Store History'!$C$5)),1,0)</f>
        <v/>
      </c>
      <c r="X910" s="47">
        <f>IF($W910=1,SUM($W910:$W$1005),"")</f>
        <v/>
      </c>
    </row>
    <row r="911">
      <c r="A911" s="59" t="n"/>
      <c r="B911" s="60" t="n"/>
      <c r="C911" s="60" t="n"/>
      <c r="D911" s="45">
        <f>IF($C911="","",IFERROR(INDEX('Chain Program'!$B$6:$B$120,MATCH($C911,'Chain Program'!$A$6:$A$120,0)),"Unknown ID"))</f>
        <v/>
      </c>
      <c r="E911" s="45">
        <f>IF($C911="","",IFERROR(INDEX('Chain Program'!$D$6:$D$120,MATCH($C911,'Chain Program'!$A$6:$A$120,0)),"Unknown ID"))</f>
        <v/>
      </c>
      <c r="F911" s="60" t="n"/>
      <c r="G911" s="60" t="n"/>
      <c r="H911" s="56">
        <f>IF(OR($C911="",$A911=""),"",IF(COUNTIFS('Promo Calendar'!$A$6:$A$400,$C911,'Promo Calendar'!$D$6:$D$400,IF($G911="","All",$G911),'Promo Calendar'!$I$6:$I$400,"&lt;="&amp;$A911,'Promo Calendar'!$J$6:$J$400,"&gt;="&amp;$A911,'Promo Calendar'!$G$6:$G$400,"&gt;0")&gt;0,_xlfn.MINIFS('Promo Calendar'!$G$6:$G$400,'Promo Calendar'!$A$6:$A$400,$C911,'Promo Calendar'!$D$6:$D$400,IF($G911="","All",$G911),'Promo Calendar'!$I$6:$I$400,"&lt;="&amp;$A911,'Promo Calendar'!$J$6:$J$400,"&gt;="&amp;$A911,'Promo Calendar'!$G$6:$G$400,"&gt;0"),IF(COUNTIFS('Promo Calendar'!$A$6:$A$400,$C911,'Promo Calendar'!$D$6:$D$400,"All",'Promo Calendar'!$I$6:$I$400,"&lt;="&amp;$A911,'Promo Calendar'!$J$6:$J$400,"&gt;="&amp;$A911,'Promo Calendar'!$G$6:$G$400,"&gt;0")&gt;0,_xlfn.MINIFS('Promo Calendar'!$G$6:$G$400,'Promo Calendar'!$A$6:$A$400,$C911,'Promo Calendar'!$D$6:$D$400,"All",'Promo Calendar'!$I$6:$I$400,"&lt;="&amp;$A911,'Promo Calendar'!$J$6:$J$400,"&gt;="&amp;$A911,'Promo Calendar'!$G$6:$G$400,"&gt;0"),IFERROR(IF(INDEX('Chain Program'!$M$6:$M$120,MATCH($C911,'Chain Program'!$A$6:$A$120,0))="","Not set",INDEX('Chain Program'!$M$6:$M$120,MATCH($C911,'Chain Program'!$A$6:$A$120,0))),"Not set"))))</f>
        <v/>
      </c>
      <c r="I911" s="61" t="n"/>
      <c r="J911" s="45">
        <f>IF($I911="","",IF(NOT(ISNUMBER($H911)),"No plan price",IF(ABS($I911-$H911)&lt;0.005,"Match",IF($I911&gt;$H911,"Over plan","Under plan"))))</f>
        <v/>
      </c>
      <c r="K911" s="60" t="n"/>
      <c r="L911" s="60" t="n"/>
      <c r="M911" s="60" t="n"/>
      <c r="N911" s="60" t="n"/>
      <c r="O911" s="60" t="n"/>
      <c r="P911" s="62" t="n"/>
      <c r="Q911" s="62" t="n"/>
      <c r="R911" s="60" t="n"/>
      <c r="S911" s="59" t="n"/>
      <c r="T911" s="60" t="n"/>
      <c r="U911" s="59" t="n"/>
      <c r="V911" s="45">
        <f>IF(OR($A911="",$T911="",$T911="No Issue"),"",IF($T911="Resolved",IF($U911="","",$U911-$A911),TODAY()-$A911))</f>
        <v/>
      </c>
      <c r="W911" s="47">
        <f>IF(AND($C911&lt;&gt;"",$C911='Store History'!$C$4,OR('Store History'!$C$5="",$F911='Store History'!$C$5)),1,0)</f>
        <v/>
      </c>
      <c r="X911" s="47">
        <f>IF($W911=1,SUM($W911:$W$1005),"")</f>
        <v/>
      </c>
    </row>
    <row r="912">
      <c r="A912" s="59" t="n"/>
      <c r="B912" s="60" t="n"/>
      <c r="C912" s="60" t="n"/>
      <c r="D912" s="45">
        <f>IF($C912="","",IFERROR(INDEX('Chain Program'!$B$6:$B$120,MATCH($C912,'Chain Program'!$A$6:$A$120,0)),"Unknown ID"))</f>
        <v/>
      </c>
      <c r="E912" s="45">
        <f>IF($C912="","",IFERROR(INDEX('Chain Program'!$D$6:$D$120,MATCH($C912,'Chain Program'!$A$6:$A$120,0)),"Unknown ID"))</f>
        <v/>
      </c>
      <c r="F912" s="60" t="n"/>
      <c r="G912" s="60" t="n"/>
      <c r="H912" s="56">
        <f>IF(OR($C912="",$A912=""),"",IF(COUNTIFS('Promo Calendar'!$A$6:$A$400,$C912,'Promo Calendar'!$D$6:$D$400,IF($G912="","All",$G912),'Promo Calendar'!$I$6:$I$400,"&lt;="&amp;$A912,'Promo Calendar'!$J$6:$J$400,"&gt;="&amp;$A912,'Promo Calendar'!$G$6:$G$400,"&gt;0")&gt;0,_xlfn.MINIFS('Promo Calendar'!$G$6:$G$400,'Promo Calendar'!$A$6:$A$400,$C912,'Promo Calendar'!$D$6:$D$400,IF($G912="","All",$G912),'Promo Calendar'!$I$6:$I$400,"&lt;="&amp;$A912,'Promo Calendar'!$J$6:$J$400,"&gt;="&amp;$A912,'Promo Calendar'!$G$6:$G$400,"&gt;0"),IF(COUNTIFS('Promo Calendar'!$A$6:$A$400,$C912,'Promo Calendar'!$D$6:$D$400,"All",'Promo Calendar'!$I$6:$I$400,"&lt;="&amp;$A912,'Promo Calendar'!$J$6:$J$400,"&gt;="&amp;$A912,'Promo Calendar'!$G$6:$G$400,"&gt;0")&gt;0,_xlfn.MINIFS('Promo Calendar'!$G$6:$G$400,'Promo Calendar'!$A$6:$A$400,$C912,'Promo Calendar'!$D$6:$D$400,"All",'Promo Calendar'!$I$6:$I$400,"&lt;="&amp;$A912,'Promo Calendar'!$J$6:$J$400,"&gt;="&amp;$A912,'Promo Calendar'!$G$6:$G$400,"&gt;0"),IFERROR(IF(INDEX('Chain Program'!$M$6:$M$120,MATCH($C912,'Chain Program'!$A$6:$A$120,0))="","Not set",INDEX('Chain Program'!$M$6:$M$120,MATCH($C912,'Chain Program'!$A$6:$A$120,0))),"Not set"))))</f>
        <v/>
      </c>
      <c r="I912" s="61" t="n"/>
      <c r="J912" s="45">
        <f>IF($I912="","",IF(NOT(ISNUMBER($H912)),"No plan price",IF(ABS($I912-$H912)&lt;0.005,"Match",IF($I912&gt;$H912,"Over plan","Under plan"))))</f>
        <v/>
      </c>
      <c r="K912" s="60" t="n"/>
      <c r="L912" s="60" t="n"/>
      <c r="M912" s="60" t="n"/>
      <c r="N912" s="60" t="n"/>
      <c r="O912" s="60" t="n"/>
      <c r="P912" s="62" t="n"/>
      <c r="Q912" s="62" t="n"/>
      <c r="R912" s="60" t="n"/>
      <c r="S912" s="59" t="n"/>
      <c r="T912" s="60" t="n"/>
      <c r="U912" s="59" t="n"/>
      <c r="V912" s="45">
        <f>IF(OR($A912="",$T912="",$T912="No Issue"),"",IF($T912="Resolved",IF($U912="","",$U912-$A912),TODAY()-$A912))</f>
        <v/>
      </c>
      <c r="W912" s="47">
        <f>IF(AND($C912&lt;&gt;"",$C912='Store History'!$C$4,OR('Store History'!$C$5="",$F912='Store History'!$C$5)),1,0)</f>
        <v/>
      </c>
      <c r="X912" s="47">
        <f>IF($W912=1,SUM($W912:$W$1005),"")</f>
        <v/>
      </c>
    </row>
    <row r="913">
      <c r="A913" s="59" t="n"/>
      <c r="B913" s="60" t="n"/>
      <c r="C913" s="60" t="n"/>
      <c r="D913" s="45">
        <f>IF($C913="","",IFERROR(INDEX('Chain Program'!$B$6:$B$120,MATCH($C913,'Chain Program'!$A$6:$A$120,0)),"Unknown ID"))</f>
        <v/>
      </c>
      <c r="E913" s="45">
        <f>IF($C913="","",IFERROR(INDEX('Chain Program'!$D$6:$D$120,MATCH($C913,'Chain Program'!$A$6:$A$120,0)),"Unknown ID"))</f>
        <v/>
      </c>
      <c r="F913" s="60" t="n"/>
      <c r="G913" s="60" t="n"/>
      <c r="H913" s="56">
        <f>IF(OR($C913="",$A913=""),"",IF(COUNTIFS('Promo Calendar'!$A$6:$A$400,$C913,'Promo Calendar'!$D$6:$D$400,IF($G913="","All",$G913),'Promo Calendar'!$I$6:$I$400,"&lt;="&amp;$A913,'Promo Calendar'!$J$6:$J$400,"&gt;="&amp;$A913,'Promo Calendar'!$G$6:$G$400,"&gt;0")&gt;0,_xlfn.MINIFS('Promo Calendar'!$G$6:$G$400,'Promo Calendar'!$A$6:$A$400,$C913,'Promo Calendar'!$D$6:$D$400,IF($G913="","All",$G913),'Promo Calendar'!$I$6:$I$400,"&lt;="&amp;$A913,'Promo Calendar'!$J$6:$J$400,"&gt;="&amp;$A913,'Promo Calendar'!$G$6:$G$400,"&gt;0"),IF(COUNTIFS('Promo Calendar'!$A$6:$A$400,$C913,'Promo Calendar'!$D$6:$D$400,"All",'Promo Calendar'!$I$6:$I$400,"&lt;="&amp;$A913,'Promo Calendar'!$J$6:$J$400,"&gt;="&amp;$A913,'Promo Calendar'!$G$6:$G$400,"&gt;0")&gt;0,_xlfn.MINIFS('Promo Calendar'!$G$6:$G$400,'Promo Calendar'!$A$6:$A$400,$C913,'Promo Calendar'!$D$6:$D$400,"All",'Promo Calendar'!$I$6:$I$400,"&lt;="&amp;$A913,'Promo Calendar'!$J$6:$J$400,"&gt;="&amp;$A913,'Promo Calendar'!$G$6:$G$400,"&gt;0"),IFERROR(IF(INDEX('Chain Program'!$M$6:$M$120,MATCH($C913,'Chain Program'!$A$6:$A$120,0))="","Not set",INDEX('Chain Program'!$M$6:$M$120,MATCH($C913,'Chain Program'!$A$6:$A$120,0))),"Not set"))))</f>
        <v/>
      </c>
      <c r="I913" s="61" t="n"/>
      <c r="J913" s="45">
        <f>IF($I913="","",IF(NOT(ISNUMBER($H913)),"No plan price",IF(ABS($I913-$H913)&lt;0.005,"Match",IF($I913&gt;$H913,"Over plan","Under plan"))))</f>
        <v/>
      </c>
      <c r="K913" s="60" t="n"/>
      <c r="L913" s="60" t="n"/>
      <c r="M913" s="60" t="n"/>
      <c r="N913" s="60" t="n"/>
      <c r="O913" s="60" t="n"/>
      <c r="P913" s="62" t="n"/>
      <c r="Q913" s="62" t="n"/>
      <c r="R913" s="60" t="n"/>
      <c r="S913" s="59" t="n"/>
      <c r="T913" s="60" t="n"/>
      <c r="U913" s="59" t="n"/>
      <c r="V913" s="45">
        <f>IF(OR($A913="",$T913="",$T913="No Issue"),"",IF($T913="Resolved",IF($U913="","",$U913-$A913),TODAY()-$A913))</f>
        <v/>
      </c>
      <c r="W913" s="47">
        <f>IF(AND($C913&lt;&gt;"",$C913='Store History'!$C$4,OR('Store History'!$C$5="",$F913='Store History'!$C$5)),1,0)</f>
        <v/>
      </c>
      <c r="X913" s="47">
        <f>IF($W913=1,SUM($W913:$W$1005),"")</f>
        <v/>
      </c>
    </row>
    <row r="914">
      <c r="A914" s="59" t="n"/>
      <c r="B914" s="60" t="n"/>
      <c r="C914" s="60" t="n"/>
      <c r="D914" s="45">
        <f>IF($C914="","",IFERROR(INDEX('Chain Program'!$B$6:$B$120,MATCH($C914,'Chain Program'!$A$6:$A$120,0)),"Unknown ID"))</f>
        <v/>
      </c>
      <c r="E914" s="45">
        <f>IF($C914="","",IFERROR(INDEX('Chain Program'!$D$6:$D$120,MATCH($C914,'Chain Program'!$A$6:$A$120,0)),"Unknown ID"))</f>
        <v/>
      </c>
      <c r="F914" s="60" t="n"/>
      <c r="G914" s="60" t="n"/>
      <c r="H914" s="56">
        <f>IF(OR($C914="",$A914=""),"",IF(COUNTIFS('Promo Calendar'!$A$6:$A$400,$C914,'Promo Calendar'!$D$6:$D$400,IF($G914="","All",$G914),'Promo Calendar'!$I$6:$I$400,"&lt;="&amp;$A914,'Promo Calendar'!$J$6:$J$400,"&gt;="&amp;$A914,'Promo Calendar'!$G$6:$G$400,"&gt;0")&gt;0,_xlfn.MINIFS('Promo Calendar'!$G$6:$G$400,'Promo Calendar'!$A$6:$A$400,$C914,'Promo Calendar'!$D$6:$D$400,IF($G914="","All",$G914),'Promo Calendar'!$I$6:$I$400,"&lt;="&amp;$A914,'Promo Calendar'!$J$6:$J$400,"&gt;="&amp;$A914,'Promo Calendar'!$G$6:$G$400,"&gt;0"),IF(COUNTIFS('Promo Calendar'!$A$6:$A$400,$C914,'Promo Calendar'!$D$6:$D$400,"All",'Promo Calendar'!$I$6:$I$400,"&lt;="&amp;$A914,'Promo Calendar'!$J$6:$J$400,"&gt;="&amp;$A914,'Promo Calendar'!$G$6:$G$400,"&gt;0")&gt;0,_xlfn.MINIFS('Promo Calendar'!$G$6:$G$400,'Promo Calendar'!$A$6:$A$400,$C914,'Promo Calendar'!$D$6:$D$400,"All",'Promo Calendar'!$I$6:$I$400,"&lt;="&amp;$A914,'Promo Calendar'!$J$6:$J$400,"&gt;="&amp;$A914,'Promo Calendar'!$G$6:$G$400,"&gt;0"),IFERROR(IF(INDEX('Chain Program'!$M$6:$M$120,MATCH($C914,'Chain Program'!$A$6:$A$120,0))="","Not set",INDEX('Chain Program'!$M$6:$M$120,MATCH($C914,'Chain Program'!$A$6:$A$120,0))),"Not set"))))</f>
        <v/>
      </c>
      <c r="I914" s="61" t="n"/>
      <c r="J914" s="45">
        <f>IF($I914="","",IF(NOT(ISNUMBER($H914)),"No plan price",IF(ABS($I914-$H914)&lt;0.005,"Match",IF($I914&gt;$H914,"Over plan","Under plan"))))</f>
        <v/>
      </c>
      <c r="K914" s="60" t="n"/>
      <c r="L914" s="60" t="n"/>
      <c r="M914" s="60" t="n"/>
      <c r="N914" s="60" t="n"/>
      <c r="O914" s="60" t="n"/>
      <c r="P914" s="62" t="n"/>
      <c r="Q914" s="62" t="n"/>
      <c r="R914" s="60" t="n"/>
      <c r="S914" s="59" t="n"/>
      <c r="T914" s="60" t="n"/>
      <c r="U914" s="59" t="n"/>
      <c r="V914" s="45">
        <f>IF(OR($A914="",$T914="",$T914="No Issue"),"",IF($T914="Resolved",IF($U914="","",$U914-$A914),TODAY()-$A914))</f>
        <v/>
      </c>
      <c r="W914" s="47">
        <f>IF(AND($C914&lt;&gt;"",$C914='Store History'!$C$4,OR('Store History'!$C$5="",$F914='Store History'!$C$5)),1,0)</f>
        <v/>
      </c>
      <c r="X914" s="47">
        <f>IF($W914=1,SUM($W914:$W$1005),"")</f>
        <v/>
      </c>
    </row>
    <row r="915">
      <c r="A915" s="59" t="n"/>
      <c r="B915" s="60" t="n"/>
      <c r="C915" s="60" t="n"/>
      <c r="D915" s="45">
        <f>IF($C915="","",IFERROR(INDEX('Chain Program'!$B$6:$B$120,MATCH($C915,'Chain Program'!$A$6:$A$120,0)),"Unknown ID"))</f>
        <v/>
      </c>
      <c r="E915" s="45">
        <f>IF($C915="","",IFERROR(INDEX('Chain Program'!$D$6:$D$120,MATCH($C915,'Chain Program'!$A$6:$A$120,0)),"Unknown ID"))</f>
        <v/>
      </c>
      <c r="F915" s="60" t="n"/>
      <c r="G915" s="60" t="n"/>
      <c r="H915" s="56">
        <f>IF(OR($C915="",$A915=""),"",IF(COUNTIFS('Promo Calendar'!$A$6:$A$400,$C915,'Promo Calendar'!$D$6:$D$400,IF($G915="","All",$G915),'Promo Calendar'!$I$6:$I$400,"&lt;="&amp;$A915,'Promo Calendar'!$J$6:$J$400,"&gt;="&amp;$A915,'Promo Calendar'!$G$6:$G$400,"&gt;0")&gt;0,_xlfn.MINIFS('Promo Calendar'!$G$6:$G$400,'Promo Calendar'!$A$6:$A$400,$C915,'Promo Calendar'!$D$6:$D$400,IF($G915="","All",$G915),'Promo Calendar'!$I$6:$I$400,"&lt;="&amp;$A915,'Promo Calendar'!$J$6:$J$400,"&gt;="&amp;$A915,'Promo Calendar'!$G$6:$G$400,"&gt;0"),IF(COUNTIFS('Promo Calendar'!$A$6:$A$400,$C915,'Promo Calendar'!$D$6:$D$400,"All",'Promo Calendar'!$I$6:$I$400,"&lt;="&amp;$A915,'Promo Calendar'!$J$6:$J$400,"&gt;="&amp;$A915,'Promo Calendar'!$G$6:$G$400,"&gt;0")&gt;0,_xlfn.MINIFS('Promo Calendar'!$G$6:$G$400,'Promo Calendar'!$A$6:$A$400,$C915,'Promo Calendar'!$D$6:$D$400,"All",'Promo Calendar'!$I$6:$I$400,"&lt;="&amp;$A915,'Promo Calendar'!$J$6:$J$400,"&gt;="&amp;$A915,'Promo Calendar'!$G$6:$G$400,"&gt;0"),IFERROR(IF(INDEX('Chain Program'!$M$6:$M$120,MATCH($C915,'Chain Program'!$A$6:$A$120,0))="","Not set",INDEX('Chain Program'!$M$6:$M$120,MATCH($C915,'Chain Program'!$A$6:$A$120,0))),"Not set"))))</f>
        <v/>
      </c>
      <c r="I915" s="61" t="n"/>
      <c r="J915" s="45">
        <f>IF($I915="","",IF(NOT(ISNUMBER($H915)),"No plan price",IF(ABS($I915-$H915)&lt;0.005,"Match",IF($I915&gt;$H915,"Over plan","Under plan"))))</f>
        <v/>
      </c>
      <c r="K915" s="60" t="n"/>
      <c r="L915" s="60" t="n"/>
      <c r="M915" s="60" t="n"/>
      <c r="N915" s="60" t="n"/>
      <c r="O915" s="60" t="n"/>
      <c r="P915" s="62" t="n"/>
      <c r="Q915" s="62" t="n"/>
      <c r="R915" s="60" t="n"/>
      <c r="S915" s="59" t="n"/>
      <c r="T915" s="60" t="n"/>
      <c r="U915" s="59" t="n"/>
      <c r="V915" s="45">
        <f>IF(OR($A915="",$T915="",$T915="No Issue"),"",IF($T915="Resolved",IF($U915="","",$U915-$A915),TODAY()-$A915))</f>
        <v/>
      </c>
      <c r="W915" s="47">
        <f>IF(AND($C915&lt;&gt;"",$C915='Store History'!$C$4,OR('Store History'!$C$5="",$F915='Store History'!$C$5)),1,0)</f>
        <v/>
      </c>
      <c r="X915" s="47">
        <f>IF($W915=1,SUM($W915:$W$1005),"")</f>
        <v/>
      </c>
    </row>
    <row r="916">
      <c r="A916" s="59" t="n"/>
      <c r="B916" s="60" t="n"/>
      <c r="C916" s="60" t="n"/>
      <c r="D916" s="45">
        <f>IF($C916="","",IFERROR(INDEX('Chain Program'!$B$6:$B$120,MATCH($C916,'Chain Program'!$A$6:$A$120,0)),"Unknown ID"))</f>
        <v/>
      </c>
      <c r="E916" s="45">
        <f>IF($C916="","",IFERROR(INDEX('Chain Program'!$D$6:$D$120,MATCH($C916,'Chain Program'!$A$6:$A$120,0)),"Unknown ID"))</f>
        <v/>
      </c>
      <c r="F916" s="60" t="n"/>
      <c r="G916" s="60" t="n"/>
      <c r="H916" s="56">
        <f>IF(OR($C916="",$A916=""),"",IF(COUNTIFS('Promo Calendar'!$A$6:$A$400,$C916,'Promo Calendar'!$D$6:$D$400,IF($G916="","All",$G916),'Promo Calendar'!$I$6:$I$400,"&lt;="&amp;$A916,'Promo Calendar'!$J$6:$J$400,"&gt;="&amp;$A916,'Promo Calendar'!$G$6:$G$400,"&gt;0")&gt;0,_xlfn.MINIFS('Promo Calendar'!$G$6:$G$400,'Promo Calendar'!$A$6:$A$400,$C916,'Promo Calendar'!$D$6:$D$400,IF($G916="","All",$G916),'Promo Calendar'!$I$6:$I$400,"&lt;="&amp;$A916,'Promo Calendar'!$J$6:$J$400,"&gt;="&amp;$A916,'Promo Calendar'!$G$6:$G$400,"&gt;0"),IF(COUNTIFS('Promo Calendar'!$A$6:$A$400,$C916,'Promo Calendar'!$D$6:$D$400,"All",'Promo Calendar'!$I$6:$I$400,"&lt;="&amp;$A916,'Promo Calendar'!$J$6:$J$400,"&gt;="&amp;$A916,'Promo Calendar'!$G$6:$G$400,"&gt;0")&gt;0,_xlfn.MINIFS('Promo Calendar'!$G$6:$G$400,'Promo Calendar'!$A$6:$A$400,$C916,'Promo Calendar'!$D$6:$D$400,"All",'Promo Calendar'!$I$6:$I$400,"&lt;="&amp;$A916,'Promo Calendar'!$J$6:$J$400,"&gt;="&amp;$A916,'Promo Calendar'!$G$6:$G$400,"&gt;0"),IFERROR(IF(INDEX('Chain Program'!$M$6:$M$120,MATCH($C916,'Chain Program'!$A$6:$A$120,0))="","Not set",INDEX('Chain Program'!$M$6:$M$120,MATCH($C916,'Chain Program'!$A$6:$A$120,0))),"Not set"))))</f>
        <v/>
      </c>
      <c r="I916" s="61" t="n"/>
      <c r="J916" s="45">
        <f>IF($I916="","",IF(NOT(ISNUMBER($H916)),"No plan price",IF(ABS($I916-$H916)&lt;0.005,"Match",IF($I916&gt;$H916,"Over plan","Under plan"))))</f>
        <v/>
      </c>
      <c r="K916" s="60" t="n"/>
      <c r="L916" s="60" t="n"/>
      <c r="M916" s="60" t="n"/>
      <c r="N916" s="60" t="n"/>
      <c r="O916" s="60" t="n"/>
      <c r="P916" s="62" t="n"/>
      <c r="Q916" s="62" t="n"/>
      <c r="R916" s="60" t="n"/>
      <c r="S916" s="59" t="n"/>
      <c r="T916" s="60" t="n"/>
      <c r="U916" s="59" t="n"/>
      <c r="V916" s="45">
        <f>IF(OR($A916="",$T916="",$T916="No Issue"),"",IF($T916="Resolved",IF($U916="","",$U916-$A916),TODAY()-$A916))</f>
        <v/>
      </c>
      <c r="W916" s="47">
        <f>IF(AND($C916&lt;&gt;"",$C916='Store History'!$C$4,OR('Store History'!$C$5="",$F916='Store History'!$C$5)),1,0)</f>
        <v/>
      </c>
      <c r="X916" s="47">
        <f>IF($W916=1,SUM($W916:$W$1005),"")</f>
        <v/>
      </c>
    </row>
    <row r="917">
      <c r="A917" s="59" t="n"/>
      <c r="B917" s="60" t="n"/>
      <c r="C917" s="60" t="n"/>
      <c r="D917" s="45">
        <f>IF($C917="","",IFERROR(INDEX('Chain Program'!$B$6:$B$120,MATCH($C917,'Chain Program'!$A$6:$A$120,0)),"Unknown ID"))</f>
        <v/>
      </c>
      <c r="E917" s="45">
        <f>IF($C917="","",IFERROR(INDEX('Chain Program'!$D$6:$D$120,MATCH($C917,'Chain Program'!$A$6:$A$120,0)),"Unknown ID"))</f>
        <v/>
      </c>
      <c r="F917" s="60" t="n"/>
      <c r="G917" s="60" t="n"/>
      <c r="H917" s="56">
        <f>IF(OR($C917="",$A917=""),"",IF(COUNTIFS('Promo Calendar'!$A$6:$A$400,$C917,'Promo Calendar'!$D$6:$D$400,IF($G917="","All",$G917),'Promo Calendar'!$I$6:$I$400,"&lt;="&amp;$A917,'Promo Calendar'!$J$6:$J$400,"&gt;="&amp;$A917,'Promo Calendar'!$G$6:$G$400,"&gt;0")&gt;0,_xlfn.MINIFS('Promo Calendar'!$G$6:$G$400,'Promo Calendar'!$A$6:$A$400,$C917,'Promo Calendar'!$D$6:$D$400,IF($G917="","All",$G917),'Promo Calendar'!$I$6:$I$400,"&lt;="&amp;$A917,'Promo Calendar'!$J$6:$J$400,"&gt;="&amp;$A917,'Promo Calendar'!$G$6:$G$400,"&gt;0"),IF(COUNTIFS('Promo Calendar'!$A$6:$A$400,$C917,'Promo Calendar'!$D$6:$D$400,"All",'Promo Calendar'!$I$6:$I$400,"&lt;="&amp;$A917,'Promo Calendar'!$J$6:$J$400,"&gt;="&amp;$A917,'Promo Calendar'!$G$6:$G$400,"&gt;0")&gt;0,_xlfn.MINIFS('Promo Calendar'!$G$6:$G$400,'Promo Calendar'!$A$6:$A$400,$C917,'Promo Calendar'!$D$6:$D$400,"All",'Promo Calendar'!$I$6:$I$400,"&lt;="&amp;$A917,'Promo Calendar'!$J$6:$J$400,"&gt;="&amp;$A917,'Promo Calendar'!$G$6:$G$400,"&gt;0"),IFERROR(IF(INDEX('Chain Program'!$M$6:$M$120,MATCH($C917,'Chain Program'!$A$6:$A$120,0))="","Not set",INDEX('Chain Program'!$M$6:$M$120,MATCH($C917,'Chain Program'!$A$6:$A$120,0))),"Not set"))))</f>
        <v/>
      </c>
      <c r="I917" s="61" t="n"/>
      <c r="J917" s="45">
        <f>IF($I917="","",IF(NOT(ISNUMBER($H917)),"No plan price",IF(ABS($I917-$H917)&lt;0.005,"Match",IF($I917&gt;$H917,"Over plan","Under plan"))))</f>
        <v/>
      </c>
      <c r="K917" s="60" t="n"/>
      <c r="L917" s="60" t="n"/>
      <c r="M917" s="60" t="n"/>
      <c r="N917" s="60" t="n"/>
      <c r="O917" s="60" t="n"/>
      <c r="P917" s="62" t="n"/>
      <c r="Q917" s="62" t="n"/>
      <c r="R917" s="60" t="n"/>
      <c r="S917" s="59" t="n"/>
      <c r="T917" s="60" t="n"/>
      <c r="U917" s="59" t="n"/>
      <c r="V917" s="45">
        <f>IF(OR($A917="",$T917="",$T917="No Issue"),"",IF($T917="Resolved",IF($U917="","",$U917-$A917),TODAY()-$A917))</f>
        <v/>
      </c>
      <c r="W917" s="47">
        <f>IF(AND($C917&lt;&gt;"",$C917='Store History'!$C$4,OR('Store History'!$C$5="",$F917='Store History'!$C$5)),1,0)</f>
        <v/>
      </c>
      <c r="X917" s="47">
        <f>IF($W917=1,SUM($W917:$W$1005),"")</f>
        <v/>
      </c>
    </row>
    <row r="918">
      <c r="A918" s="59" t="n"/>
      <c r="B918" s="60" t="n"/>
      <c r="C918" s="60" t="n"/>
      <c r="D918" s="45">
        <f>IF($C918="","",IFERROR(INDEX('Chain Program'!$B$6:$B$120,MATCH($C918,'Chain Program'!$A$6:$A$120,0)),"Unknown ID"))</f>
        <v/>
      </c>
      <c r="E918" s="45">
        <f>IF($C918="","",IFERROR(INDEX('Chain Program'!$D$6:$D$120,MATCH($C918,'Chain Program'!$A$6:$A$120,0)),"Unknown ID"))</f>
        <v/>
      </c>
      <c r="F918" s="60" t="n"/>
      <c r="G918" s="60" t="n"/>
      <c r="H918" s="56">
        <f>IF(OR($C918="",$A918=""),"",IF(COUNTIFS('Promo Calendar'!$A$6:$A$400,$C918,'Promo Calendar'!$D$6:$D$400,IF($G918="","All",$G918),'Promo Calendar'!$I$6:$I$400,"&lt;="&amp;$A918,'Promo Calendar'!$J$6:$J$400,"&gt;="&amp;$A918,'Promo Calendar'!$G$6:$G$400,"&gt;0")&gt;0,_xlfn.MINIFS('Promo Calendar'!$G$6:$G$400,'Promo Calendar'!$A$6:$A$400,$C918,'Promo Calendar'!$D$6:$D$400,IF($G918="","All",$G918),'Promo Calendar'!$I$6:$I$400,"&lt;="&amp;$A918,'Promo Calendar'!$J$6:$J$400,"&gt;="&amp;$A918,'Promo Calendar'!$G$6:$G$400,"&gt;0"),IF(COUNTIFS('Promo Calendar'!$A$6:$A$400,$C918,'Promo Calendar'!$D$6:$D$400,"All",'Promo Calendar'!$I$6:$I$400,"&lt;="&amp;$A918,'Promo Calendar'!$J$6:$J$400,"&gt;="&amp;$A918,'Promo Calendar'!$G$6:$G$400,"&gt;0")&gt;0,_xlfn.MINIFS('Promo Calendar'!$G$6:$G$400,'Promo Calendar'!$A$6:$A$400,$C918,'Promo Calendar'!$D$6:$D$400,"All",'Promo Calendar'!$I$6:$I$400,"&lt;="&amp;$A918,'Promo Calendar'!$J$6:$J$400,"&gt;="&amp;$A918,'Promo Calendar'!$G$6:$G$400,"&gt;0"),IFERROR(IF(INDEX('Chain Program'!$M$6:$M$120,MATCH($C918,'Chain Program'!$A$6:$A$120,0))="","Not set",INDEX('Chain Program'!$M$6:$M$120,MATCH($C918,'Chain Program'!$A$6:$A$120,0))),"Not set"))))</f>
        <v/>
      </c>
      <c r="I918" s="61" t="n"/>
      <c r="J918" s="45">
        <f>IF($I918="","",IF(NOT(ISNUMBER($H918)),"No plan price",IF(ABS($I918-$H918)&lt;0.005,"Match",IF($I918&gt;$H918,"Over plan","Under plan"))))</f>
        <v/>
      </c>
      <c r="K918" s="60" t="n"/>
      <c r="L918" s="60" t="n"/>
      <c r="M918" s="60" t="n"/>
      <c r="N918" s="60" t="n"/>
      <c r="O918" s="60" t="n"/>
      <c r="P918" s="62" t="n"/>
      <c r="Q918" s="62" t="n"/>
      <c r="R918" s="60" t="n"/>
      <c r="S918" s="59" t="n"/>
      <c r="T918" s="60" t="n"/>
      <c r="U918" s="59" t="n"/>
      <c r="V918" s="45">
        <f>IF(OR($A918="",$T918="",$T918="No Issue"),"",IF($T918="Resolved",IF($U918="","",$U918-$A918),TODAY()-$A918))</f>
        <v/>
      </c>
      <c r="W918" s="47">
        <f>IF(AND($C918&lt;&gt;"",$C918='Store History'!$C$4,OR('Store History'!$C$5="",$F918='Store History'!$C$5)),1,0)</f>
        <v/>
      </c>
      <c r="X918" s="47">
        <f>IF($W918=1,SUM($W918:$W$1005),"")</f>
        <v/>
      </c>
    </row>
    <row r="919">
      <c r="A919" s="59" t="n"/>
      <c r="B919" s="60" t="n"/>
      <c r="C919" s="60" t="n"/>
      <c r="D919" s="45">
        <f>IF($C919="","",IFERROR(INDEX('Chain Program'!$B$6:$B$120,MATCH($C919,'Chain Program'!$A$6:$A$120,0)),"Unknown ID"))</f>
        <v/>
      </c>
      <c r="E919" s="45">
        <f>IF($C919="","",IFERROR(INDEX('Chain Program'!$D$6:$D$120,MATCH($C919,'Chain Program'!$A$6:$A$120,0)),"Unknown ID"))</f>
        <v/>
      </c>
      <c r="F919" s="60" t="n"/>
      <c r="G919" s="60" t="n"/>
      <c r="H919" s="56">
        <f>IF(OR($C919="",$A919=""),"",IF(COUNTIFS('Promo Calendar'!$A$6:$A$400,$C919,'Promo Calendar'!$D$6:$D$400,IF($G919="","All",$G919),'Promo Calendar'!$I$6:$I$400,"&lt;="&amp;$A919,'Promo Calendar'!$J$6:$J$400,"&gt;="&amp;$A919,'Promo Calendar'!$G$6:$G$400,"&gt;0")&gt;0,_xlfn.MINIFS('Promo Calendar'!$G$6:$G$400,'Promo Calendar'!$A$6:$A$400,$C919,'Promo Calendar'!$D$6:$D$400,IF($G919="","All",$G919),'Promo Calendar'!$I$6:$I$400,"&lt;="&amp;$A919,'Promo Calendar'!$J$6:$J$400,"&gt;="&amp;$A919,'Promo Calendar'!$G$6:$G$400,"&gt;0"),IF(COUNTIFS('Promo Calendar'!$A$6:$A$400,$C919,'Promo Calendar'!$D$6:$D$400,"All",'Promo Calendar'!$I$6:$I$400,"&lt;="&amp;$A919,'Promo Calendar'!$J$6:$J$400,"&gt;="&amp;$A919,'Promo Calendar'!$G$6:$G$400,"&gt;0")&gt;0,_xlfn.MINIFS('Promo Calendar'!$G$6:$G$400,'Promo Calendar'!$A$6:$A$400,$C919,'Promo Calendar'!$D$6:$D$400,"All",'Promo Calendar'!$I$6:$I$400,"&lt;="&amp;$A919,'Promo Calendar'!$J$6:$J$400,"&gt;="&amp;$A919,'Promo Calendar'!$G$6:$G$400,"&gt;0"),IFERROR(IF(INDEX('Chain Program'!$M$6:$M$120,MATCH($C919,'Chain Program'!$A$6:$A$120,0))="","Not set",INDEX('Chain Program'!$M$6:$M$120,MATCH($C919,'Chain Program'!$A$6:$A$120,0))),"Not set"))))</f>
        <v/>
      </c>
      <c r="I919" s="61" t="n"/>
      <c r="J919" s="45">
        <f>IF($I919="","",IF(NOT(ISNUMBER($H919)),"No plan price",IF(ABS($I919-$H919)&lt;0.005,"Match",IF($I919&gt;$H919,"Over plan","Under plan"))))</f>
        <v/>
      </c>
      <c r="K919" s="60" t="n"/>
      <c r="L919" s="60" t="n"/>
      <c r="M919" s="60" t="n"/>
      <c r="N919" s="60" t="n"/>
      <c r="O919" s="60" t="n"/>
      <c r="P919" s="62" t="n"/>
      <c r="Q919" s="62" t="n"/>
      <c r="R919" s="60" t="n"/>
      <c r="S919" s="59" t="n"/>
      <c r="T919" s="60" t="n"/>
      <c r="U919" s="59" t="n"/>
      <c r="V919" s="45">
        <f>IF(OR($A919="",$T919="",$T919="No Issue"),"",IF($T919="Resolved",IF($U919="","",$U919-$A919),TODAY()-$A919))</f>
        <v/>
      </c>
      <c r="W919" s="47">
        <f>IF(AND($C919&lt;&gt;"",$C919='Store History'!$C$4,OR('Store History'!$C$5="",$F919='Store History'!$C$5)),1,0)</f>
        <v/>
      </c>
      <c r="X919" s="47">
        <f>IF($W919=1,SUM($W919:$W$1005),"")</f>
        <v/>
      </c>
    </row>
    <row r="920">
      <c r="A920" s="59" t="n"/>
      <c r="B920" s="60" t="n"/>
      <c r="C920" s="60" t="n"/>
      <c r="D920" s="45">
        <f>IF($C920="","",IFERROR(INDEX('Chain Program'!$B$6:$B$120,MATCH($C920,'Chain Program'!$A$6:$A$120,0)),"Unknown ID"))</f>
        <v/>
      </c>
      <c r="E920" s="45">
        <f>IF($C920="","",IFERROR(INDEX('Chain Program'!$D$6:$D$120,MATCH($C920,'Chain Program'!$A$6:$A$120,0)),"Unknown ID"))</f>
        <v/>
      </c>
      <c r="F920" s="60" t="n"/>
      <c r="G920" s="60" t="n"/>
      <c r="H920" s="56">
        <f>IF(OR($C920="",$A920=""),"",IF(COUNTIFS('Promo Calendar'!$A$6:$A$400,$C920,'Promo Calendar'!$D$6:$D$400,IF($G920="","All",$G920),'Promo Calendar'!$I$6:$I$400,"&lt;="&amp;$A920,'Promo Calendar'!$J$6:$J$400,"&gt;="&amp;$A920,'Promo Calendar'!$G$6:$G$400,"&gt;0")&gt;0,_xlfn.MINIFS('Promo Calendar'!$G$6:$G$400,'Promo Calendar'!$A$6:$A$400,$C920,'Promo Calendar'!$D$6:$D$400,IF($G920="","All",$G920),'Promo Calendar'!$I$6:$I$400,"&lt;="&amp;$A920,'Promo Calendar'!$J$6:$J$400,"&gt;="&amp;$A920,'Promo Calendar'!$G$6:$G$400,"&gt;0"),IF(COUNTIFS('Promo Calendar'!$A$6:$A$400,$C920,'Promo Calendar'!$D$6:$D$400,"All",'Promo Calendar'!$I$6:$I$400,"&lt;="&amp;$A920,'Promo Calendar'!$J$6:$J$400,"&gt;="&amp;$A920,'Promo Calendar'!$G$6:$G$400,"&gt;0")&gt;0,_xlfn.MINIFS('Promo Calendar'!$G$6:$G$400,'Promo Calendar'!$A$6:$A$400,$C920,'Promo Calendar'!$D$6:$D$400,"All",'Promo Calendar'!$I$6:$I$400,"&lt;="&amp;$A920,'Promo Calendar'!$J$6:$J$400,"&gt;="&amp;$A920,'Promo Calendar'!$G$6:$G$400,"&gt;0"),IFERROR(IF(INDEX('Chain Program'!$M$6:$M$120,MATCH($C920,'Chain Program'!$A$6:$A$120,0))="","Not set",INDEX('Chain Program'!$M$6:$M$120,MATCH($C920,'Chain Program'!$A$6:$A$120,0))),"Not set"))))</f>
        <v/>
      </c>
      <c r="I920" s="61" t="n"/>
      <c r="J920" s="45">
        <f>IF($I920="","",IF(NOT(ISNUMBER($H920)),"No plan price",IF(ABS($I920-$H920)&lt;0.005,"Match",IF($I920&gt;$H920,"Over plan","Under plan"))))</f>
        <v/>
      </c>
      <c r="K920" s="60" t="n"/>
      <c r="L920" s="60" t="n"/>
      <c r="M920" s="60" t="n"/>
      <c r="N920" s="60" t="n"/>
      <c r="O920" s="60" t="n"/>
      <c r="P920" s="62" t="n"/>
      <c r="Q920" s="62" t="n"/>
      <c r="R920" s="60" t="n"/>
      <c r="S920" s="59" t="n"/>
      <c r="T920" s="60" t="n"/>
      <c r="U920" s="59" t="n"/>
      <c r="V920" s="45">
        <f>IF(OR($A920="",$T920="",$T920="No Issue"),"",IF($T920="Resolved",IF($U920="","",$U920-$A920),TODAY()-$A920))</f>
        <v/>
      </c>
      <c r="W920" s="47">
        <f>IF(AND($C920&lt;&gt;"",$C920='Store History'!$C$4,OR('Store History'!$C$5="",$F920='Store History'!$C$5)),1,0)</f>
        <v/>
      </c>
      <c r="X920" s="47">
        <f>IF($W920=1,SUM($W920:$W$1005),"")</f>
        <v/>
      </c>
    </row>
    <row r="921">
      <c r="A921" s="59" t="n"/>
      <c r="B921" s="60" t="n"/>
      <c r="C921" s="60" t="n"/>
      <c r="D921" s="45">
        <f>IF($C921="","",IFERROR(INDEX('Chain Program'!$B$6:$B$120,MATCH($C921,'Chain Program'!$A$6:$A$120,0)),"Unknown ID"))</f>
        <v/>
      </c>
      <c r="E921" s="45">
        <f>IF($C921="","",IFERROR(INDEX('Chain Program'!$D$6:$D$120,MATCH($C921,'Chain Program'!$A$6:$A$120,0)),"Unknown ID"))</f>
        <v/>
      </c>
      <c r="F921" s="60" t="n"/>
      <c r="G921" s="60" t="n"/>
      <c r="H921" s="56">
        <f>IF(OR($C921="",$A921=""),"",IF(COUNTIFS('Promo Calendar'!$A$6:$A$400,$C921,'Promo Calendar'!$D$6:$D$400,IF($G921="","All",$G921),'Promo Calendar'!$I$6:$I$400,"&lt;="&amp;$A921,'Promo Calendar'!$J$6:$J$400,"&gt;="&amp;$A921,'Promo Calendar'!$G$6:$G$400,"&gt;0")&gt;0,_xlfn.MINIFS('Promo Calendar'!$G$6:$G$400,'Promo Calendar'!$A$6:$A$400,$C921,'Promo Calendar'!$D$6:$D$400,IF($G921="","All",$G921),'Promo Calendar'!$I$6:$I$400,"&lt;="&amp;$A921,'Promo Calendar'!$J$6:$J$400,"&gt;="&amp;$A921,'Promo Calendar'!$G$6:$G$400,"&gt;0"),IF(COUNTIFS('Promo Calendar'!$A$6:$A$400,$C921,'Promo Calendar'!$D$6:$D$400,"All",'Promo Calendar'!$I$6:$I$400,"&lt;="&amp;$A921,'Promo Calendar'!$J$6:$J$400,"&gt;="&amp;$A921,'Promo Calendar'!$G$6:$G$400,"&gt;0")&gt;0,_xlfn.MINIFS('Promo Calendar'!$G$6:$G$400,'Promo Calendar'!$A$6:$A$400,$C921,'Promo Calendar'!$D$6:$D$400,"All",'Promo Calendar'!$I$6:$I$400,"&lt;="&amp;$A921,'Promo Calendar'!$J$6:$J$400,"&gt;="&amp;$A921,'Promo Calendar'!$G$6:$G$400,"&gt;0"),IFERROR(IF(INDEX('Chain Program'!$M$6:$M$120,MATCH($C921,'Chain Program'!$A$6:$A$120,0))="","Not set",INDEX('Chain Program'!$M$6:$M$120,MATCH($C921,'Chain Program'!$A$6:$A$120,0))),"Not set"))))</f>
        <v/>
      </c>
      <c r="I921" s="61" t="n"/>
      <c r="J921" s="45">
        <f>IF($I921="","",IF(NOT(ISNUMBER($H921)),"No plan price",IF(ABS($I921-$H921)&lt;0.005,"Match",IF($I921&gt;$H921,"Over plan","Under plan"))))</f>
        <v/>
      </c>
      <c r="K921" s="60" t="n"/>
      <c r="L921" s="60" t="n"/>
      <c r="M921" s="60" t="n"/>
      <c r="N921" s="60" t="n"/>
      <c r="O921" s="60" t="n"/>
      <c r="P921" s="62" t="n"/>
      <c r="Q921" s="62" t="n"/>
      <c r="R921" s="60" t="n"/>
      <c r="S921" s="59" t="n"/>
      <c r="T921" s="60" t="n"/>
      <c r="U921" s="59" t="n"/>
      <c r="V921" s="45">
        <f>IF(OR($A921="",$T921="",$T921="No Issue"),"",IF($T921="Resolved",IF($U921="","",$U921-$A921),TODAY()-$A921))</f>
        <v/>
      </c>
      <c r="W921" s="47">
        <f>IF(AND($C921&lt;&gt;"",$C921='Store History'!$C$4,OR('Store History'!$C$5="",$F921='Store History'!$C$5)),1,0)</f>
        <v/>
      </c>
      <c r="X921" s="47">
        <f>IF($W921=1,SUM($W921:$W$1005),"")</f>
        <v/>
      </c>
    </row>
    <row r="922">
      <c r="A922" s="59" t="n"/>
      <c r="B922" s="60" t="n"/>
      <c r="C922" s="60" t="n"/>
      <c r="D922" s="45">
        <f>IF($C922="","",IFERROR(INDEX('Chain Program'!$B$6:$B$120,MATCH($C922,'Chain Program'!$A$6:$A$120,0)),"Unknown ID"))</f>
        <v/>
      </c>
      <c r="E922" s="45">
        <f>IF($C922="","",IFERROR(INDEX('Chain Program'!$D$6:$D$120,MATCH($C922,'Chain Program'!$A$6:$A$120,0)),"Unknown ID"))</f>
        <v/>
      </c>
      <c r="F922" s="60" t="n"/>
      <c r="G922" s="60" t="n"/>
      <c r="H922" s="56">
        <f>IF(OR($C922="",$A922=""),"",IF(COUNTIFS('Promo Calendar'!$A$6:$A$400,$C922,'Promo Calendar'!$D$6:$D$400,IF($G922="","All",$G922),'Promo Calendar'!$I$6:$I$400,"&lt;="&amp;$A922,'Promo Calendar'!$J$6:$J$400,"&gt;="&amp;$A922,'Promo Calendar'!$G$6:$G$400,"&gt;0")&gt;0,_xlfn.MINIFS('Promo Calendar'!$G$6:$G$400,'Promo Calendar'!$A$6:$A$400,$C922,'Promo Calendar'!$D$6:$D$400,IF($G922="","All",$G922),'Promo Calendar'!$I$6:$I$400,"&lt;="&amp;$A922,'Promo Calendar'!$J$6:$J$400,"&gt;="&amp;$A922,'Promo Calendar'!$G$6:$G$400,"&gt;0"),IF(COUNTIFS('Promo Calendar'!$A$6:$A$400,$C922,'Promo Calendar'!$D$6:$D$400,"All",'Promo Calendar'!$I$6:$I$400,"&lt;="&amp;$A922,'Promo Calendar'!$J$6:$J$400,"&gt;="&amp;$A922,'Promo Calendar'!$G$6:$G$400,"&gt;0")&gt;0,_xlfn.MINIFS('Promo Calendar'!$G$6:$G$400,'Promo Calendar'!$A$6:$A$400,$C922,'Promo Calendar'!$D$6:$D$400,"All",'Promo Calendar'!$I$6:$I$400,"&lt;="&amp;$A922,'Promo Calendar'!$J$6:$J$400,"&gt;="&amp;$A922,'Promo Calendar'!$G$6:$G$400,"&gt;0"),IFERROR(IF(INDEX('Chain Program'!$M$6:$M$120,MATCH($C922,'Chain Program'!$A$6:$A$120,0))="","Not set",INDEX('Chain Program'!$M$6:$M$120,MATCH($C922,'Chain Program'!$A$6:$A$120,0))),"Not set"))))</f>
        <v/>
      </c>
      <c r="I922" s="61" t="n"/>
      <c r="J922" s="45">
        <f>IF($I922="","",IF(NOT(ISNUMBER($H922)),"No plan price",IF(ABS($I922-$H922)&lt;0.005,"Match",IF($I922&gt;$H922,"Over plan","Under plan"))))</f>
        <v/>
      </c>
      <c r="K922" s="60" t="n"/>
      <c r="L922" s="60" t="n"/>
      <c r="M922" s="60" t="n"/>
      <c r="N922" s="60" t="n"/>
      <c r="O922" s="60" t="n"/>
      <c r="P922" s="62" t="n"/>
      <c r="Q922" s="62" t="n"/>
      <c r="R922" s="60" t="n"/>
      <c r="S922" s="59" t="n"/>
      <c r="T922" s="60" t="n"/>
      <c r="U922" s="59" t="n"/>
      <c r="V922" s="45">
        <f>IF(OR($A922="",$T922="",$T922="No Issue"),"",IF($T922="Resolved",IF($U922="","",$U922-$A922),TODAY()-$A922))</f>
        <v/>
      </c>
      <c r="W922" s="47">
        <f>IF(AND($C922&lt;&gt;"",$C922='Store History'!$C$4,OR('Store History'!$C$5="",$F922='Store History'!$C$5)),1,0)</f>
        <v/>
      </c>
      <c r="X922" s="47">
        <f>IF($W922=1,SUM($W922:$W$1005),"")</f>
        <v/>
      </c>
    </row>
    <row r="923">
      <c r="A923" s="59" t="n"/>
      <c r="B923" s="60" t="n"/>
      <c r="C923" s="60" t="n"/>
      <c r="D923" s="45">
        <f>IF($C923="","",IFERROR(INDEX('Chain Program'!$B$6:$B$120,MATCH($C923,'Chain Program'!$A$6:$A$120,0)),"Unknown ID"))</f>
        <v/>
      </c>
      <c r="E923" s="45">
        <f>IF($C923="","",IFERROR(INDEX('Chain Program'!$D$6:$D$120,MATCH($C923,'Chain Program'!$A$6:$A$120,0)),"Unknown ID"))</f>
        <v/>
      </c>
      <c r="F923" s="60" t="n"/>
      <c r="G923" s="60" t="n"/>
      <c r="H923" s="56">
        <f>IF(OR($C923="",$A923=""),"",IF(COUNTIFS('Promo Calendar'!$A$6:$A$400,$C923,'Promo Calendar'!$D$6:$D$400,IF($G923="","All",$G923),'Promo Calendar'!$I$6:$I$400,"&lt;="&amp;$A923,'Promo Calendar'!$J$6:$J$400,"&gt;="&amp;$A923,'Promo Calendar'!$G$6:$G$400,"&gt;0")&gt;0,_xlfn.MINIFS('Promo Calendar'!$G$6:$G$400,'Promo Calendar'!$A$6:$A$400,$C923,'Promo Calendar'!$D$6:$D$400,IF($G923="","All",$G923),'Promo Calendar'!$I$6:$I$400,"&lt;="&amp;$A923,'Promo Calendar'!$J$6:$J$400,"&gt;="&amp;$A923,'Promo Calendar'!$G$6:$G$400,"&gt;0"),IF(COUNTIFS('Promo Calendar'!$A$6:$A$400,$C923,'Promo Calendar'!$D$6:$D$400,"All",'Promo Calendar'!$I$6:$I$400,"&lt;="&amp;$A923,'Promo Calendar'!$J$6:$J$400,"&gt;="&amp;$A923,'Promo Calendar'!$G$6:$G$400,"&gt;0")&gt;0,_xlfn.MINIFS('Promo Calendar'!$G$6:$G$400,'Promo Calendar'!$A$6:$A$400,$C923,'Promo Calendar'!$D$6:$D$400,"All",'Promo Calendar'!$I$6:$I$400,"&lt;="&amp;$A923,'Promo Calendar'!$J$6:$J$400,"&gt;="&amp;$A923,'Promo Calendar'!$G$6:$G$400,"&gt;0"),IFERROR(IF(INDEX('Chain Program'!$M$6:$M$120,MATCH($C923,'Chain Program'!$A$6:$A$120,0))="","Not set",INDEX('Chain Program'!$M$6:$M$120,MATCH($C923,'Chain Program'!$A$6:$A$120,0))),"Not set"))))</f>
        <v/>
      </c>
      <c r="I923" s="61" t="n"/>
      <c r="J923" s="45">
        <f>IF($I923="","",IF(NOT(ISNUMBER($H923)),"No plan price",IF(ABS($I923-$H923)&lt;0.005,"Match",IF($I923&gt;$H923,"Over plan","Under plan"))))</f>
        <v/>
      </c>
      <c r="K923" s="60" t="n"/>
      <c r="L923" s="60" t="n"/>
      <c r="M923" s="60" t="n"/>
      <c r="N923" s="60" t="n"/>
      <c r="O923" s="60" t="n"/>
      <c r="P923" s="62" t="n"/>
      <c r="Q923" s="62" t="n"/>
      <c r="R923" s="60" t="n"/>
      <c r="S923" s="59" t="n"/>
      <c r="T923" s="60" t="n"/>
      <c r="U923" s="59" t="n"/>
      <c r="V923" s="45">
        <f>IF(OR($A923="",$T923="",$T923="No Issue"),"",IF($T923="Resolved",IF($U923="","",$U923-$A923),TODAY()-$A923))</f>
        <v/>
      </c>
      <c r="W923" s="47">
        <f>IF(AND($C923&lt;&gt;"",$C923='Store History'!$C$4,OR('Store History'!$C$5="",$F923='Store History'!$C$5)),1,0)</f>
        <v/>
      </c>
      <c r="X923" s="47">
        <f>IF($W923=1,SUM($W923:$W$1005),"")</f>
        <v/>
      </c>
    </row>
    <row r="924">
      <c r="A924" s="59" t="n"/>
      <c r="B924" s="60" t="n"/>
      <c r="C924" s="60" t="n"/>
      <c r="D924" s="45">
        <f>IF($C924="","",IFERROR(INDEX('Chain Program'!$B$6:$B$120,MATCH($C924,'Chain Program'!$A$6:$A$120,0)),"Unknown ID"))</f>
        <v/>
      </c>
      <c r="E924" s="45">
        <f>IF($C924="","",IFERROR(INDEX('Chain Program'!$D$6:$D$120,MATCH($C924,'Chain Program'!$A$6:$A$120,0)),"Unknown ID"))</f>
        <v/>
      </c>
      <c r="F924" s="60" t="n"/>
      <c r="G924" s="60" t="n"/>
      <c r="H924" s="56">
        <f>IF(OR($C924="",$A924=""),"",IF(COUNTIFS('Promo Calendar'!$A$6:$A$400,$C924,'Promo Calendar'!$D$6:$D$400,IF($G924="","All",$G924),'Promo Calendar'!$I$6:$I$400,"&lt;="&amp;$A924,'Promo Calendar'!$J$6:$J$400,"&gt;="&amp;$A924,'Promo Calendar'!$G$6:$G$400,"&gt;0")&gt;0,_xlfn.MINIFS('Promo Calendar'!$G$6:$G$400,'Promo Calendar'!$A$6:$A$400,$C924,'Promo Calendar'!$D$6:$D$400,IF($G924="","All",$G924),'Promo Calendar'!$I$6:$I$400,"&lt;="&amp;$A924,'Promo Calendar'!$J$6:$J$400,"&gt;="&amp;$A924,'Promo Calendar'!$G$6:$G$400,"&gt;0"),IF(COUNTIFS('Promo Calendar'!$A$6:$A$400,$C924,'Promo Calendar'!$D$6:$D$400,"All",'Promo Calendar'!$I$6:$I$400,"&lt;="&amp;$A924,'Promo Calendar'!$J$6:$J$400,"&gt;="&amp;$A924,'Promo Calendar'!$G$6:$G$400,"&gt;0")&gt;0,_xlfn.MINIFS('Promo Calendar'!$G$6:$G$400,'Promo Calendar'!$A$6:$A$400,$C924,'Promo Calendar'!$D$6:$D$400,"All",'Promo Calendar'!$I$6:$I$400,"&lt;="&amp;$A924,'Promo Calendar'!$J$6:$J$400,"&gt;="&amp;$A924,'Promo Calendar'!$G$6:$G$400,"&gt;0"),IFERROR(IF(INDEX('Chain Program'!$M$6:$M$120,MATCH($C924,'Chain Program'!$A$6:$A$120,0))="","Not set",INDEX('Chain Program'!$M$6:$M$120,MATCH($C924,'Chain Program'!$A$6:$A$120,0))),"Not set"))))</f>
        <v/>
      </c>
      <c r="I924" s="61" t="n"/>
      <c r="J924" s="45">
        <f>IF($I924="","",IF(NOT(ISNUMBER($H924)),"No plan price",IF(ABS($I924-$H924)&lt;0.005,"Match",IF($I924&gt;$H924,"Over plan","Under plan"))))</f>
        <v/>
      </c>
      <c r="K924" s="60" t="n"/>
      <c r="L924" s="60" t="n"/>
      <c r="M924" s="60" t="n"/>
      <c r="N924" s="60" t="n"/>
      <c r="O924" s="60" t="n"/>
      <c r="P924" s="62" t="n"/>
      <c r="Q924" s="62" t="n"/>
      <c r="R924" s="60" t="n"/>
      <c r="S924" s="59" t="n"/>
      <c r="T924" s="60" t="n"/>
      <c r="U924" s="59" t="n"/>
      <c r="V924" s="45">
        <f>IF(OR($A924="",$T924="",$T924="No Issue"),"",IF($T924="Resolved",IF($U924="","",$U924-$A924),TODAY()-$A924))</f>
        <v/>
      </c>
      <c r="W924" s="47">
        <f>IF(AND($C924&lt;&gt;"",$C924='Store History'!$C$4,OR('Store History'!$C$5="",$F924='Store History'!$C$5)),1,0)</f>
        <v/>
      </c>
      <c r="X924" s="47">
        <f>IF($W924=1,SUM($W924:$W$1005),"")</f>
        <v/>
      </c>
    </row>
    <row r="925">
      <c r="A925" s="59" t="n"/>
      <c r="B925" s="60" t="n"/>
      <c r="C925" s="60" t="n"/>
      <c r="D925" s="45">
        <f>IF($C925="","",IFERROR(INDEX('Chain Program'!$B$6:$B$120,MATCH($C925,'Chain Program'!$A$6:$A$120,0)),"Unknown ID"))</f>
        <v/>
      </c>
      <c r="E925" s="45">
        <f>IF($C925="","",IFERROR(INDEX('Chain Program'!$D$6:$D$120,MATCH($C925,'Chain Program'!$A$6:$A$120,0)),"Unknown ID"))</f>
        <v/>
      </c>
      <c r="F925" s="60" t="n"/>
      <c r="G925" s="60" t="n"/>
      <c r="H925" s="56">
        <f>IF(OR($C925="",$A925=""),"",IF(COUNTIFS('Promo Calendar'!$A$6:$A$400,$C925,'Promo Calendar'!$D$6:$D$400,IF($G925="","All",$G925),'Promo Calendar'!$I$6:$I$400,"&lt;="&amp;$A925,'Promo Calendar'!$J$6:$J$400,"&gt;="&amp;$A925,'Promo Calendar'!$G$6:$G$400,"&gt;0")&gt;0,_xlfn.MINIFS('Promo Calendar'!$G$6:$G$400,'Promo Calendar'!$A$6:$A$400,$C925,'Promo Calendar'!$D$6:$D$400,IF($G925="","All",$G925),'Promo Calendar'!$I$6:$I$400,"&lt;="&amp;$A925,'Promo Calendar'!$J$6:$J$400,"&gt;="&amp;$A925,'Promo Calendar'!$G$6:$G$400,"&gt;0"),IF(COUNTIFS('Promo Calendar'!$A$6:$A$400,$C925,'Promo Calendar'!$D$6:$D$400,"All",'Promo Calendar'!$I$6:$I$400,"&lt;="&amp;$A925,'Promo Calendar'!$J$6:$J$400,"&gt;="&amp;$A925,'Promo Calendar'!$G$6:$G$400,"&gt;0")&gt;0,_xlfn.MINIFS('Promo Calendar'!$G$6:$G$400,'Promo Calendar'!$A$6:$A$400,$C925,'Promo Calendar'!$D$6:$D$400,"All",'Promo Calendar'!$I$6:$I$400,"&lt;="&amp;$A925,'Promo Calendar'!$J$6:$J$400,"&gt;="&amp;$A925,'Promo Calendar'!$G$6:$G$400,"&gt;0"),IFERROR(IF(INDEX('Chain Program'!$M$6:$M$120,MATCH($C925,'Chain Program'!$A$6:$A$120,0))="","Not set",INDEX('Chain Program'!$M$6:$M$120,MATCH($C925,'Chain Program'!$A$6:$A$120,0))),"Not set"))))</f>
        <v/>
      </c>
      <c r="I925" s="61" t="n"/>
      <c r="J925" s="45">
        <f>IF($I925="","",IF(NOT(ISNUMBER($H925)),"No plan price",IF(ABS($I925-$H925)&lt;0.005,"Match",IF($I925&gt;$H925,"Over plan","Under plan"))))</f>
        <v/>
      </c>
      <c r="K925" s="60" t="n"/>
      <c r="L925" s="60" t="n"/>
      <c r="M925" s="60" t="n"/>
      <c r="N925" s="60" t="n"/>
      <c r="O925" s="60" t="n"/>
      <c r="P925" s="62" t="n"/>
      <c r="Q925" s="62" t="n"/>
      <c r="R925" s="60" t="n"/>
      <c r="S925" s="59" t="n"/>
      <c r="T925" s="60" t="n"/>
      <c r="U925" s="59" t="n"/>
      <c r="V925" s="45">
        <f>IF(OR($A925="",$T925="",$T925="No Issue"),"",IF($T925="Resolved",IF($U925="","",$U925-$A925),TODAY()-$A925))</f>
        <v/>
      </c>
      <c r="W925" s="47">
        <f>IF(AND($C925&lt;&gt;"",$C925='Store History'!$C$4,OR('Store History'!$C$5="",$F925='Store History'!$C$5)),1,0)</f>
        <v/>
      </c>
      <c r="X925" s="47">
        <f>IF($W925=1,SUM($W925:$W$1005),"")</f>
        <v/>
      </c>
    </row>
    <row r="926">
      <c r="A926" s="59" t="n"/>
      <c r="B926" s="60" t="n"/>
      <c r="C926" s="60" t="n"/>
      <c r="D926" s="45">
        <f>IF($C926="","",IFERROR(INDEX('Chain Program'!$B$6:$B$120,MATCH($C926,'Chain Program'!$A$6:$A$120,0)),"Unknown ID"))</f>
        <v/>
      </c>
      <c r="E926" s="45">
        <f>IF($C926="","",IFERROR(INDEX('Chain Program'!$D$6:$D$120,MATCH($C926,'Chain Program'!$A$6:$A$120,0)),"Unknown ID"))</f>
        <v/>
      </c>
      <c r="F926" s="60" t="n"/>
      <c r="G926" s="60" t="n"/>
      <c r="H926" s="56">
        <f>IF(OR($C926="",$A926=""),"",IF(COUNTIFS('Promo Calendar'!$A$6:$A$400,$C926,'Promo Calendar'!$D$6:$D$400,IF($G926="","All",$G926),'Promo Calendar'!$I$6:$I$400,"&lt;="&amp;$A926,'Promo Calendar'!$J$6:$J$400,"&gt;="&amp;$A926,'Promo Calendar'!$G$6:$G$400,"&gt;0")&gt;0,_xlfn.MINIFS('Promo Calendar'!$G$6:$G$400,'Promo Calendar'!$A$6:$A$400,$C926,'Promo Calendar'!$D$6:$D$400,IF($G926="","All",$G926),'Promo Calendar'!$I$6:$I$400,"&lt;="&amp;$A926,'Promo Calendar'!$J$6:$J$400,"&gt;="&amp;$A926,'Promo Calendar'!$G$6:$G$400,"&gt;0"),IF(COUNTIFS('Promo Calendar'!$A$6:$A$400,$C926,'Promo Calendar'!$D$6:$D$400,"All",'Promo Calendar'!$I$6:$I$400,"&lt;="&amp;$A926,'Promo Calendar'!$J$6:$J$400,"&gt;="&amp;$A926,'Promo Calendar'!$G$6:$G$400,"&gt;0")&gt;0,_xlfn.MINIFS('Promo Calendar'!$G$6:$G$400,'Promo Calendar'!$A$6:$A$400,$C926,'Promo Calendar'!$D$6:$D$400,"All",'Promo Calendar'!$I$6:$I$400,"&lt;="&amp;$A926,'Promo Calendar'!$J$6:$J$400,"&gt;="&amp;$A926,'Promo Calendar'!$G$6:$G$400,"&gt;0"),IFERROR(IF(INDEX('Chain Program'!$M$6:$M$120,MATCH($C926,'Chain Program'!$A$6:$A$120,0))="","Not set",INDEX('Chain Program'!$M$6:$M$120,MATCH($C926,'Chain Program'!$A$6:$A$120,0))),"Not set"))))</f>
        <v/>
      </c>
      <c r="I926" s="61" t="n"/>
      <c r="J926" s="45">
        <f>IF($I926="","",IF(NOT(ISNUMBER($H926)),"No plan price",IF(ABS($I926-$H926)&lt;0.005,"Match",IF($I926&gt;$H926,"Over plan","Under plan"))))</f>
        <v/>
      </c>
      <c r="K926" s="60" t="n"/>
      <c r="L926" s="60" t="n"/>
      <c r="M926" s="60" t="n"/>
      <c r="N926" s="60" t="n"/>
      <c r="O926" s="60" t="n"/>
      <c r="P926" s="62" t="n"/>
      <c r="Q926" s="62" t="n"/>
      <c r="R926" s="60" t="n"/>
      <c r="S926" s="59" t="n"/>
      <c r="T926" s="60" t="n"/>
      <c r="U926" s="59" t="n"/>
      <c r="V926" s="45">
        <f>IF(OR($A926="",$T926="",$T926="No Issue"),"",IF($T926="Resolved",IF($U926="","",$U926-$A926),TODAY()-$A926))</f>
        <v/>
      </c>
      <c r="W926" s="47">
        <f>IF(AND($C926&lt;&gt;"",$C926='Store History'!$C$4,OR('Store History'!$C$5="",$F926='Store History'!$C$5)),1,0)</f>
        <v/>
      </c>
      <c r="X926" s="47">
        <f>IF($W926=1,SUM($W926:$W$1005),"")</f>
        <v/>
      </c>
    </row>
    <row r="927">
      <c r="A927" s="59" t="n"/>
      <c r="B927" s="60" t="n"/>
      <c r="C927" s="60" t="n"/>
      <c r="D927" s="45">
        <f>IF($C927="","",IFERROR(INDEX('Chain Program'!$B$6:$B$120,MATCH($C927,'Chain Program'!$A$6:$A$120,0)),"Unknown ID"))</f>
        <v/>
      </c>
      <c r="E927" s="45">
        <f>IF($C927="","",IFERROR(INDEX('Chain Program'!$D$6:$D$120,MATCH($C927,'Chain Program'!$A$6:$A$120,0)),"Unknown ID"))</f>
        <v/>
      </c>
      <c r="F927" s="60" t="n"/>
      <c r="G927" s="60" t="n"/>
      <c r="H927" s="56">
        <f>IF(OR($C927="",$A927=""),"",IF(COUNTIFS('Promo Calendar'!$A$6:$A$400,$C927,'Promo Calendar'!$D$6:$D$400,IF($G927="","All",$G927),'Promo Calendar'!$I$6:$I$400,"&lt;="&amp;$A927,'Promo Calendar'!$J$6:$J$400,"&gt;="&amp;$A927,'Promo Calendar'!$G$6:$G$400,"&gt;0")&gt;0,_xlfn.MINIFS('Promo Calendar'!$G$6:$G$400,'Promo Calendar'!$A$6:$A$400,$C927,'Promo Calendar'!$D$6:$D$400,IF($G927="","All",$G927),'Promo Calendar'!$I$6:$I$400,"&lt;="&amp;$A927,'Promo Calendar'!$J$6:$J$400,"&gt;="&amp;$A927,'Promo Calendar'!$G$6:$G$400,"&gt;0"),IF(COUNTIFS('Promo Calendar'!$A$6:$A$400,$C927,'Promo Calendar'!$D$6:$D$400,"All",'Promo Calendar'!$I$6:$I$400,"&lt;="&amp;$A927,'Promo Calendar'!$J$6:$J$400,"&gt;="&amp;$A927,'Promo Calendar'!$G$6:$G$400,"&gt;0")&gt;0,_xlfn.MINIFS('Promo Calendar'!$G$6:$G$400,'Promo Calendar'!$A$6:$A$400,$C927,'Promo Calendar'!$D$6:$D$400,"All",'Promo Calendar'!$I$6:$I$400,"&lt;="&amp;$A927,'Promo Calendar'!$J$6:$J$400,"&gt;="&amp;$A927,'Promo Calendar'!$G$6:$G$400,"&gt;0"),IFERROR(IF(INDEX('Chain Program'!$M$6:$M$120,MATCH($C927,'Chain Program'!$A$6:$A$120,0))="","Not set",INDEX('Chain Program'!$M$6:$M$120,MATCH($C927,'Chain Program'!$A$6:$A$120,0))),"Not set"))))</f>
        <v/>
      </c>
      <c r="I927" s="61" t="n"/>
      <c r="J927" s="45">
        <f>IF($I927="","",IF(NOT(ISNUMBER($H927)),"No plan price",IF(ABS($I927-$H927)&lt;0.005,"Match",IF($I927&gt;$H927,"Over plan","Under plan"))))</f>
        <v/>
      </c>
      <c r="K927" s="60" t="n"/>
      <c r="L927" s="60" t="n"/>
      <c r="M927" s="60" t="n"/>
      <c r="N927" s="60" t="n"/>
      <c r="O927" s="60" t="n"/>
      <c r="P927" s="62" t="n"/>
      <c r="Q927" s="62" t="n"/>
      <c r="R927" s="60" t="n"/>
      <c r="S927" s="59" t="n"/>
      <c r="T927" s="60" t="n"/>
      <c r="U927" s="59" t="n"/>
      <c r="V927" s="45">
        <f>IF(OR($A927="",$T927="",$T927="No Issue"),"",IF($T927="Resolved",IF($U927="","",$U927-$A927),TODAY()-$A927))</f>
        <v/>
      </c>
      <c r="W927" s="47">
        <f>IF(AND($C927&lt;&gt;"",$C927='Store History'!$C$4,OR('Store History'!$C$5="",$F927='Store History'!$C$5)),1,0)</f>
        <v/>
      </c>
      <c r="X927" s="47">
        <f>IF($W927=1,SUM($W927:$W$1005),"")</f>
        <v/>
      </c>
    </row>
    <row r="928">
      <c r="A928" s="59" t="n"/>
      <c r="B928" s="60" t="n"/>
      <c r="C928" s="60" t="n"/>
      <c r="D928" s="45">
        <f>IF($C928="","",IFERROR(INDEX('Chain Program'!$B$6:$B$120,MATCH($C928,'Chain Program'!$A$6:$A$120,0)),"Unknown ID"))</f>
        <v/>
      </c>
      <c r="E928" s="45">
        <f>IF($C928="","",IFERROR(INDEX('Chain Program'!$D$6:$D$120,MATCH($C928,'Chain Program'!$A$6:$A$120,0)),"Unknown ID"))</f>
        <v/>
      </c>
      <c r="F928" s="60" t="n"/>
      <c r="G928" s="60" t="n"/>
      <c r="H928" s="56">
        <f>IF(OR($C928="",$A928=""),"",IF(COUNTIFS('Promo Calendar'!$A$6:$A$400,$C928,'Promo Calendar'!$D$6:$D$400,IF($G928="","All",$G928),'Promo Calendar'!$I$6:$I$400,"&lt;="&amp;$A928,'Promo Calendar'!$J$6:$J$400,"&gt;="&amp;$A928,'Promo Calendar'!$G$6:$G$400,"&gt;0")&gt;0,_xlfn.MINIFS('Promo Calendar'!$G$6:$G$400,'Promo Calendar'!$A$6:$A$400,$C928,'Promo Calendar'!$D$6:$D$400,IF($G928="","All",$G928),'Promo Calendar'!$I$6:$I$400,"&lt;="&amp;$A928,'Promo Calendar'!$J$6:$J$400,"&gt;="&amp;$A928,'Promo Calendar'!$G$6:$G$400,"&gt;0"),IF(COUNTIFS('Promo Calendar'!$A$6:$A$400,$C928,'Promo Calendar'!$D$6:$D$400,"All",'Promo Calendar'!$I$6:$I$400,"&lt;="&amp;$A928,'Promo Calendar'!$J$6:$J$400,"&gt;="&amp;$A928,'Promo Calendar'!$G$6:$G$400,"&gt;0")&gt;0,_xlfn.MINIFS('Promo Calendar'!$G$6:$G$400,'Promo Calendar'!$A$6:$A$400,$C928,'Promo Calendar'!$D$6:$D$400,"All",'Promo Calendar'!$I$6:$I$400,"&lt;="&amp;$A928,'Promo Calendar'!$J$6:$J$400,"&gt;="&amp;$A928,'Promo Calendar'!$G$6:$G$400,"&gt;0"),IFERROR(IF(INDEX('Chain Program'!$M$6:$M$120,MATCH($C928,'Chain Program'!$A$6:$A$120,0))="","Not set",INDEX('Chain Program'!$M$6:$M$120,MATCH($C928,'Chain Program'!$A$6:$A$120,0))),"Not set"))))</f>
        <v/>
      </c>
      <c r="I928" s="61" t="n"/>
      <c r="J928" s="45">
        <f>IF($I928="","",IF(NOT(ISNUMBER($H928)),"No plan price",IF(ABS($I928-$H928)&lt;0.005,"Match",IF($I928&gt;$H928,"Over plan","Under plan"))))</f>
        <v/>
      </c>
      <c r="K928" s="60" t="n"/>
      <c r="L928" s="60" t="n"/>
      <c r="M928" s="60" t="n"/>
      <c r="N928" s="60" t="n"/>
      <c r="O928" s="60" t="n"/>
      <c r="P928" s="62" t="n"/>
      <c r="Q928" s="62" t="n"/>
      <c r="R928" s="60" t="n"/>
      <c r="S928" s="59" t="n"/>
      <c r="T928" s="60" t="n"/>
      <c r="U928" s="59" t="n"/>
      <c r="V928" s="45">
        <f>IF(OR($A928="",$T928="",$T928="No Issue"),"",IF($T928="Resolved",IF($U928="","",$U928-$A928),TODAY()-$A928))</f>
        <v/>
      </c>
      <c r="W928" s="47">
        <f>IF(AND($C928&lt;&gt;"",$C928='Store History'!$C$4,OR('Store History'!$C$5="",$F928='Store History'!$C$5)),1,0)</f>
        <v/>
      </c>
      <c r="X928" s="47">
        <f>IF($W928=1,SUM($W928:$W$1005),"")</f>
        <v/>
      </c>
    </row>
    <row r="929">
      <c r="A929" s="59" t="n"/>
      <c r="B929" s="60" t="n"/>
      <c r="C929" s="60" t="n"/>
      <c r="D929" s="45">
        <f>IF($C929="","",IFERROR(INDEX('Chain Program'!$B$6:$B$120,MATCH($C929,'Chain Program'!$A$6:$A$120,0)),"Unknown ID"))</f>
        <v/>
      </c>
      <c r="E929" s="45">
        <f>IF($C929="","",IFERROR(INDEX('Chain Program'!$D$6:$D$120,MATCH($C929,'Chain Program'!$A$6:$A$120,0)),"Unknown ID"))</f>
        <v/>
      </c>
      <c r="F929" s="60" t="n"/>
      <c r="G929" s="60" t="n"/>
      <c r="H929" s="56">
        <f>IF(OR($C929="",$A929=""),"",IF(COUNTIFS('Promo Calendar'!$A$6:$A$400,$C929,'Promo Calendar'!$D$6:$D$400,IF($G929="","All",$G929),'Promo Calendar'!$I$6:$I$400,"&lt;="&amp;$A929,'Promo Calendar'!$J$6:$J$400,"&gt;="&amp;$A929,'Promo Calendar'!$G$6:$G$400,"&gt;0")&gt;0,_xlfn.MINIFS('Promo Calendar'!$G$6:$G$400,'Promo Calendar'!$A$6:$A$400,$C929,'Promo Calendar'!$D$6:$D$400,IF($G929="","All",$G929),'Promo Calendar'!$I$6:$I$400,"&lt;="&amp;$A929,'Promo Calendar'!$J$6:$J$400,"&gt;="&amp;$A929,'Promo Calendar'!$G$6:$G$400,"&gt;0"),IF(COUNTIFS('Promo Calendar'!$A$6:$A$400,$C929,'Promo Calendar'!$D$6:$D$400,"All",'Promo Calendar'!$I$6:$I$400,"&lt;="&amp;$A929,'Promo Calendar'!$J$6:$J$400,"&gt;="&amp;$A929,'Promo Calendar'!$G$6:$G$400,"&gt;0")&gt;0,_xlfn.MINIFS('Promo Calendar'!$G$6:$G$400,'Promo Calendar'!$A$6:$A$400,$C929,'Promo Calendar'!$D$6:$D$400,"All",'Promo Calendar'!$I$6:$I$400,"&lt;="&amp;$A929,'Promo Calendar'!$J$6:$J$400,"&gt;="&amp;$A929,'Promo Calendar'!$G$6:$G$400,"&gt;0"),IFERROR(IF(INDEX('Chain Program'!$M$6:$M$120,MATCH($C929,'Chain Program'!$A$6:$A$120,0))="","Not set",INDEX('Chain Program'!$M$6:$M$120,MATCH($C929,'Chain Program'!$A$6:$A$120,0))),"Not set"))))</f>
        <v/>
      </c>
      <c r="I929" s="61" t="n"/>
      <c r="J929" s="45">
        <f>IF($I929="","",IF(NOT(ISNUMBER($H929)),"No plan price",IF(ABS($I929-$H929)&lt;0.005,"Match",IF($I929&gt;$H929,"Over plan","Under plan"))))</f>
        <v/>
      </c>
      <c r="K929" s="60" t="n"/>
      <c r="L929" s="60" t="n"/>
      <c r="M929" s="60" t="n"/>
      <c r="N929" s="60" t="n"/>
      <c r="O929" s="60" t="n"/>
      <c r="P929" s="62" t="n"/>
      <c r="Q929" s="62" t="n"/>
      <c r="R929" s="60" t="n"/>
      <c r="S929" s="59" t="n"/>
      <c r="T929" s="60" t="n"/>
      <c r="U929" s="59" t="n"/>
      <c r="V929" s="45">
        <f>IF(OR($A929="",$T929="",$T929="No Issue"),"",IF($T929="Resolved",IF($U929="","",$U929-$A929),TODAY()-$A929))</f>
        <v/>
      </c>
      <c r="W929" s="47">
        <f>IF(AND($C929&lt;&gt;"",$C929='Store History'!$C$4,OR('Store History'!$C$5="",$F929='Store History'!$C$5)),1,0)</f>
        <v/>
      </c>
      <c r="X929" s="47">
        <f>IF($W929=1,SUM($W929:$W$1005),"")</f>
        <v/>
      </c>
    </row>
    <row r="930">
      <c r="A930" s="59" t="n"/>
      <c r="B930" s="60" t="n"/>
      <c r="C930" s="60" t="n"/>
      <c r="D930" s="45">
        <f>IF($C930="","",IFERROR(INDEX('Chain Program'!$B$6:$B$120,MATCH($C930,'Chain Program'!$A$6:$A$120,0)),"Unknown ID"))</f>
        <v/>
      </c>
      <c r="E930" s="45">
        <f>IF($C930="","",IFERROR(INDEX('Chain Program'!$D$6:$D$120,MATCH($C930,'Chain Program'!$A$6:$A$120,0)),"Unknown ID"))</f>
        <v/>
      </c>
      <c r="F930" s="60" t="n"/>
      <c r="G930" s="60" t="n"/>
      <c r="H930" s="56">
        <f>IF(OR($C930="",$A930=""),"",IF(COUNTIFS('Promo Calendar'!$A$6:$A$400,$C930,'Promo Calendar'!$D$6:$D$400,IF($G930="","All",$G930),'Promo Calendar'!$I$6:$I$400,"&lt;="&amp;$A930,'Promo Calendar'!$J$6:$J$400,"&gt;="&amp;$A930,'Promo Calendar'!$G$6:$G$400,"&gt;0")&gt;0,_xlfn.MINIFS('Promo Calendar'!$G$6:$G$400,'Promo Calendar'!$A$6:$A$400,$C930,'Promo Calendar'!$D$6:$D$400,IF($G930="","All",$G930),'Promo Calendar'!$I$6:$I$400,"&lt;="&amp;$A930,'Promo Calendar'!$J$6:$J$400,"&gt;="&amp;$A930,'Promo Calendar'!$G$6:$G$400,"&gt;0"),IF(COUNTIFS('Promo Calendar'!$A$6:$A$400,$C930,'Promo Calendar'!$D$6:$D$400,"All",'Promo Calendar'!$I$6:$I$400,"&lt;="&amp;$A930,'Promo Calendar'!$J$6:$J$400,"&gt;="&amp;$A930,'Promo Calendar'!$G$6:$G$400,"&gt;0")&gt;0,_xlfn.MINIFS('Promo Calendar'!$G$6:$G$400,'Promo Calendar'!$A$6:$A$400,$C930,'Promo Calendar'!$D$6:$D$400,"All",'Promo Calendar'!$I$6:$I$400,"&lt;="&amp;$A930,'Promo Calendar'!$J$6:$J$400,"&gt;="&amp;$A930,'Promo Calendar'!$G$6:$G$400,"&gt;0"),IFERROR(IF(INDEX('Chain Program'!$M$6:$M$120,MATCH($C930,'Chain Program'!$A$6:$A$120,0))="","Not set",INDEX('Chain Program'!$M$6:$M$120,MATCH($C930,'Chain Program'!$A$6:$A$120,0))),"Not set"))))</f>
        <v/>
      </c>
      <c r="I930" s="61" t="n"/>
      <c r="J930" s="45">
        <f>IF($I930="","",IF(NOT(ISNUMBER($H930)),"No plan price",IF(ABS($I930-$H930)&lt;0.005,"Match",IF($I930&gt;$H930,"Over plan","Under plan"))))</f>
        <v/>
      </c>
      <c r="K930" s="60" t="n"/>
      <c r="L930" s="60" t="n"/>
      <c r="M930" s="60" t="n"/>
      <c r="N930" s="60" t="n"/>
      <c r="O930" s="60" t="n"/>
      <c r="P930" s="62" t="n"/>
      <c r="Q930" s="62" t="n"/>
      <c r="R930" s="60" t="n"/>
      <c r="S930" s="59" t="n"/>
      <c r="T930" s="60" t="n"/>
      <c r="U930" s="59" t="n"/>
      <c r="V930" s="45">
        <f>IF(OR($A930="",$T930="",$T930="No Issue"),"",IF($T930="Resolved",IF($U930="","",$U930-$A930),TODAY()-$A930))</f>
        <v/>
      </c>
      <c r="W930" s="47">
        <f>IF(AND($C930&lt;&gt;"",$C930='Store History'!$C$4,OR('Store History'!$C$5="",$F930='Store History'!$C$5)),1,0)</f>
        <v/>
      </c>
      <c r="X930" s="47">
        <f>IF($W930=1,SUM($W930:$W$1005),"")</f>
        <v/>
      </c>
    </row>
    <row r="931">
      <c r="A931" s="59" t="n"/>
      <c r="B931" s="60" t="n"/>
      <c r="C931" s="60" t="n"/>
      <c r="D931" s="45">
        <f>IF($C931="","",IFERROR(INDEX('Chain Program'!$B$6:$B$120,MATCH($C931,'Chain Program'!$A$6:$A$120,0)),"Unknown ID"))</f>
        <v/>
      </c>
      <c r="E931" s="45">
        <f>IF($C931="","",IFERROR(INDEX('Chain Program'!$D$6:$D$120,MATCH($C931,'Chain Program'!$A$6:$A$120,0)),"Unknown ID"))</f>
        <v/>
      </c>
      <c r="F931" s="60" t="n"/>
      <c r="G931" s="60" t="n"/>
      <c r="H931" s="56">
        <f>IF(OR($C931="",$A931=""),"",IF(COUNTIFS('Promo Calendar'!$A$6:$A$400,$C931,'Promo Calendar'!$D$6:$D$400,IF($G931="","All",$G931),'Promo Calendar'!$I$6:$I$400,"&lt;="&amp;$A931,'Promo Calendar'!$J$6:$J$400,"&gt;="&amp;$A931,'Promo Calendar'!$G$6:$G$400,"&gt;0")&gt;0,_xlfn.MINIFS('Promo Calendar'!$G$6:$G$400,'Promo Calendar'!$A$6:$A$400,$C931,'Promo Calendar'!$D$6:$D$400,IF($G931="","All",$G931),'Promo Calendar'!$I$6:$I$400,"&lt;="&amp;$A931,'Promo Calendar'!$J$6:$J$400,"&gt;="&amp;$A931,'Promo Calendar'!$G$6:$G$400,"&gt;0"),IF(COUNTIFS('Promo Calendar'!$A$6:$A$400,$C931,'Promo Calendar'!$D$6:$D$400,"All",'Promo Calendar'!$I$6:$I$400,"&lt;="&amp;$A931,'Promo Calendar'!$J$6:$J$400,"&gt;="&amp;$A931,'Promo Calendar'!$G$6:$G$400,"&gt;0")&gt;0,_xlfn.MINIFS('Promo Calendar'!$G$6:$G$400,'Promo Calendar'!$A$6:$A$400,$C931,'Promo Calendar'!$D$6:$D$400,"All",'Promo Calendar'!$I$6:$I$400,"&lt;="&amp;$A931,'Promo Calendar'!$J$6:$J$400,"&gt;="&amp;$A931,'Promo Calendar'!$G$6:$G$400,"&gt;0"),IFERROR(IF(INDEX('Chain Program'!$M$6:$M$120,MATCH($C931,'Chain Program'!$A$6:$A$120,0))="","Not set",INDEX('Chain Program'!$M$6:$M$120,MATCH($C931,'Chain Program'!$A$6:$A$120,0))),"Not set"))))</f>
        <v/>
      </c>
      <c r="I931" s="61" t="n"/>
      <c r="J931" s="45">
        <f>IF($I931="","",IF(NOT(ISNUMBER($H931)),"No plan price",IF(ABS($I931-$H931)&lt;0.005,"Match",IF($I931&gt;$H931,"Over plan","Under plan"))))</f>
        <v/>
      </c>
      <c r="K931" s="60" t="n"/>
      <c r="L931" s="60" t="n"/>
      <c r="M931" s="60" t="n"/>
      <c r="N931" s="60" t="n"/>
      <c r="O931" s="60" t="n"/>
      <c r="P931" s="62" t="n"/>
      <c r="Q931" s="62" t="n"/>
      <c r="R931" s="60" t="n"/>
      <c r="S931" s="59" t="n"/>
      <c r="T931" s="60" t="n"/>
      <c r="U931" s="59" t="n"/>
      <c r="V931" s="45">
        <f>IF(OR($A931="",$T931="",$T931="No Issue"),"",IF($T931="Resolved",IF($U931="","",$U931-$A931),TODAY()-$A931))</f>
        <v/>
      </c>
      <c r="W931" s="47">
        <f>IF(AND($C931&lt;&gt;"",$C931='Store History'!$C$4,OR('Store History'!$C$5="",$F931='Store History'!$C$5)),1,0)</f>
        <v/>
      </c>
      <c r="X931" s="47">
        <f>IF($W931=1,SUM($W931:$W$1005),"")</f>
        <v/>
      </c>
    </row>
    <row r="932">
      <c r="A932" s="59" t="n"/>
      <c r="B932" s="60" t="n"/>
      <c r="C932" s="60" t="n"/>
      <c r="D932" s="45">
        <f>IF($C932="","",IFERROR(INDEX('Chain Program'!$B$6:$B$120,MATCH($C932,'Chain Program'!$A$6:$A$120,0)),"Unknown ID"))</f>
        <v/>
      </c>
      <c r="E932" s="45">
        <f>IF($C932="","",IFERROR(INDEX('Chain Program'!$D$6:$D$120,MATCH($C932,'Chain Program'!$A$6:$A$120,0)),"Unknown ID"))</f>
        <v/>
      </c>
      <c r="F932" s="60" t="n"/>
      <c r="G932" s="60" t="n"/>
      <c r="H932" s="56">
        <f>IF(OR($C932="",$A932=""),"",IF(COUNTIFS('Promo Calendar'!$A$6:$A$400,$C932,'Promo Calendar'!$D$6:$D$400,IF($G932="","All",$G932),'Promo Calendar'!$I$6:$I$400,"&lt;="&amp;$A932,'Promo Calendar'!$J$6:$J$400,"&gt;="&amp;$A932,'Promo Calendar'!$G$6:$G$400,"&gt;0")&gt;0,_xlfn.MINIFS('Promo Calendar'!$G$6:$G$400,'Promo Calendar'!$A$6:$A$400,$C932,'Promo Calendar'!$D$6:$D$400,IF($G932="","All",$G932),'Promo Calendar'!$I$6:$I$400,"&lt;="&amp;$A932,'Promo Calendar'!$J$6:$J$400,"&gt;="&amp;$A932,'Promo Calendar'!$G$6:$G$400,"&gt;0"),IF(COUNTIFS('Promo Calendar'!$A$6:$A$400,$C932,'Promo Calendar'!$D$6:$D$400,"All",'Promo Calendar'!$I$6:$I$400,"&lt;="&amp;$A932,'Promo Calendar'!$J$6:$J$400,"&gt;="&amp;$A932,'Promo Calendar'!$G$6:$G$400,"&gt;0")&gt;0,_xlfn.MINIFS('Promo Calendar'!$G$6:$G$400,'Promo Calendar'!$A$6:$A$400,$C932,'Promo Calendar'!$D$6:$D$400,"All",'Promo Calendar'!$I$6:$I$400,"&lt;="&amp;$A932,'Promo Calendar'!$J$6:$J$400,"&gt;="&amp;$A932,'Promo Calendar'!$G$6:$G$400,"&gt;0"),IFERROR(IF(INDEX('Chain Program'!$M$6:$M$120,MATCH($C932,'Chain Program'!$A$6:$A$120,0))="","Not set",INDEX('Chain Program'!$M$6:$M$120,MATCH($C932,'Chain Program'!$A$6:$A$120,0))),"Not set"))))</f>
        <v/>
      </c>
      <c r="I932" s="61" t="n"/>
      <c r="J932" s="45">
        <f>IF($I932="","",IF(NOT(ISNUMBER($H932)),"No plan price",IF(ABS($I932-$H932)&lt;0.005,"Match",IF($I932&gt;$H932,"Over plan","Under plan"))))</f>
        <v/>
      </c>
      <c r="K932" s="60" t="n"/>
      <c r="L932" s="60" t="n"/>
      <c r="M932" s="60" t="n"/>
      <c r="N932" s="60" t="n"/>
      <c r="O932" s="60" t="n"/>
      <c r="P932" s="62" t="n"/>
      <c r="Q932" s="62" t="n"/>
      <c r="R932" s="60" t="n"/>
      <c r="S932" s="59" t="n"/>
      <c r="T932" s="60" t="n"/>
      <c r="U932" s="59" t="n"/>
      <c r="V932" s="45">
        <f>IF(OR($A932="",$T932="",$T932="No Issue"),"",IF($T932="Resolved",IF($U932="","",$U932-$A932),TODAY()-$A932))</f>
        <v/>
      </c>
      <c r="W932" s="47">
        <f>IF(AND($C932&lt;&gt;"",$C932='Store History'!$C$4,OR('Store History'!$C$5="",$F932='Store History'!$C$5)),1,0)</f>
        <v/>
      </c>
      <c r="X932" s="47">
        <f>IF($W932=1,SUM($W932:$W$1005),"")</f>
        <v/>
      </c>
    </row>
    <row r="933">
      <c r="A933" s="59" t="n"/>
      <c r="B933" s="60" t="n"/>
      <c r="C933" s="60" t="n"/>
      <c r="D933" s="45">
        <f>IF($C933="","",IFERROR(INDEX('Chain Program'!$B$6:$B$120,MATCH($C933,'Chain Program'!$A$6:$A$120,0)),"Unknown ID"))</f>
        <v/>
      </c>
      <c r="E933" s="45">
        <f>IF($C933="","",IFERROR(INDEX('Chain Program'!$D$6:$D$120,MATCH($C933,'Chain Program'!$A$6:$A$120,0)),"Unknown ID"))</f>
        <v/>
      </c>
      <c r="F933" s="60" t="n"/>
      <c r="G933" s="60" t="n"/>
      <c r="H933" s="56">
        <f>IF(OR($C933="",$A933=""),"",IF(COUNTIFS('Promo Calendar'!$A$6:$A$400,$C933,'Promo Calendar'!$D$6:$D$400,IF($G933="","All",$G933),'Promo Calendar'!$I$6:$I$400,"&lt;="&amp;$A933,'Promo Calendar'!$J$6:$J$400,"&gt;="&amp;$A933,'Promo Calendar'!$G$6:$G$400,"&gt;0")&gt;0,_xlfn.MINIFS('Promo Calendar'!$G$6:$G$400,'Promo Calendar'!$A$6:$A$400,$C933,'Promo Calendar'!$D$6:$D$400,IF($G933="","All",$G933),'Promo Calendar'!$I$6:$I$400,"&lt;="&amp;$A933,'Promo Calendar'!$J$6:$J$400,"&gt;="&amp;$A933,'Promo Calendar'!$G$6:$G$400,"&gt;0"),IF(COUNTIFS('Promo Calendar'!$A$6:$A$400,$C933,'Promo Calendar'!$D$6:$D$400,"All",'Promo Calendar'!$I$6:$I$400,"&lt;="&amp;$A933,'Promo Calendar'!$J$6:$J$400,"&gt;="&amp;$A933,'Promo Calendar'!$G$6:$G$400,"&gt;0")&gt;0,_xlfn.MINIFS('Promo Calendar'!$G$6:$G$400,'Promo Calendar'!$A$6:$A$400,$C933,'Promo Calendar'!$D$6:$D$400,"All",'Promo Calendar'!$I$6:$I$400,"&lt;="&amp;$A933,'Promo Calendar'!$J$6:$J$400,"&gt;="&amp;$A933,'Promo Calendar'!$G$6:$G$400,"&gt;0"),IFERROR(IF(INDEX('Chain Program'!$M$6:$M$120,MATCH($C933,'Chain Program'!$A$6:$A$120,0))="","Not set",INDEX('Chain Program'!$M$6:$M$120,MATCH($C933,'Chain Program'!$A$6:$A$120,0))),"Not set"))))</f>
        <v/>
      </c>
      <c r="I933" s="61" t="n"/>
      <c r="J933" s="45">
        <f>IF($I933="","",IF(NOT(ISNUMBER($H933)),"No plan price",IF(ABS($I933-$H933)&lt;0.005,"Match",IF($I933&gt;$H933,"Over plan","Under plan"))))</f>
        <v/>
      </c>
      <c r="K933" s="60" t="n"/>
      <c r="L933" s="60" t="n"/>
      <c r="M933" s="60" t="n"/>
      <c r="N933" s="60" t="n"/>
      <c r="O933" s="60" t="n"/>
      <c r="P933" s="62" t="n"/>
      <c r="Q933" s="62" t="n"/>
      <c r="R933" s="60" t="n"/>
      <c r="S933" s="59" t="n"/>
      <c r="T933" s="60" t="n"/>
      <c r="U933" s="59" t="n"/>
      <c r="V933" s="45">
        <f>IF(OR($A933="",$T933="",$T933="No Issue"),"",IF($T933="Resolved",IF($U933="","",$U933-$A933),TODAY()-$A933))</f>
        <v/>
      </c>
      <c r="W933" s="47">
        <f>IF(AND($C933&lt;&gt;"",$C933='Store History'!$C$4,OR('Store History'!$C$5="",$F933='Store History'!$C$5)),1,0)</f>
        <v/>
      </c>
      <c r="X933" s="47">
        <f>IF($W933=1,SUM($W933:$W$1005),"")</f>
        <v/>
      </c>
    </row>
    <row r="934">
      <c r="A934" s="59" t="n"/>
      <c r="B934" s="60" t="n"/>
      <c r="C934" s="60" t="n"/>
      <c r="D934" s="45">
        <f>IF($C934="","",IFERROR(INDEX('Chain Program'!$B$6:$B$120,MATCH($C934,'Chain Program'!$A$6:$A$120,0)),"Unknown ID"))</f>
        <v/>
      </c>
      <c r="E934" s="45">
        <f>IF($C934="","",IFERROR(INDEX('Chain Program'!$D$6:$D$120,MATCH($C934,'Chain Program'!$A$6:$A$120,0)),"Unknown ID"))</f>
        <v/>
      </c>
      <c r="F934" s="60" t="n"/>
      <c r="G934" s="60" t="n"/>
      <c r="H934" s="56">
        <f>IF(OR($C934="",$A934=""),"",IF(COUNTIFS('Promo Calendar'!$A$6:$A$400,$C934,'Promo Calendar'!$D$6:$D$400,IF($G934="","All",$G934),'Promo Calendar'!$I$6:$I$400,"&lt;="&amp;$A934,'Promo Calendar'!$J$6:$J$400,"&gt;="&amp;$A934,'Promo Calendar'!$G$6:$G$400,"&gt;0")&gt;0,_xlfn.MINIFS('Promo Calendar'!$G$6:$G$400,'Promo Calendar'!$A$6:$A$400,$C934,'Promo Calendar'!$D$6:$D$400,IF($G934="","All",$G934),'Promo Calendar'!$I$6:$I$400,"&lt;="&amp;$A934,'Promo Calendar'!$J$6:$J$400,"&gt;="&amp;$A934,'Promo Calendar'!$G$6:$G$400,"&gt;0"),IF(COUNTIFS('Promo Calendar'!$A$6:$A$400,$C934,'Promo Calendar'!$D$6:$D$400,"All",'Promo Calendar'!$I$6:$I$400,"&lt;="&amp;$A934,'Promo Calendar'!$J$6:$J$400,"&gt;="&amp;$A934,'Promo Calendar'!$G$6:$G$400,"&gt;0")&gt;0,_xlfn.MINIFS('Promo Calendar'!$G$6:$G$400,'Promo Calendar'!$A$6:$A$400,$C934,'Promo Calendar'!$D$6:$D$400,"All",'Promo Calendar'!$I$6:$I$400,"&lt;="&amp;$A934,'Promo Calendar'!$J$6:$J$400,"&gt;="&amp;$A934,'Promo Calendar'!$G$6:$G$400,"&gt;0"),IFERROR(IF(INDEX('Chain Program'!$M$6:$M$120,MATCH($C934,'Chain Program'!$A$6:$A$120,0))="","Not set",INDEX('Chain Program'!$M$6:$M$120,MATCH($C934,'Chain Program'!$A$6:$A$120,0))),"Not set"))))</f>
        <v/>
      </c>
      <c r="I934" s="61" t="n"/>
      <c r="J934" s="45">
        <f>IF($I934="","",IF(NOT(ISNUMBER($H934)),"No plan price",IF(ABS($I934-$H934)&lt;0.005,"Match",IF($I934&gt;$H934,"Over plan","Under plan"))))</f>
        <v/>
      </c>
      <c r="K934" s="60" t="n"/>
      <c r="L934" s="60" t="n"/>
      <c r="M934" s="60" t="n"/>
      <c r="N934" s="60" t="n"/>
      <c r="O934" s="60" t="n"/>
      <c r="P934" s="62" t="n"/>
      <c r="Q934" s="62" t="n"/>
      <c r="R934" s="60" t="n"/>
      <c r="S934" s="59" t="n"/>
      <c r="T934" s="60" t="n"/>
      <c r="U934" s="59" t="n"/>
      <c r="V934" s="45">
        <f>IF(OR($A934="",$T934="",$T934="No Issue"),"",IF($T934="Resolved",IF($U934="","",$U934-$A934),TODAY()-$A934))</f>
        <v/>
      </c>
      <c r="W934" s="47">
        <f>IF(AND($C934&lt;&gt;"",$C934='Store History'!$C$4,OR('Store History'!$C$5="",$F934='Store History'!$C$5)),1,0)</f>
        <v/>
      </c>
      <c r="X934" s="47">
        <f>IF($W934=1,SUM($W934:$W$1005),"")</f>
        <v/>
      </c>
    </row>
    <row r="935">
      <c r="A935" s="59" t="n"/>
      <c r="B935" s="60" t="n"/>
      <c r="C935" s="60" t="n"/>
      <c r="D935" s="45">
        <f>IF($C935="","",IFERROR(INDEX('Chain Program'!$B$6:$B$120,MATCH($C935,'Chain Program'!$A$6:$A$120,0)),"Unknown ID"))</f>
        <v/>
      </c>
      <c r="E935" s="45">
        <f>IF($C935="","",IFERROR(INDEX('Chain Program'!$D$6:$D$120,MATCH($C935,'Chain Program'!$A$6:$A$120,0)),"Unknown ID"))</f>
        <v/>
      </c>
      <c r="F935" s="60" t="n"/>
      <c r="G935" s="60" t="n"/>
      <c r="H935" s="56">
        <f>IF(OR($C935="",$A935=""),"",IF(COUNTIFS('Promo Calendar'!$A$6:$A$400,$C935,'Promo Calendar'!$D$6:$D$400,IF($G935="","All",$G935),'Promo Calendar'!$I$6:$I$400,"&lt;="&amp;$A935,'Promo Calendar'!$J$6:$J$400,"&gt;="&amp;$A935,'Promo Calendar'!$G$6:$G$400,"&gt;0")&gt;0,_xlfn.MINIFS('Promo Calendar'!$G$6:$G$400,'Promo Calendar'!$A$6:$A$400,$C935,'Promo Calendar'!$D$6:$D$400,IF($G935="","All",$G935),'Promo Calendar'!$I$6:$I$400,"&lt;="&amp;$A935,'Promo Calendar'!$J$6:$J$400,"&gt;="&amp;$A935,'Promo Calendar'!$G$6:$G$400,"&gt;0"),IF(COUNTIFS('Promo Calendar'!$A$6:$A$400,$C935,'Promo Calendar'!$D$6:$D$400,"All",'Promo Calendar'!$I$6:$I$400,"&lt;="&amp;$A935,'Promo Calendar'!$J$6:$J$400,"&gt;="&amp;$A935,'Promo Calendar'!$G$6:$G$400,"&gt;0")&gt;0,_xlfn.MINIFS('Promo Calendar'!$G$6:$G$400,'Promo Calendar'!$A$6:$A$400,$C935,'Promo Calendar'!$D$6:$D$400,"All",'Promo Calendar'!$I$6:$I$400,"&lt;="&amp;$A935,'Promo Calendar'!$J$6:$J$400,"&gt;="&amp;$A935,'Promo Calendar'!$G$6:$G$400,"&gt;0"),IFERROR(IF(INDEX('Chain Program'!$M$6:$M$120,MATCH($C935,'Chain Program'!$A$6:$A$120,0))="","Not set",INDEX('Chain Program'!$M$6:$M$120,MATCH($C935,'Chain Program'!$A$6:$A$120,0))),"Not set"))))</f>
        <v/>
      </c>
      <c r="I935" s="61" t="n"/>
      <c r="J935" s="45">
        <f>IF($I935="","",IF(NOT(ISNUMBER($H935)),"No plan price",IF(ABS($I935-$H935)&lt;0.005,"Match",IF($I935&gt;$H935,"Over plan","Under plan"))))</f>
        <v/>
      </c>
      <c r="K935" s="60" t="n"/>
      <c r="L935" s="60" t="n"/>
      <c r="M935" s="60" t="n"/>
      <c r="N935" s="60" t="n"/>
      <c r="O935" s="60" t="n"/>
      <c r="P935" s="62" t="n"/>
      <c r="Q935" s="62" t="n"/>
      <c r="R935" s="60" t="n"/>
      <c r="S935" s="59" t="n"/>
      <c r="T935" s="60" t="n"/>
      <c r="U935" s="59" t="n"/>
      <c r="V935" s="45">
        <f>IF(OR($A935="",$T935="",$T935="No Issue"),"",IF($T935="Resolved",IF($U935="","",$U935-$A935),TODAY()-$A935))</f>
        <v/>
      </c>
      <c r="W935" s="47">
        <f>IF(AND($C935&lt;&gt;"",$C935='Store History'!$C$4,OR('Store History'!$C$5="",$F935='Store History'!$C$5)),1,0)</f>
        <v/>
      </c>
      <c r="X935" s="47">
        <f>IF($W935=1,SUM($W935:$W$1005),"")</f>
        <v/>
      </c>
    </row>
    <row r="936">
      <c r="A936" s="59" t="n"/>
      <c r="B936" s="60" t="n"/>
      <c r="C936" s="60" t="n"/>
      <c r="D936" s="45">
        <f>IF($C936="","",IFERROR(INDEX('Chain Program'!$B$6:$B$120,MATCH($C936,'Chain Program'!$A$6:$A$120,0)),"Unknown ID"))</f>
        <v/>
      </c>
      <c r="E936" s="45">
        <f>IF($C936="","",IFERROR(INDEX('Chain Program'!$D$6:$D$120,MATCH($C936,'Chain Program'!$A$6:$A$120,0)),"Unknown ID"))</f>
        <v/>
      </c>
      <c r="F936" s="60" t="n"/>
      <c r="G936" s="60" t="n"/>
      <c r="H936" s="56">
        <f>IF(OR($C936="",$A936=""),"",IF(COUNTIFS('Promo Calendar'!$A$6:$A$400,$C936,'Promo Calendar'!$D$6:$D$400,IF($G936="","All",$G936),'Promo Calendar'!$I$6:$I$400,"&lt;="&amp;$A936,'Promo Calendar'!$J$6:$J$400,"&gt;="&amp;$A936,'Promo Calendar'!$G$6:$G$400,"&gt;0")&gt;0,_xlfn.MINIFS('Promo Calendar'!$G$6:$G$400,'Promo Calendar'!$A$6:$A$400,$C936,'Promo Calendar'!$D$6:$D$400,IF($G936="","All",$G936),'Promo Calendar'!$I$6:$I$400,"&lt;="&amp;$A936,'Promo Calendar'!$J$6:$J$400,"&gt;="&amp;$A936,'Promo Calendar'!$G$6:$G$400,"&gt;0"),IF(COUNTIFS('Promo Calendar'!$A$6:$A$400,$C936,'Promo Calendar'!$D$6:$D$400,"All",'Promo Calendar'!$I$6:$I$400,"&lt;="&amp;$A936,'Promo Calendar'!$J$6:$J$400,"&gt;="&amp;$A936,'Promo Calendar'!$G$6:$G$400,"&gt;0")&gt;0,_xlfn.MINIFS('Promo Calendar'!$G$6:$G$400,'Promo Calendar'!$A$6:$A$400,$C936,'Promo Calendar'!$D$6:$D$400,"All",'Promo Calendar'!$I$6:$I$400,"&lt;="&amp;$A936,'Promo Calendar'!$J$6:$J$400,"&gt;="&amp;$A936,'Promo Calendar'!$G$6:$G$400,"&gt;0"),IFERROR(IF(INDEX('Chain Program'!$M$6:$M$120,MATCH($C936,'Chain Program'!$A$6:$A$120,0))="","Not set",INDEX('Chain Program'!$M$6:$M$120,MATCH($C936,'Chain Program'!$A$6:$A$120,0))),"Not set"))))</f>
        <v/>
      </c>
      <c r="I936" s="61" t="n"/>
      <c r="J936" s="45">
        <f>IF($I936="","",IF(NOT(ISNUMBER($H936)),"No plan price",IF(ABS($I936-$H936)&lt;0.005,"Match",IF($I936&gt;$H936,"Over plan","Under plan"))))</f>
        <v/>
      </c>
      <c r="K936" s="60" t="n"/>
      <c r="L936" s="60" t="n"/>
      <c r="M936" s="60" t="n"/>
      <c r="N936" s="60" t="n"/>
      <c r="O936" s="60" t="n"/>
      <c r="P936" s="62" t="n"/>
      <c r="Q936" s="62" t="n"/>
      <c r="R936" s="60" t="n"/>
      <c r="S936" s="59" t="n"/>
      <c r="T936" s="60" t="n"/>
      <c r="U936" s="59" t="n"/>
      <c r="V936" s="45">
        <f>IF(OR($A936="",$T936="",$T936="No Issue"),"",IF($T936="Resolved",IF($U936="","",$U936-$A936),TODAY()-$A936))</f>
        <v/>
      </c>
      <c r="W936" s="47">
        <f>IF(AND($C936&lt;&gt;"",$C936='Store History'!$C$4,OR('Store History'!$C$5="",$F936='Store History'!$C$5)),1,0)</f>
        <v/>
      </c>
      <c r="X936" s="47">
        <f>IF($W936=1,SUM($W936:$W$1005),"")</f>
        <v/>
      </c>
    </row>
    <row r="937">
      <c r="A937" s="59" t="n"/>
      <c r="B937" s="60" t="n"/>
      <c r="C937" s="60" t="n"/>
      <c r="D937" s="45">
        <f>IF($C937="","",IFERROR(INDEX('Chain Program'!$B$6:$B$120,MATCH($C937,'Chain Program'!$A$6:$A$120,0)),"Unknown ID"))</f>
        <v/>
      </c>
      <c r="E937" s="45">
        <f>IF($C937="","",IFERROR(INDEX('Chain Program'!$D$6:$D$120,MATCH($C937,'Chain Program'!$A$6:$A$120,0)),"Unknown ID"))</f>
        <v/>
      </c>
      <c r="F937" s="60" t="n"/>
      <c r="G937" s="60" t="n"/>
      <c r="H937" s="56">
        <f>IF(OR($C937="",$A937=""),"",IF(COUNTIFS('Promo Calendar'!$A$6:$A$400,$C937,'Promo Calendar'!$D$6:$D$400,IF($G937="","All",$G937),'Promo Calendar'!$I$6:$I$400,"&lt;="&amp;$A937,'Promo Calendar'!$J$6:$J$400,"&gt;="&amp;$A937,'Promo Calendar'!$G$6:$G$400,"&gt;0")&gt;0,_xlfn.MINIFS('Promo Calendar'!$G$6:$G$400,'Promo Calendar'!$A$6:$A$400,$C937,'Promo Calendar'!$D$6:$D$400,IF($G937="","All",$G937),'Promo Calendar'!$I$6:$I$400,"&lt;="&amp;$A937,'Promo Calendar'!$J$6:$J$400,"&gt;="&amp;$A937,'Promo Calendar'!$G$6:$G$400,"&gt;0"),IF(COUNTIFS('Promo Calendar'!$A$6:$A$400,$C937,'Promo Calendar'!$D$6:$D$400,"All",'Promo Calendar'!$I$6:$I$400,"&lt;="&amp;$A937,'Promo Calendar'!$J$6:$J$400,"&gt;="&amp;$A937,'Promo Calendar'!$G$6:$G$400,"&gt;0")&gt;0,_xlfn.MINIFS('Promo Calendar'!$G$6:$G$400,'Promo Calendar'!$A$6:$A$400,$C937,'Promo Calendar'!$D$6:$D$400,"All",'Promo Calendar'!$I$6:$I$400,"&lt;="&amp;$A937,'Promo Calendar'!$J$6:$J$400,"&gt;="&amp;$A937,'Promo Calendar'!$G$6:$G$400,"&gt;0"),IFERROR(IF(INDEX('Chain Program'!$M$6:$M$120,MATCH($C937,'Chain Program'!$A$6:$A$120,0))="","Not set",INDEX('Chain Program'!$M$6:$M$120,MATCH($C937,'Chain Program'!$A$6:$A$120,0))),"Not set"))))</f>
        <v/>
      </c>
      <c r="I937" s="61" t="n"/>
      <c r="J937" s="45">
        <f>IF($I937="","",IF(NOT(ISNUMBER($H937)),"No plan price",IF(ABS($I937-$H937)&lt;0.005,"Match",IF($I937&gt;$H937,"Over plan","Under plan"))))</f>
        <v/>
      </c>
      <c r="K937" s="60" t="n"/>
      <c r="L937" s="60" t="n"/>
      <c r="M937" s="60" t="n"/>
      <c r="N937" s="60" t="n"/>
      <c r="O937" s="60" t="n"/>
      <c r="P937" s="62" t="n"/>
      <c r="Q937" s="62" t="n"/>
      <c r="R937" s="60" t="n"/>
      <c r="S937" s="59" t="n"/>
      <c r="T937" s="60" t="n"/>
      <c r="U937" s="59" t="n"/>
      <c r="V937" s="45">
        <f>IF(OR($A937="",$T937="",$T937="No Issue"),"",IF($T937="Resolved",IF($U937="","",$U937-$A937),TODAY()-$A937))</f>
        <v/>
      </c>
      <c r="W937" s="47">
        <f>IF(AND($C937&lt;&gt;"",$C937='Store History'!$C$4,OR('Store History'!$C$5="",$F937='Store History'!$C$5)),1,0)</f>
        <v/>
      </c>
      <c r="X937" s="47">
        <f>IF($W937=1,SUM($W937:$W$1005),"")</f>
        <v/>
      </c>
    </row>
    <row r="938">
      <c r="A938" s="59" t="n"/>
      <c r="B938" s="60" t="n"/>
      <c r="C938" s="60" t="n"/>
      <c r="D938" s="45">
        <f>IF($C938="","",IFERROR(INDEX('Chain Program'!$B$6:$B$120,MATCH($C938,'Chain Program'!$A$6:$A$120,0)),"Unknown ID"))</f>
        <v/>
      </c>
      <c r="E938" s="45">
        <f>IF($C938="","",IFERROR(INDEX('Chain Program'!$D$6:$D$120,MATCH($C938,'Chain Program'!$A$6:$A$120,0)),"Unknown ID"))</f>
        <v/>
      </c>
      <c r="F938" s="60" t="n"/>
      <c r="G938" s="60" t="n"/>
      <c r="H938" s="56">
        <f>IF(OR($C938="",$A938=""),"",IF(COUNTIFS('Promo Calendar'!$A$6:$A$400,$C938,'Promo Calendar'!$D$6:$D$400,IF($G938="","All",$G938),'Promo Calendar'!$I$6:$I$400,"&lt;="&amp;$A938,'Promo Calendar'!$J$6:$J$400,"&gt;="&amp;$A938,'Promo Calendar'!$G$6:$G$400,"&gt;0")&gt;0,_xlfn.MINIFS('Promo Calendar'!$G$6:$G$400,'Promo Calendar'!$A$6:$A$400,$C938,'Promo Calendar'!$D$6:$D$400,IF($G938="","All",$G938),'Promo Calendar'!$I$6:$I$400,"&lt;="&amp;$A938,'Promo Calendar'!$J$6:$J$400,"&gt;="&amp;$A938,'Promo Calendar'!$G$6:$G$400,"&gt;0"),IF(COUNTIFS('Promo Calendar'!$A$6:$A$400,$C938,'Promo Calendar'!$D$6:$D$400,"All",'Promo Calendar'!$I$6:$I$400,"&lt;="&amp;$A938,'Promo Calendar'!$J$6:$J$400,"&gt;="&amp;$A938,'Promo Calendar'!$G$6:$G$400,"&gt;0")&gt;0,_xlfn.MINIFS('Promo Calendar'!$G$6:$G$400,'Promo Calendar'!$A$6:$A$400,$C938,'Promo Calendar'!$D$6:$D$400,"All",'Promo Calendar'!$I$6:$I$400,"&lt;="&amp;$A938,'Promo Calendar'!$J$6:$J$400,"&gt;="&amp;$A938,'Promo Calendar'!$G$6:$G$400,"&gt;0"),IFERROR(IF(INDEX('Chain Program'!$M$6:$M$120,MATCH($C938,'Chain Program'!$A$6:$A$120,0))="","Not set",INDEX('Chain Program'!$M$6:$M$120,MATCH($C938,'Chain Program'!$A$6:$A$120,0))),"Not set"))))</f>
        <v/>
      </c>
      <c r="I938" s="61" t="n"/>
      <c r="J938" s="45">
        <f>IF($I938="","",IF(NOT(ISNUMBER($H938)),"No plan price",IF(ABS($I938-$H938)&lt;0.005,"Match",IF($I938&gt;$H938,"Over plan","Under plan"))))</f>
        <v/>
      </c>
      <c r="K938" s="60" t="n"/>
      <c r="L938" s="60" t="n"/>
      <c r="M938" s="60" t="n"/>
      <c r="N938" s="60" t="n"/>
      <c r="O938" s="60" t="n"/>
      <c r="P938" s="62" t="n"/>
      <c r="Q938" s="62" t="n"/>
      <c r="R938" s="60" t="n"/>
      <c r="S938" s="59" t="n"/>
      <c r="T938" s="60" t="n"/>
      <c r="U938" s="59" t="n"/>
      <c r="V938" s="45">
        <f>IF(OR($A938="",$T938="",$T938="No Issue"),"",IF($T938="Resolved",IF($U938="","",$U938-$A938),TODAY()-$A938))</f>
        <v/>
      </c>
      <c r="W938" s="47">
        <f>IF(AND($C938&lt;&gt;"",$C938='Store History'!$C$4,OR('Store History'!$C$5="",$F938='Store History'!$C$5)),1,0)</f>
        <v/>
      </c>
      <c r="X938" s="47">
        <f>IF($W938=1,SUM($W938:$W$1005),"")</f>
        <v/>
      </c>
    </row>
    <row r="939">
      <c r="A939" s="59" t="n"/>
      <c r="B939" s="60" t="n"/>
      <c r="C939" s="60" t="n"/>
      <c r="D939" s="45">
        <f>IF($C939="","",IFERROR(INDEX('Chain Program'!$B$6:$B$120,MATCH($C939,'Chain Program'!$A$6:$A$120,0)),"Unknown ID"))</f>
        <v/>
      </c>
      <c r="E939" s="45">
        <f>IF($C939="","",IFERROR(INDEX('Chain Program'!$D$6:$D$120,MATCH($C939,'Chain Program'!$A$6:$A$120,0)),"Unknown ID"))</f>
        <v/>
      </c>
      <c r="F939" s="60" t="n"/>
      <c r="G939" s="60" t="n"/>
      <c r="H939" s="56">
        <f>IF(OR($C939="",$A939=""),"",IF(COUNTIFS('Promo Calendar'!$A$6:$A$400,$C939,'Promo Calendar'!$D$6:$D$400,IF($G939="","All",$G939),'Promo Calendar'!$I$6:$I$400,"&lt;="&amp;$A939,'Promo Calendar'!$J$6:$J$400,"&gt;="&amp;$A939,'Promo Calendar'!$G$6:$G$400,"&gt;0")&gt;0,_xlfn.MINIFS('Promo Calendar'!$G$6:$G$400,'Promo Calendar'!$A$6:$A$400,$C939,'Promo Calendar'!$D$6:$D$400,IF($G939="","All",$G939),'Promo Calendar'!$I$6:$I$400,"&lt;="&amp;$A939,'Promo Calendar'!$J$6:$J$400,"&gt;="&amp;$A939,'Promo Calendar'!$G$6:$G$400,"&gt;0"),IF(COUNTIFS('Promo Calendar'!$A$6:$A$400,$C939,'Promo Calendar'!$D$6:$D$400,"All",'Promo Calendar'!$I$6:$I$400,"&lt;="&amp;$A939,'Promo Calendar'!$J$6:$J$400,"&gt;="&amp;$A939,'Promo Calendar'!$G$6:$G$400,"&gt;0")&gt;0,_xlfn.MINIFS('Promo Calendar'!$G$6:$G$400,'Promo Calendar'!$A$6:$A$400,$C939,'Promo Calendar'!$D$6:$D$400,"All",'Promo Calendar'!$I$6:$I$400,"&lt;="&amp;$A939,'Promo Calendar'!$J$6:$J$400,"&gt;="&amp;$A939,'Promo Calendar'!$G$6:$G$400,"&gt;0"),IFERROR(IF(INDEX('Chain Program'!$M$6:$M$120,MATCH($C939,'Chain Program'!$A$6:$A$120,0))="","Not set",INDEX('Chain Program'!$M$6:$M$120,MATCH($C939,'Chain Program'!$A$6:$A$120,0))),"Not set"))))</f>
        <v/>
      </c>
      <c r="I939" s="61" t="n"/>
      <c r="J939" s="45">
        <f>IF($I939="","",IF(NOT(ISNUMBER($H939)),"No plan price",IF(ABS($I939-$H939)&lt;0.005,"Match",IF($I939&gt;$H939,"Over plan","Under plan"))))</f>
        <v/>
      </c>
      <c r="K939" s="60" t="n"/>
      <c r="L939" s="60" t="n"/>
      <c r="M939" s="60" t="n"/>
      <c r="N939" s="60" t="n"/>
      <c r="O939" s="60" t="n"/>
      <c r="P939" s="62" t="n"/>
      <c r="Q939" s="62" t="n"/>
      <c r="R939" s="60" t="n"/>
      <c r="S939" s="59" t="n"/>
      <c r="T939" s="60" t="n"/>
      <c r="U939" s="59" t="n"/>
      <c r="V939" s="45">
        <f>IF(OR($A939="",$T939="",$T939="No Issue"),"",IF($T939="Resolved",IF($U939="","",$U939-$A939),TODAY()-$A939))</f>
        <v/>
      </c>
      <c r="W939" s="47">
        <f>IF(AND($C939&lt;&gt;"",$C939='Store History'!$C$4,OR('Store History'!$C$5="",$F939='Store History'!$C$5)),1,0)</f>
        <v/>
      </c>
      <c r="X939" s="47">
        <f>IF($W939=1,SUM($W939:$W$1005),"")</f>
        <v/>
      </c>
    </row>
    <row r="940">
      <c r="A940" s="59" t="n"/>
      <c r="B940" s="60" t="n"/>
      <c r="C940" s="60" t="n"/>
      <c r="D940" s="45">
        <f>IF($C940="","",IFERROR(INDEX('Chain Program'!$B$6:$B$120,MATCH($C940,'Chain Program'!$A$6:$A$120,0)),"Unknown ID"))</f>
        <v/>
      </c>
      <c r="E940" s="45">
        <f>IF($C940="","",IFERROR(INDEX('Chain Program'!$D$6:$D$120,MATCH($C940,'Chain Program'!$A$6:$A$120,0)),"Unknown ID"))</f>
        <v/>
      </c>
      <c r="F940" s="60" t="n"/>
      <c r="G940" s="60" t="n"/>
      <c r="H940" s="56">
        <f>IF(OR($C940="",$A940=""),"",IF(COUNTIFS('Promo Calendar'!$A$6:$A$400,$C940,'Promo Calendar'!$D$6:$D$400,IF($G940="","All",$G940),'Promo Calendar'!$I$6:$I$400,"&lt;="&amp;$A940,'Promo Calendar'!$J$6:$J$400,"&gt;="&amp;$A940,'Promo Calendar'!$G$6:$G$400,"&gt;0")&gt;0,_xlfn.MINIFS('Promo Calendar'!$G$6:$G$400,'Promo Calendar'!$A$6:$A$400,$C940,'Promo Calendar'!$D$6:$D$400,IF($G940="","All",$G940),'Promo Calendar'!$I$6:$I$400,"&lt;="&amp;$A940,'Promo Calendar'!$J$6:$J$400,"&gt;="&amp;$A940,'Promo Calendar'!$G$6:$G$400,"&gt;0"),IF(COUNTIFS('Promo Calendar'!$A$6:$A$400,$C940,'Promo Calendar'!$D$6:$D$400,"All",'Promo Calendar'!$I$6:$I$400,"&lt;="&amp;$A940,'Promo Calendar'!$J$6:$J$400,"&gt;="&amp;$A940,'Promo Calendar'!$G$6:$G$400,"&gt;0")&gt;0,_xlfn.MINIFS('Promo Calendar'!$G$6:$G$400,'Promo Calendar'!$A$6:$A$400,$C940,'Promo Calendar'!$D$6:$D$400,"All",'Promo Calendar'!$I$6:$I$400,"&lt;="&amp;$A940,'Promo Calendar'!$J$6:$J$400,"&gt;="&amp;$A940,'Promo Calendar'!$G$6:$G$400,"&gt;0"),IFERROR(IF(INDEX('Chain Program'!$M$6:$M$120,MATCH($C940,'Chain Program'!$A$6:$A$120,0))="","Not set",INDEX('Chain Program'!$M$6:$M$120,MATCH($C940,'Chain Program'!$A$6:$A$120,0))),"Not set"))))</f>
        <v/>
      </c>
      <c r="I940" s="61" t="n"/>
      <c r="J940" s="45">
        <f>IF($I940="","",IF(NOT(ISNUMBER($H940)),"No plan price",IF(ABS($I940-$H940)&lt;0.005,"Match",IF($I940&gt;$H940,"Over plan","Under plan"))))</f>
        <v/>
      </c>
      <c r="K940" s="60" t="n"/>
      <c r="L940" s="60" t="n"/>
      <c r="M940" s="60" t="n"/>
      <c r="N940" s="60" t="n"/>
      <c r="O940" s="60" t="n"/>
      <c r="P940" s="62" t="n"/>
      <c r="Q940" s="62" t="n"/>
      <c r="R940" s="60" t="n"/>
      <c r="S940" s="59" t="n"/>
      <c r="T940" s="60" t="n"/>
      <c r="U940" s="59" t="n"/>
      <c r="V940" s="45">
        <f>IF(OR($A940="",$T940="",$T940="No Issue"),"",IF($T940="Resolved",IF($U940="","",$U940-$A940),TODAY()-$A940))</f>
        <v/>
      </c>
      <c r="W940" s="47">
        <f>IF(AND($C940&lt;&gt;"",$C940='Store History'!$C$4,OR('Store History'!$C$5="",$F940='Store History'!$C$5)),1,0)</f>
        <v/>
      </c>
      <c r="X940" s="47">
        <f>IF($W940=1,SUM($W940:$W$1005),"")</f>
        <v/>
      </c>
    </row>
    <row r="941">
      <c r="A941" s="59" t="n"/>
      <c r="B941" s="60" t="n"/>
      <c r="C941" s="60" t="n"/>
      <c r="D941" s="45">
        <f>IF($C941="","",IFERROR(INDEX('Chain Program'!$B$6:$B$120,MATCH($C941,'Chain Program'!$A$6:$A$120,0)),"Unknown ID"))</f>
        <v/>
      </c>
      <c r="E941" s="45">
        <f>IF($C941="","",IFERROR(INDEX('Chain Program'!$D$6:$D$120,MATCH($C941,'Chain Program'!$A$6:$A$120,0)),"Unknown ID"))</f>
        <v/>
      </c>
      <c r="F941" s="60" t="n"/>
      <c r="G941" s="60" t="n"/>
      <c r="H941" s="56">
        <f>IF(OR($C941="",$A941=""),"",IF(COUNTIFS('Promo Calendar'!$A$6:$A$400,$C941,'Promo Calendar'!$D$6:$D$400,IF($G941="","All",$G941),'Promo Calendar'!$I$6:$I$400,"&lt;="&amp;$A941,'Promo Calendar'!$J$6:$J$400,"&gt;="&amp;$A941,'Promo Calendar'!$G$6:$G$400,"&gt;0")&gt;0,_xlfn.MINIFS('Promo Calendar'!$G$6:$G$400,'Promo Calendar'!$A$6:$A$400,$C941,'Promo Calendar'!$D$6:$D$400,IF($G941="","All",$G941),'Promo Calendar'!$I$6:$I$400,"&lt;="&amp;$A941,'Promo Calendar'!$J$6:$J$400,"&gt;="&amp;$A941,'Promo Calendar'!$G$6:$G$400,"&gt;0"),IF(COUNTIFS('Promo Calendar'!$A$6:$A$400,$C941,'Promo Calendar'!$D$6:$D$400,"All",'Promo Calendar'!$I$6:$I$400,"&lt;="&amp;$A941,'Promo Calendar'!$J$6:$J$400,"&gt;="&amp;$A941,'Promo Calendar'!$G$6:$G$400,"&gt;0")&gt;0,_xlfn.MINIFS('Promo Calendar'!$G$6:$G$400,'Promo Calendar'!$A$6:$A$400,$C941,'Promo Calendar'!$D$6:$D$400,"All",'Promo Calendar'!$I$6:$I$400,"&lt;="&amp;$A941,'Promo Calendar'!$J$6:$J$400,"&gt;="&amp;$A941,'Promo Calendar'!$G$6:$G$400,"&gt;0"),IFERROR(IF(INDEX('Chain Program'!$M$6:$M$120,MATCH($C941,'Chain Program'!$A$6:$A$120,0))="","Not set",INDEX('Chain Program'!$M$6:$M$120,MATCH($C941,'Chain Program'!$A$6:$A$120,0))),"Not set"))))</f>
        <v/>
      </c>
      <c r="I941" s="61" t="n"/>
      <c r="J941" s="45">
        <f>IF($I941="","",IF(NOT(ISNUMBER($H941)),"No plan price",IF(ABS($I941-$H941)&lt;0.005,"Match",IF($I941&gt;$H941,"Over plan","Under plan"))))</f>
        <v/>
      </c>
      <c r="K941" s="60" t="n"/>
      <c r="L941" s="60" t="n"/>
      <c r="M941" s="60" t="n"/>
      <c r="N941" s="60" t="n"/>
      <c r="O941" s="60" t="n"/>
      <c r="P941" s="62" t="n"/>
      <c r="Q941" s="62" t="n"/>
      <c r="R941" s="60" t="n"/>
      <c r="S941" s="59" t="n"/>
      <c r="T941" s="60" t="n"/>
      <c r="U941" s="59" t="n"/>
      <c r="V941" s="45">
        <f>IF(OR($A941="",$T941="",$T941="No Issue"),"",IF($T941="Resolved",IF($U941="","",$U941-$A941),TODAY()-$A941))</f>
        <v/>
      </c>
      <c r="W941" s="47">
        <f>IF(AND($C941&lt;&gt;"",$C941='Store History'!$C$4,OR('Store History'!$C$5="",$F941='Store History'!$C$5)),1,0)</f>
        <v/>
      </c>
      <c r="X941" s="47">
        <f>IF($W941=1,SUM($W941:$W$1005),"")</f>
        <v/>
      </c>
    </row>
    <row r="942">
      <c r="A942" s="59" t="n"/>
      <c r="B942" s="60" t="n"/>
      <c r="C942" s="60" t="n"/>
      <c r="D942" s="45">
        <f>IF($C942="","",IFERROR(INDEX('Chain Program'!$B$6:$B$120,MATCH($C942,'Chain Program'!$A$6:$A$120,0)),"Unknown ID"))</f>
        <v/>
      </c>
      <c r="E942" s="45">
        <f>IF($C942="","",IFERROR(INDEX('Chain Program'!$D$6:$D$120,MATCH($C942,'Chain Program'!$A$6:$A$120,0)),"Unknown ID"))</f>
        <v/>
      </c>
      <c r="F942" s="60" t="n"/>
      <c r="G942" s="60" t="n"/>
      <c r="H942" s="56">
        <f>IF(OR($C942="",$A942=""),"",IF(COUNTIFS('Promo Calendar'!$A$6:$A$400,$C942,'Promo Calendar'!$D$6:$D$400,IF($G942="","All",$G942),'Promo Calendar'!$I$6:$I$400,"&lt;="&amp;$A942,'Promo Calendar'!$J$6:$J$400,"&gt;="&amp;$A942,'Promo Calendar'!$G$6:$G$400,"&gt;0")&gt;0,_xlfn.MINIFS('Promo Calendar'!$G$6:$G$400,'Promo Calendar'!$A$6:$A$400,$C942,'Promo Calendar'!$D$6:$D$400,IF($G942="","All",$G942),'Promo Calendar'!$I$6:$I$400,"&lt;="&amp;$A942,'Promo Calendar'!$J$6:$J$400,"&gt;="&amp;$A942,'Promo Calendar'!$G$6:$G$400,"&gt;0"),IF(COUNTIFS('Promo Calendar'!$A$6:$A$400,$C942,'Promo Calendar'!$D$6:$D$400,"All",'Promo Calendar'!$I$6:$I$400,"&lt;="&amp;$A942,'Promo Calendar'!$J$6:$J$400,"&gt;="&amp;$A942,'Promo Calendar'!$G$6:$G$400,"&gt;0")&gt;0,_xlfn.MINIFS('Promo Calendar'!$G$6:$G$400,'Promo Calendar'!$A$6:$A$400,$C942,'Promo Calendar'!$D$6:$D$400,"All",'Promo Calendar'!$I$6:$I$400,"&lt;="&amp;$A942,'Promo Calendar'!$J$6:$J$400,"&gt;="&amp;$A942,'Promo Calendar'!$G$6:$G$400,"&gt;0"),IFERROR(IF(INDEX('Chain Program'!$M$6:$M$120,MATCH($C942,'Chain Program'!$A$6:$A$120,0))="","Not set",INDEX('Chain Program'!$M$6:$M$120,MATCH($C942,'Chain Program'!$A$6:$A$120,0))),"Not set"))))</f>
        <v/>
      </c>
      <c r="I942" s="61" t="n"/>
      <c r="J942" s="45">
        <f>IF($I942="","",IF(NOT(ISNUMBER($H942)),"No plan price",IF(ABS($I942-$H942)&lt;0.005,"Match",IF($I942&gt;$H942,"Over plan","Under plan"))))</f>
        <v/>
      </c>
      <c r="K942" s="60" t="n"/>
      <c r="L942" s="60" t="n"/>
      <c r="M942" s="60" t="n"/>
      <c r="N942" s="60" t="n"/>
      <c r="O942" s="60" t="n"/>
      <c r="P942" s="62" t="n"/>
      <c r="Q942" s="62" t="n"/>
      <c r="R942" s="60" t="n"/>
      <c r="S942" s="59" t="n"/>
      <c r="T942" s="60" t="n"/>
      <c r="U942" s="59" t="n"/>
      <c r="V942" s="45">
        <f>IF(OR($A942="",$T942="",$T942="No Issue"),"",IF($T942="Resolved",IF($U942="","",$U942-$A942),TODAY()-$A942))</f>
        <v/>
      </c>
      <c r="W942" s="47">
        <f>IF(AND($C942&lt;&gt;"",$C942='Store History'!$C$4,OR('Store History'!$C$5="",$F942='Store History'!$C$5)),1,0)</f>
        <v/>
      </c>
      <c r="X942" s="47">
        <f>IF($W942=1,SUM($W942:$W$1005),"")</f>
        <v/>
      </c>
    </row>
    <row r="943">
      <c r="A943" s="59" t="n"/>
      <c r="B943" s="60" t="n"/>
      <c r="C943" s="60" t="n"/>
      <c r="D943" s="45">
        <f>IF($C943="","",IFERROR(INDEX('Chain Program'!$B$6:$B$120,MATCH($C943,'Chain Program'!$A$6:$A$120,0)),"Unknown ID"))</f>
        <v/>
      </c>
      <c r="E943" s="45">
        <f>IF($C943="","",IFERROR(INDEX('Chain Program'!$D$6:$D$120,MATCH($C943,'Chain Program'!$A$6:$A$120,0)),"Unknown ID"))</f>
        <v/>
      </c>
      <c r="F943" s="60" t="n"/>
      <c r="G943" s="60" t="n"/>
      <c r="H943" s="56">
        <f>IF(OR($C943="",$A943=""),"",IF(COUNTIFS('Promo Calendar'!$A$6:$A$400,$C943,'Promo Calendar'!$D$6:$D$400,IF($G943="","All",$G943),'Promo Calendar'!$I$6:$I$400,"&lt;="&amp;$A943,'Promo Calendar'!$J$6:$J$400,"&gt;="&amp;$A943,'Promo Calendar'!$G$6:$G$400,"&gt;0")&gt;0,_xlfn.MINIFS('Promo Calendar'!$G$6:$G$400,'Promo Calendar'!$A$6:$A$400,$C943,'Promo Calendar'!$D$6:$D$400,IF($G943="","All",$G943),'Promo Calendar'!$I$6:$I$400,"&lt;="&amp;$A943,'Promo Calendar'!$J$6:$J$400,"&gt;="&amp;$A943,'Promo Calendar'!$G$6:$G$400,"&gt;0"),IF(COUNTIFS('Promo Calendar'!$A$6:$A$400,$C943,'Promo Calendar'!$D$6:$D$400,"All",'Promo Calendar'!$I$6:$I$400,"&lt;="&amp;$A943,'Promo Calendar'!$J$6:$J$400,"&gt;="&amp;$A943,'Promo Calendar'!$G$6:$G$400,"&gt;0")&gt;0,_xlfn.MINIFS('Promo Calendar'!$G$6:$G$400,'Promo Calendar'!$A$6:$A$400,$C943,'Promo Calendar'!$D$6:$D$400,"All",'Promo Calendar'!$I$6:$I$400,"&lt;="&amp;$A943,'Promo Calendar'!$J$6:$J$400,"&gt;="&amp;$A943,'Promo Calendar'!$G$6:$G$400,"&gt;0"),IFERROR(IF(INDEX('Chain Program'!$M$6:$M$120,MATCH($C943,'Chain Program'!$A$6:$A$120,0))="","Not set",INDEX('Chain Program'!$M$6:$M$120,MATCH($C943,'Chain Program'!$A$6:$A$120,0))),"Not set"))))</f>
        <v/>
      </c>
      <c r="I943" s="61" t="n"/>
      <c r="J943" s="45">
        <f>IF($I943="","",IF(NOT(ISNUMBER($H943)),"No plan price",IF(ABS($I943-$H943)&lt;0.005,"Match",IF($I943&gt;$H943,"Over plan","Under plan"))))</f>
        <v/>
      </c>
      <c r="K943" s="60" t="n"/>
      <c r="L943" s="60" t="n"/>
      <c r="M943" s="60" t="n"/>
      <c r="N943" s="60" t="n"/>
      <c r="O943" s="60" t="n"/>
      <c r="P943" s="62" t="n"/>
      <c r="Q943" s="62" t="n"/>
      <c r="R943" s="60" t="n"/>
      <c r="S943" s="59" t="n"/>
      <c r="T943" s="60" t="n"/>
      <c r="U943" s="59" t="n"/>
      <c r="V943" s="45">
        <f>IF(OR($A943="",$T943="",$T943="No Issue"),"",IF($T943="Resolved",IF($U943="","",$U943-$A943),TODAY()-$A943))</f>
        <v/>
      </c>
      <c r="W943" s="47">
        <f>IF(AND($C943&lt;&gt;"",$C943='Store History'!$C$4,OR('Store History'!$C$5="",$F943='Store History'!$C$5)),1,0)</f>
        <v/>
      </c>
      <c r="X943" s="47">
        <f>IF($W943=1,SUM($W943:$W$1005),"")</f>
        <v/>
      </c>
    </row>
    <row r="944">
      <c r="A944" s="59" t="n"/>
      <c r="B944" s="60" t="n"/>
      <c r="C944" s="60" t="n"/>
      <c r="D944" s="45">
        <f>IF($C944="","",IFERROR(INDEX('Chain Program'!$B$6:$B$120,MATCH($C944,'Chain Program'!$A$6:$A$120,0)),"Unknown ID"))</f>
        <v/>
      </c>
      <c r="E944" s="45">
        <f>IF($C944="","",IFERROR(INDEX('Chain Program'!$D$6:$D$120,MATCH($C944,'Chain Program'!$A$6:$A$120,0)),"Unknown ID"))</f>
        <v/>
      </c>
      <c r="F944" s="60" t="n"/>
      <c r="G944" s="60" t="n"/>
      <c r="H944" s="56">
        <f>IF(OR($C944="",$A944=""),"",IF(COUNTIFS('Promo Calendar'!$A$6:$A$400,$C944,'Promo Calendar'!$D$6:$D$400,IF($G944="","All",$G944),'Promo Calendar'!$I$6:$I$400,"&lt;="&amp;$A944,'Promo Calendar'!$J$6:$J$400,"&gt;="&amp;$A944,'Promo Calendar'!$G$6:$G$400,"&gt;0")&gt;0,_xlfn.MINIFS('Promo Calendar'!$G$6:$G$400,'Promo Calendar'!$A$6:$A$400,$C944,'Promo Calendar'!$D$6:$D$400,IF($G944="","All",$G944),'Promo Calendar'!$I$6:$I$400,"&lt;="&amp;$A944,'Promo Calendar'!$J$6:$J$400,"&gt;="&amp;$A944,'Promo Calendar'!$G$6:$G$400,"&gt;0"),IF(COUNTIFS('Promo Calendar'!$A$6:$A$400,$C944,'Promo Calendar'!$D$6:$D$400,"All",'Promo Calendar'!$I$6:$I$400,"&lt;="&amp;$A944,'Promo Calendar'!$J$6:$J$400,"&gt;="&amp;$A944,'Promo Calendar'!$G$6:$G$400,"&gt;0")&gt;0,_xlfn.MINIFS('Promo Calendar'!$G$6:$G$400,'Promo Calendar'!$A$6:$A$400,$C944,'Promo Calendar'!$D$6:$D$400,"All",'Promo Calendar'!$I$6:$I$400,"&lt;="&amp;$A944,'Promo Calendar'!$J$6:$J$400,"&gt;="&amp;$A944,'Promo Calendar'!$G$6:$G$400,"&gt;0"),IFERROR(IF(INDEX('Chain Program'!$M$6:$M$120,MATCH($C944,'Chain Program'!$A$6:$A$120,0))="","Not set",INDEX('Chain Program'!$M$6:$M$120,MATCH($C944,'Chain Program'!$A$6:$A$120,0))),"Not set"))))</f>
        <v/>
      </c>
      <c r="I944" s="61" t="n"/>
      <c r="J944" s="45">
        <f>IF($I944="","",IF(NOT(ISNUMBER($H944)),"No plan price",IF(ABS($I944-$H944)&lt;0.005,"Match",IF($I944&gt;$H944,"Over plan","Under plan"))))</f>
        <v/>
      </c>
      <c r="K944" s="60" t="n"/>
      <c r="L944" s="60" t="n"/>
      <c r="M944" s="60" t="n"/>
      <c r="N944" s="60" t="n"/>
      <c r="O944" s="60" t="n"/>
      <c r="P944" s="62" t="n"/>
      <c r="Q944" s="62" t="n"/>
      <c r="R944" s="60" t="n"/>
      <c r="S944" s="59" t="n"/>
      <c r="T944" s="60" t="n"/>
      <c r="U944" s="59" t="n"/>
      <c r="V944" s="45">
        <f>IF(OR($A944="",$T944="",$T944="No Issue"),"",IF($T944="Resolved",IF($U944="","",$U944-$A944),TODAY()-$A944))</f>
        <v/>
      </c>
      <c r="W944" s="47">
        <f>IF(AND($C944&lt;&gt;"",$C944='Store History'!$C$4,OR('Store History'!$C$5="",$F944='Store History'!$C$5)),1,0)</f>
        <v/>
      </c>
      <c r="X944" s="47">
        <f>IF($W944=1,SUM($W944:$W$1005),"")</f>
        <v/>
      </c>
    </row>
    <row r="945">
      <c r="A945" s="59" t="n"/>
      <c r="B945" s="60" t="n"/>
      <c r="C945" s="60" t="n"/>
      <c r="D945" s="45">
        <f>IF($C945="","",IFERROR(INDEX('Chain Program'!$B$6:$B$120,MATCH($C945,'Chain Program'!$A$6:$A$120,0)),"Unknown ID"))</f>
        <v/>
      </c>
      <c r="E945" s="45">
        <f>IF($C945="","",IFERROR(INDEX('Chain Program'!$D$6:$D$120,MATCH($C945,'Chain Program'!$A$6:$A$120,0)),"Unknown ID"))</f>
        <v/>
      </c>
      <c r="F945" s="60" t="n"/>
      <c r="G945" s="60" t="n"/>
      <c r="H945" s="56">
        <f>IF(OR($C945="",$A945=""),"",IF(COUNTIFS('Promo Calendar'!$A$6:$A$400,$C945,'Promo Calendar'!$D$6:$D$400,IF($G945="","All",$G945),'Promo Calendar'!$I$6:$I$400,"&lt;="&amp;$A945,'Promo Calendar'!$J$6:$J$400,"&gt;="&amp;$A945,'Promo Calendar'!$G$6:$G$400,"&gt;0")&gt;0,_xlfn.MINIFS('Promo Calendar'!$G$6:$G$400,'Promo Calendar'!$A$6:$A$400,$C945,'Promo Calendar'!$D$6:$D$400,IF($G945="","All",$G945),'Promo Calendar'!$I$6:$I$400,"&lt;="&amp;$A945,'Promo Calendar'!$J$6:$J$400,"&gt;="&amp;$A945,'Promo Calendar'!$G$6:$G$400,"&gt;0"),IF(COUNTIFS('Promo Calendar'!$A$6:$A$400,$C945,'Promo Calendar'!$D$6:$D$400,"All",'Promo Calendar'!$I$6:$I$400,"&lt;="&amp;$A945,'Promo Calendar'!$J$6:$J$400,"&gt;="&amp;$A945,'Promo Calendar'!$G$6:$G$400,"&gt;0")&gt;0,_xlfn.MINIFS('Promo Calendar'!$G$6:$G$400,'Promo Calendar'!$A$6:$A$400,$C945,'Promo Calendar'!$D$6:$D$400,"All",'Promo Calendar'!$I$6:$I$400,"&lt;="&amp;$A945,'Promo Calendar'!$J$6:$J$400,"&gt;="&amp;$A945,'Promo Calendar'!$G$6:$G$400,"&gt;0"),IFERROR(IF(INDEX('Chain Program'!$M$6:$M$120,MATCH($C945,'Chain Program'!$A$6:$A$120,0))="","Not set",INDEX('Chain Program'!$M$6:$M$120,MATCH($C945,'Chain Program'!$A$6:$A$120,0))),"Not set"))))</f>
        <v/>
      </c>
      <c r="I945" s="61" t="n"/>
      <c r="J945" s="45">
        <f>IF($I945="","",IF(NOT(ISNUMBER($H945)),"No plan price",IF(ABS($I945-$H945)&lt;0.005,"Match",IF($I945&gt;$H945,"Over plan","Under plan"))))</f>
        <v/>
      </c>
      <c r="K945" s="60" t="n"/>
      <c r="L945" s="60" t="n"/>
      <c r="M945" s="60" t="n"/>
      <c r="N945" s="60" t="n"/>
      <c r="O945" s="60" t="n"/>
      <c r="P945" s="62" t="n"/>
      <c r="Q945" s="62" t="n"/>
      <c r="R945" s="60" t="n"/>
      <c r="S945" s="59" t="n"/>
      <c r="T945" s="60" t="n"/>
      <c r="U945" s="59" t="n"/>
      <c r="V945" s="45">
        <f>IF(OR($A945="",$T945="",$T945="No Issue"),"",IF($T945="Resolved",IF($U945="","",$U945-$A945),TODAY()-$A945))</f>
        <v/>
      </c>
      <c r="W945" s="47">
        <f>IF(AND($C945&lt;&gt;"",$C945='Store History'!$C$4,OR('Store History'!$C$5="",$F945='Store History'!$C$5)),1,0)</f>
        <v/>
      </c>
      <c r="X945" s="47">
        <f>IF($W945=1,SUM($W945:$W$1005),"")</f>
        <v/>
      </c>
    </row>
    <row r="946">
      <c r="A946" s="59" t="n"/>
      <c r="B946" s="60" t="n"/>
      <c r="C946" s="60" t="n"/>
      <c r="D946" s="45">
        <f>IF($C946="","",IFERROR(INDEX('Chain Program'!$B$6:$B$120,MATCH($C946,'Chain Program'!$A$6:$A$120,0)),"Unknown ID"))</f>
        <v/>
      </c>
      <c r="E946" s="45">
        <f>IF($C946="","",IFERROR(INDEX('Chain Program'!$D$6:$D$120,MATCH($C946,'Chain Program'!$A$6:$A$120,0)),"Unknown ID"))</f>
        <v/>
      </c>
      <c r="F946" s="60" t="n"/>
      <c r="G946" s="60" t="n"/>
      <c r="H946" s="56">
        <f>IF(OR($C946="",$A946=""),"",IF(COUNTIFS('Promo Calendar'!$A$6:$A$400,$C946,'Promo Calendar'!$D$6:$D$400,IF($G946="","All",$G946),'Promo Calendar'!$I$6:$I$400,"&lt;="&amp;$A946,'Promo Calendar'!$J$6:$J$400,"&gt;="&amp;$A946,'Promo Calendar'!$G$6:$G$400,"&gt;0")&gt;0,_xlfn.MINIFS('Promo Calendar'!$G$6:$G$400,'Promo Calendar'!$A$6:$A$400,$C946,'Promo Calendar'!$D$6:$D$400,IF($G946="","All",$G946),'Promo Calendar'!$I$6:$I$400,"&lt;="&amp;$A946,'Promo Calendar'!$J$6:$J$400,"&gt;="&amp;$A946,'Promo Calendar'!$G$6:$G$400,"&gt;0"),IF(COUNTIFS('Promo Calendar'!$A$6:$A$400,$C946,'Promo Calendar'!$D$6:$D$400,"All",'Promo Calendar'!$I$6:$I$400,"&lt;="&amp;$A946,'Promo Calendar'!$J$6:$J$400,"&gt;="&amp;$A946,'Promo Calendar'!$G$6:$G$400,"&gt;0")&gt;0,_xlfn.MINIFS('Promo Calendar'!$G$6:$G$400,'Promo Calendar'!$A$6:$A$400,$C946,'Promo Calendar'!$D$6:$D$400,"All",'Promo Calendar'!$I$6:$I$400,"&lt;="&amp;$A946,'Promo Calendar'!$J$6:$J$400,"&gt;="&amp;$A946,'Promo Calendar'!$G$6:$G$400,"&gt;0"),IFERROR(IF(INDEX('Chain Program'!$M$6:$M$120,MATCH($C946,'Chain Program'!$A$6:$A$120,0))="","Not set",INDEX('Chain Program'!$M$6:$M$120,MATCH($C946,'Chain Program'!$A$6:$A$120,0))),"Not set"))))</f>
        <v/>
      </c>
      <c r="I946" s="61" t="n"/>
      <c r="J946" s="45">
        <f>IF($I946="","",IF(NOT(ISNUMBER($H946)),"No plan price",IF(ABS($I946-$H946)&lt;0.005,"Match",IF($I946&gt;$H946,"Over plan","Under plan"))))</f>
        <v/>
      </c>
      <c r="K946" s="60" t="n"/>
      <c r="L946" s="60" t="n"/>
      <c r="M946" s="60" t="n"/>
      <c r="N946" s="60" t="n"/>
      <c r="O946" s="60" t="n"/>
      <c r="P946" s="62" t="n"/>
      <c r="Q946" s="62" t="n"/>
      <c r="R946" s="60" t="n"/>
      <c r="S946" s="59" t="n"/>
      <c r="T946" s="60" t="n"/>
      <c r="U946" s="59" t="n"/>
      <c r="V946" s="45">
        <f>IF(OR($A946="",$T946="",$T946="No Issue"),"",IF($T946="Resolved",IF($U946="","",$U946-$A946),TODAY()-$A946))</f>
        <v/>
      </c>
      <c r="W946" s="47">
        <f>IF(AND($C946&lt;&gt;"",$C946='Store History'!$C$4,OR('Store History'!$C$5="",$F946='Store History'!$C$5)),1,0)</f>
        <v/>
      </c>
      <c r="X946" s="47">
        <f>IF($W946=1,SUM($W946:$W$1005),"")</f>
        <v/>
      </c>
    </row>
    <row r="947">
      <c r="A947" s="59" t="n"/>
      <c r="B947" s="60" t="n"/>
      <c r="C947" s="60" t="n"/>
      <c r="D947" s="45">
        <f>IF($C947="","",IFERROR(INDEX('Chain Program'!$B$6:$B$120,MATCH($C947,'Chain Program'!$A$6:$A$120,0)),"Unknown ID"))</f>
        <v/>
      </c>
      <c r="E947" s="45">
        <f>IF($C947="","",IFERROR(INDEX('Chain Program'!$D$6:$D$120,MATCH($C947,'Chain Program'!$A$6:$A$120,0)),"Unknown ID"))</f>
        <v/>
      </c>
      <c r="F947" s="60" t="n"/>
      <c r="G947" s="60" t="n"/>
      <c r="H947" s="56">
        <f>IF(OR($C947="",$A947=""),"",IF(COUNTIFS('Promo Calendar'!$A$6:$A$400,$C947,'Promo Calendar'!$D$6:$D$400,IF($G947="","All",$G947),'Promo Calendar'!$I$6:$I$400,"&lt;="&amp;$A947,'Promo Calendar'!$J$6:$J$400,"&gt;="&amp;$A947,'Promo Calendar'!$G$6:$G$400,"&gt;0")&gt;0,_xlfn.MINIFS('Promo Calendar'!$G$6:$G$400,'Promo Calendar'!$A$6:$A$400,$C947,'Promo Calendar'!$D$6:$D$400,IF($G947="","All",$G947),'Promo Calendar'!$I$6:$I$400,"&lt;="&amp;$A947,'Promo Calendar'!$J$6:$J$400,"&gt;="&amp;$A947,'Promo Calendar'!$G$6:$G$400,"&gt;0"),IF(COUNTIFS('Promo Calendar'!$A$6:$A$400,$C947,'Promo Calendar'!$D$6:$D$400,"All",'Promo Calendar'!$I$6:$I$400,"&lt;="&amp;$A947,'Promo Calendar'!$J$6:$J$400,"&gt;="&amp;$A947,'Promo Calendar'!$G$6:$G$400,"&gt;0")&gt;0,_xlfn.MINIFS('Promo Calendar'!$G$6:$G$400,'Promo Calendar'!$A$6:$A$400,$C947,'Promo Calendar'!$D$6:$D$400,"All",'Promo Calendar'!$I$6:$I$400,"&lt;="&amp;$A947,'Promo Calendar'!$J$6:$J$400,"&gt;="&amp;$A947,'Promo Calendar'!$G$6:$G$400,"&gt;0"),IFERROR(IF(INDEX('Chain Program'!$M$6:$M$120,MATCH($C947,'Chain Program'!$A$6:$A$120,0))="","Not set",INDEX('Chain Program'!$M$6:$M$120,MATCH($C947,'Chain Program'!$A$6:$A$120,0))),"Not set"))))</f>
        <v/>
      </c>
      <c r="I947" s="61" t="n"/>
      <c r="J947" s="45">
        <f>IF($I947="","",IF(NOT(ISNUMBER($H947)),"No plan price",IF(ABS($I947-$H947)&lt;0.005,"Match",IF($I947&gt;$H947,"Over plan","Under plan"))))</f>
        <v/>
      </c>
      <c r="K947" s="60" t="n"/>
      <c r="L947" s="60" t="n"/>
      <c r="M947" s="60" t="n"/>
      <c r="N947" s="60" t="n"/>
      <c r="O947" s="60" t="n"/>
      <c r="P947" s="62" t="n"/>
      <c r="Q947" s="62" t="n"/>
      <c r="R947" s="60" t="n"/>
      <c r="S947" s="59" t="n"/>
      <c r="T947" s="60" t="n"/>
      <c r="U947" s="59" t="n"/>
      <c r="V947" s="45">
        <f>IF(OR($A947="",$T947="",$T947="No Issue"),"",IF($T947="Resolved",IF($U947="","",$U947-$A947),TODAY()-$A947))</f>
        <v/>
      </c>
      <c r="W947" s="47">
        <f>IF(AND($C947&lt;&gt;"",$C947='Store History'!$C$4,OR('Store History'!$C$5="",$F947='Store History'!$C$5)),1,0)</f>
        <v/>
      </c>
      <c r="X947" s="47">
        <f>IF($W947=1,SUM($W947:$W$1005),"")</f>
        <v/>
      </c>
    </row>
    <row r="948">
      <c r="A948" s="59" t="n"/>
      <c r="B948" s="60" t="n"/>
      <c r="C948" s="60" t="n"/>
      <c r="D948" s="45">
        <f>IF($C948="","",IFERROR(INDEX('Chain Program'!$B$6:$B$120,MATCH($C948,'Chain Program'!$A$6:$A$120,0)),"Unknown ID"))</f>
        <v/>
      </c>
      <c r="E948" s="45">
        <f>IF($C948="","",IFERROR(INDEX('Chain Program'!$D$6:$D$120,MATCH($C948,'Chain Program'!$A$6:$A$120,0)),"Unknown ID"))</f>
        <v/>
      </c>
      <c r="F948" s="60" t="n"/>
      <c r="G948" s="60" t="n"/>
      <c r="H948" s="56">
        <f>IF(OR($C948="",$A948=""),"",IF(COUNTIFS('Promo Calendar'!$A$6:$A$400,$C948,'Promo Calendar'!$D$6:$D$400,IF($G948="","All",$G948),'Promo Calendar'!$I$6:$I$400,"&lt;="&amp;$A948,'Promo Calendar'!$J$6:$J$400,"&gt;="&amp;$A948,'Promo Calendar'!$G$6:$G$400,"&gt;0")&gt;0,_xlfn.MINIFS('Promo Calendar'!$G$6:$G$400,'Promo Calendar'!$A$6:$A$400,$C948,'Promo Calendar'!$D$6:$D$400,IF($G948="","All",$G948),'Promo Calendar'!$I$6:$I$400,"&lt;="&amp;$A948,'Promo Calendar'!$J$6:$J$400,"&gt;="&amp;$A948,'Promo Calendar'!$G$6:$G$400,"&gt;0"),IF(COUNTIFS('Promo Calendar'!$A$6:$A$400,$C948,'Promo Calendar'!$D$6:$D$400,"All",'Promo Calendar'!$I$6:$I$400,"&lt;="&amp;$A948,'Promo Calendar'!$J$6:$J$400,"&gt;="&amp;$A948,'Promo Calendar'!$G$6:$G$400,"&gt;0")&gt;0,_xlfn.MINIFS('Promo Calendar'!$G$6:$G$400,'Promo Calendar'!$A$6:$A$400,$C948,'Promo Calendar'!$D$6:$D$400,"All",'Promo Calendar'!$I$6:$I$400,"&lt;="&amp;$A948,'Promo Calendar'!$J$6:$J$400,"&gt;="&amp;$A948,'Promo Calendar'!$G$6:$G$400,"&gt;0"),IFERROR(IF(INDEX('Chain Program'!$M$6:$M$120,MATCH($C948,'Chain Program'!$A$6:$A$120,0))="","Not set",INDEX('Chain Program'!$M$6:$M$120,MATCH($C948,'Chain Program'!$A$6:$A$120,0))),"Not set"))))</f>
        <v/>
      </c>
      <c r="I948" s="61" t="n"/>
      <c r="J948" s="45">
        <f>IF($I948="","",IF(NOT(ISNUMBER($H948)),"No plan price",IF(ABS($I948-$H948)&lt;0.005,"Match",IF($I948&gt;$H948,"Over plan","Under plan"))))</f>
        <v/>
      </c>
      <c r="K948" s="60" t="n"/>
      <c r="L948" s="60" t="n"/>
      <c r="M948" s="60" t="n"/>
      <c r="N948" s="60" t="n"/>
      <c r="O948" s="60" t="n"/>
      <c r="P948" s="62" t="n"/>
      <c r="Q948" s="62" t="n"/>
      <c r="R948" s="60" t="n"/>
      <c r="S948" s="59" t="n"/>
      <c r="T948" s="60" t="n"/>
      <c r="U948" s="59" t="n"/>
      <c r="V948" s="45">
        <f>IF(OR($A948="",$T948="",$T948="No Issue"),"",IF($T948="Resolved",IF($U948="","",$U948-$A948),TODAY()-$A948))</f>
        <v/>
      </c>
      <c r="W948" s="47">
        <f>IF(AND($C948&lt;&gt;"",$C948='Store History'!$C$4,OR('Store History'!$C$5="",$F948='Store History'!$C$5)),1,0)</f>
        <v/>
      </c>
      <c r="X948" s="47">
        <f>IF($W948=1,SUM($W948:$W$1005),"")</f>
        <v/>
      </c>
    </row>
    <row r="949">
      <c r="A949" s="59" t="n"/>
      <c r="B949" s="60" t="n"/>
      <c r="C949" s="60" t="n"/>
      <c r="D949" s="45">
        <f>IF($C949="","",IFERROR(INDEX('Chain Program'!$B$6:$B$120,MATCH($C949,'Chain Program'!$A$6:$A$120,0)),"Unknown ID"))</f>
        <v/>
      </c>
      <c r="E949" s="45">
        <f>IF($C949="","",IFERROR(INDEX('Chain Program'!$D$6:$D$120,MATCH($C949,'Chain Program'!$A$6:$A$120,0)),"Unknown ID"))</f>
        <v/>
      </c>
      <c r="F949" s="60" t="n"/>
      <c r="G949" s="60" t="n"/>
      <c r="H949" s="56">
        <f>IF(OR($C949="",$A949=""),"",IF(COUNTIFS('Promo Calendar'!$A$6:$A$400,$C949,'Promo Calendar'!$D$6:$D$400,IF($G949="","All",$G949),'Promo Calendar'!$I$6:$I$400,"&lt;="&amp;$A949,'Promo Calendar'!$J$6:$J$400,"&gt;="&amp;$A949,'Promo Calendar'!$G$6:$G$400,"&gt;0")&gt;0,_xlfn.MINIFS('Promo Calendar'!$G$6:$G$400,'Promo Calendar'!$A$6:$A$400,$C949,'Promo Calendar'!$D$6:$D$400,IF($G949="","All",$G949),'Promo Calendar'!$I$6:$I$400,"&lt;="&amp;$A949,'Promo Calendar'!$J$6:$J$400,"&gt;="&amp;$A949,'Promo Calendar'!$G$6:$G$400,"&gt;0"),IF(COUNTIFS('Promo Calendar'!$A$6:$A$400,$C949,'Promo Calendar'!$D$6:$D$400,"All",'Promo Calendar'!$I$6:$I$400,"&lt;="&amp;$A949,'Promo Calendar'!$J$6:$J$400,"&gt;="&amp;$A949,'Promo Calendar'!$G$6:$G$400,"&gt;0")&gt;0,_xlfn.MINIFS('Promo Calendar'!$G$6:$G$400,'Promo Calendar'!$A$6:$A$400,$C949,'Promo Calendar'!$D$6:$D$400,"All",'Promo Calendar'!$I$6:$I$400,"&lt;="&amp;$A949,'Promo Calendar'!$J$6:$J$400,"&gt;="&amp;$A949,'Promo Calendar'!$G$6:$G$400,"&gt;0"),IFERROR(IF(INDEX('Chain Program'!$M$6:$M$120,MATCH($C949,'Chain Program'!$A$6:$A$120,0))="","Not set",INDEX('Chain Program'!$M$6:$M$120,MATCH($C949,'Chain Program'!$A$6:$A$120,0))),"Not set"))))</f>
        <v/>
      </c>
      <c r="I949" s="61" t="n"/>
      <c r="J949" s="45">
        <f>IF($I949="","",IF(NOT(ISNUMBER($H949)),"No plan price",IF(ABS($I949-$H949)&lt;0.005,"Match",IF($I949&gt;$H949,"Over plan","Under plan"))))</f>
        <v/>
      </c>
      <c r="K949" s="60" t="n"/>
      <c r="L949" s="60" t="n"/>
      <c r="M949" s="60" t="n"/>
      <c r="N949" s="60" t="n"/>
      <c r="O949" s="60" t="n"/>
      <c r="P949" s="62" t="n"/>
      <c r="Q949" s="62" t="n"/>
      <c r="R949" s="60" t="n"/>
      <c r="S949" s="59" t="n"/>
      <c r="T949" s="60" t="n"/>
      <c r="U949" s="59" t="n"/>
      <c r="V949" s="45">
        <f>IF(OR($A949="",$T949="",$T949="No Issue"),"",IF($T949="Resolved",IF($U949="","",$U949-$A949),TODAY()-$A949))</f>
        <v/>
      </c>
      <c r="W949" s="47">
        <f>IF(AND($C949&lt;&gt;"",$C949='Store History'!$C$4,OR('Store History'!$C$5="",$F949='Store History'!$C$5)),1,0)</f>
        <v/>
      </c>
      <c r="X949" s="47">
        <f>IF($W949=1,SUM($W949:$W$1005),"")</f>
        <v/>
      </c>
    </row>
    <row r="950">
      <c r="A950" s="59" t="n"/>
      <c r="B950" s="60" t="n"/>
      <c r="C950" s="60" t="n"/>
      <c r="D950" s="45">
        <f>IF($C950="","",IFERROR(INDEX('Chain Program'!$B$6:$B$120,MATCH($C950,'Chain Program'!$A$6:$A$120,0)),"Unknown ID"))</f>
        <v/>
      </c>
      <c r="E950" s="45">
        <f>IF($C950="","",IFERROR(INDEX('Chain Program'!$D$6:$D$120,MATCH($C950,'Chain Program'!$A$6:$A$120,0)),"Unknown ID"))</f>
        <v/>
      </c>
      <c r="F950" s="60" t="n"/>
      <c r="G950" s="60" t="n"/>
      <c r="H950" s="56">
        <f>IF(OR($C950="",$A950=""),"",IF(COUNTIFS('Promo Calendar'!$A$6:$A$400,$C950,'Promo Calendar'!$D$6:$D$400,IF($G950="","All",$G950),'Promo Calendar'!$I$6:$I$400,"&lt;="&amp;$A950,'Promo Calendar'!$J$6:$J$400,"&gt;="&amp;$A950,'Promo Calendar'!$G$6:$G$400,"&gt;0")&gt;0,_xlfn.MINIFS('Promo Calendar'!$G$6:$G$400,'Promo Calendar'!$A$6:$A$400,$C950,'Promo Calendar'!$D$6:$D$400,IF($G950="","All",$G950),'Promo Calendar'!$I$6:$I$400,"&lt;="&amp;$A950,'Promo Calendar'!$J$6:$J$400,"&gt;="&amp;$A950,'Promo Calendar'!$G$6:$G$400,"&gt;0"),IF(COUNTIFS('Promo Calendar'!$A$6:$A$400,$C950,'Promo Calendar'!$D$6:$D$400,"All",'Promo Calendar'!$I$6:$I$400,"&lt;="&amp;$A950,'Promo Calendar'!$J$6:$J$400,"&gt;="&amp;$A950,'Promo Calendar'!$G$6:$G$400,"&gt;0")&gt;0,_xlfn.MINIFS('Promo Calendar'!$G$6:$G$400,'Promo Calendar'!$A$6:$A$400,$C950,'Promo Calendar'!$D$6:$D$400,"All",'Promo Calendar'!$I$6:$I$400,"&lt;="&amp;$A950,'Promo Calendar'!$J$6:$J$400,"&gt;="&amp;$A950,'Promo Calendar'!$G$6:$G$400,"&gt;0"),IFERROR(IF(INDEX('Chain Program'!$M$6:$M$120,MATCH($C950,'Chain Program'!$A$6:$A$120,0))="","Not set",INDEX('Chain Program'!$M$6:$M$120,MATCH($C950,'Chain Program'!$A$6:$A$120,0))),"Not set"))))</f>
        <v/>
      </c>
      <c r="I950" s="61" t="n"/>
      <c r="J950" s="45">
        <f>IF($I950="","",IF(NOT(ISNUMBER($H950)),"No plan price",IF(ABS($I950-$H950)&lt;0.005,"Match",IF($I950&gt;$H950,"Over plan","Under plan"))))</f>
        <v/>
      </c>
      <c r="K950" s="60" t="n"/>
      <c r="L950" s="60" t="n"/>
      <c r="M950" s="60" t="n"/>
      <c r="N950" s="60" t="n"/>
      <c r="O950" s="60" t="n"/>
      <c r="P950" s="62" t="n"/>
      <c r="Q950" s="62" t="n"/>
      <c r="R950" s="60" t="n"/>
      <c r="S950" s="59" t="n"/>
      <c r="T950" s="60" t="n"/>
      <c r="U950" s="59" t="n"/>
      <c r="V950" s="45">
        <f>IF(OR($A950="",$T950="",$T950="No Issue"),"",IF($T950="Resolved",IF($U950="","",$U950-$A950),TODAY()-$A950))</f>
        <v/>
      </c>
      <c r="W950" s="47">
        <f>IF(AND($C950&lt;&gt;"",$C950='Store History'!$C$4,OR('Store History'!$C$5="",$F950='Store History'!$C$5)),1,0)</f>
        <v/>
      </c>
      <c r="X950" s="47">
        <f>IF($W950=1,SUM($W950:$W$1005),"")</f>
        <v/>
      </c>
    </row>
    <row r="951">
      <c r="A951" s="59" t="n"/>
      <c r="B951" s="60" t="n"/>
      <c r="C951" s="60" t="n"/>
      <c r="D951" s="45">
        <f>IF($C951="","",IFERROR(INDEX('Chain Program'!$B$6:$B$120,MATCH($C951,'Chain Program'!$A$6:$A$120,0)),"Unknown ID"))</f>
        <v/>
      </c>
      <c r="E951" s="45">
        <f>IF($C951="","",IFERROR(INDEX('Chain Program'!$D$6:$D$120,MATCH($C951,'Chain Program'!$A$6:$A$120,0)),"Unknown ID"))</f>
        <v/>
      </c>
      <c r="F951" s="60" t="n"/>
      <c r="G951" s="60" t="n"/>
      <c r="H951" s="56">
        <f>IF(OR($C951="",$A951=""),"",IF(COUNTIFS('Promo Calendar'!$A$6:$A$400,$C951,'Promo Calendar'!$D$6:$D$400,IF($G951="","All",$G951),'Promo Calendar'!$I$6:$I$400,"&lt;="&amp;$A951,'Promo Calendar'!$J$6:$J$400,"&gt;="&amp;$A951,'Promo Calendar'!$G$6:$G$400,"&gt;0")&gt;0,_xlfn.MINIFS('Promo Calendar'!$G$6:$G$400,'Promo Calendar'!$A$6:$A$400,$C951,'Promo Calendar'!$D$6:$D$400,IF($G951="","All",$G951),'Promo Calendar'!$I$6:$I$400,"&lt;="&amp;$A951,'Promo Calendar'!$J$6:$J$400,"&gt;="&amp;$A951,'Promo Calendar'!$G$6:$G$400,"&gt;0"),IF(COUNTIFS('Promo Calendar'!$A$6:$A$400,$C951,'Promo Calendar'!$D$6:$D$400,"All",'Promo Calendar'!$I$6:$I$400,"&lt;="&amp;$A951,'Promo Calendar'!$J$6:$J$400,"&gt;="&amp;$A951,'Promo Calendar'!$G$6:$G$400,"&gt;0")&gt;0,_xlfn.MINIFS('Promo Calendar'!$G$6:$G$400,'Promo Calendar'!$A$6:$A$400,$C951,'Promo Calendar'!$D$6:$D$400,"All",'Promo Calendar'!$I$6:$I$400,"&lt;="&amp;$A951,'Promo Calendar'!$J$6:$J$400,"&gt;="&amp;$A951,'Promo Calendar'!$G$6:$G$400,"&gt;0"),IFERROR(IF(INDEX('Chain Program'!$M$6:$M$120,MATCH($C951,'Chain Program'!$A$6:$A$120,0))="","Not set",INDEX('Chain Program'!$M$6:$M$120,MATCH($C951,'Chain Program'!$A$6:$A$120,0))),"Not set"))))</f>
        <v/>
      </c>
      <c r="I951" s="61" t="n"/>
      <c r="J951" s="45">
        <f>IF($I951="","",IF(NOT(ISNUMBER($H951)),"No plan price",IF(ABS($I951-$H951)&lt;0.005,"Match",IF($I951&gt;$H951,"Over plan","Under plan"))))</f>
        <v/>
      </c>
      <c r="K951" s="60" t="n"/>
      <c r="L951" s="60" t="n"/>
      <c r="M951" s="60" t="n"/>
      <c r="N951" s="60" t="n"/>
      <c r="O951" s="60" t="n"/>
      <c r="P951" s="62" t="n"/>
      <c r="Q951" s="62" t="n"/>
      <c r="R951" s="60" t="n"/>
      <c r="S951" s="59" t="n"/>
      <c r="T951" s="60" t="n"/>
      <c r="U951" s="59" t="n"/>
      <c r="V951" s="45">
        <f>IF(OR($A951="",$T951="",$T951="No Issue"),"",IF($T951="Resolved",IF($U951="","",$U951-$A951),TODAY()-$A951))</f>
        <v/>
      </c>
      <c r="W951" s="47">
        <f>IF(AND($C951&lt;&gt;"",$C951='Store History'!$C$4,OR('Store History'!$C$5="",$F951='Store History'!$C$5)),1,0)</f>
        <v/>
      </c>
      <c r="X951" s="47">
        <f>IF($W951=1,SUM($W951:$W$1005),"")</f>
        <v/>
      </c>
    </row>
    <row r="952">
      <c r="A952" s="59" t="n"/>
      <c r="B952" s="60" t="n"/>
      <c r="C952" s="60" t="n"/>
      <c r="D952" s="45">
        <f>IF($C952="","",IFERROR(INDEX('Chain Program'!$B$6:$B$120,MATCH($C952,'Chain Program'!$A$6:$A$120,0)),"Unknown ID"))</f>
        <v/>
      </c>
      <c r="E952" s="45">
        <f>IF($C952="","",IFERROR(INDEX('Chain Program'!$D$6:$D$120,MATCH($C952,'Chain Program'!$A$6:$A$120,0)),"Unknown ID"))</f>
        <v/>
      </c>
      <c r="F952" s="60" t="n"/>
      <c r="G952" s="60" t="n"/>
      <c r="H952" s="56">
        <f>IF(OR($C952="",$A952=""),"",IF(COUNTIFS('Promo Calendar'!$A$6:$A$400,$C952,'Promo Calendar'!$D$6:$D$400,IF($G952="","All",$G952),'Promo Calendar'!$I$6:$I$400,"&lt;="&amp;$A952,'Promo Calendar'!$J$6:$J$400,"&gt;="&amp;$A952,'Promo Calendar'!$G$6:$G$400,"&gt;0")&gt;0,_xlfn.MINIFS('Promo Calendar'!$G$6:$G$400,'Promo Calendar'!$A$6:$A$400,$C952,'Promo Calendar'!$D$6:$D$400,IF($G952="","All",$G952),'Promo Calendar'!$I$6:$I$400,"&lt;="&amp;$A952,'Promo Calendar'!$J$6:$J$400,"&gt;="&amp;$A952,'Promo Calendar'!$G$6:$G$400,"&gt;0"),IF(COUNTIFS('Promo Calendar'!$A$6:$A$400,$C952,'Promo Calendar'!$D$6:$D$400,"All",'Promo Calendar'!$I$6:$I$400,"&lt;="&amp;$A952,'Promo Calendar'!$J$6:$J$400,"&gt;="&amp;$A952,'Promo Calendar'!$G$6:$G$400,"&gt;0")&gt;0,_xlfn.MINIFS('Promo Calendar'!$G$6:$G$400,'Promo Calendar'!$A$6:$A$400,$C952,'Promo Calendar'!$D$6:$D$400,"All",'Promo Calendar'!$I$6:$I$400,"&lt;="&amp;$A952,'Promo Calendar'!$J$6:$J$400,"&gt;="&amp;$A952,'Promo Calendar'!$G$6:$G$400,"&gt;0"),IFERROR(IF(INDEX('Chain Program'!$M$6:$M$120,MATCH($C952,'Chain Program'!$A$6:$A$120,0))="","Not set",INDEX('Chain Program'!$M$6:$M$120,MATCH($C952,'Chain Program'!$A$6:$A$120,0))),"Not set"))))</f>
        <v/>
      </c>
      <c r="I952" s="61" t="n"/>
      <c r="J952" s="45">
        <f>IF($I952="","",IF(NOT(ISNUMBER($H952)),"No plan price",IF(ABS($I952-$H952)&lt;0.005,"Match",IF($I952&gt;$H952,"Over plan","Under plan"))))</f>
        <v/>
      </c>
      <c r="K952" s="60" t="n"/>
      <c r="L952" s="60" t="n"/>
      <c r="M952" s="60" t="n"/>
      <c r="N952" s="60" t="n"/>
      <c r="O952" s="60" t="n"/>
      <c r="P952" s="62" t="n"/>
      <c r="Q952" s="62" t="n"/>
      <c r="R952" s="60" t="n"/>
      <c r="S952" s="59" t="n"/>
      <c r="T952" s="60" t="n"/>
      <c r="U952" s="59" t="n"/>
      <c r="V952" s="45">
        <f>IF(OR($A952="",$T952="",$T952="No Issue"),"",IF($T952="Resolved",IF($U952="","",$U952-$A952),TODAY()-$A952))</f>
        <v/>
      </c>
      <c r="W952" s="47">
        <f>IF(AND($C952&lt;&gt;"",$C952='Store History'!$C$4,OR('Store History'!$C$5="",$F952='Store History'!$C$5)),1,0)</f>
        <v/>
      </c>
      <c r="X952" s="47">
        <f>IF($W952=1,SUM($W952:$W$1005),"")</f>
        <v/>
      </c>
    </row>
    <row r="953">
      <c r="A953" s="59" t="n"/>
      <c r="B953" s="60" t="n"/>
      <c r="C953" s="60" t="n"/>
      <c r="D953" s="45">
        <f>IF($C953="","",IFERROR(INDEX('Chain Program'!$B$6:$B$120,MATCH($C953,'Chain Program'!$A$6:$A$120,0)),"Unknown ID"))</f>
        <v/>
      </c>
      <c r="E953" s="45">
        <f>IF($C953="","",IFERROR(INDEX('Chain Program'!$D$6:$D$120,MATCH($C953,'Chain Program'!$A$6:$A$120,0)),"Unknown ID"))</f>
        <v/>
      </c>
      <c r="F953" s="60" t="n"/>
      <c r="G953" s="60" t="n"/>
      <c r="H953" s="56">
        <f>IF(OR($C953="",$A953=""),"",IF(COUNTIFS('Promo Calendar'!$A$6:$A$400,$C953,'Promo Calendar'!$D$6:$D$400,IF($G953="","All",$G953),'Promo Calendar'!$I$6:$I$400,"&lt;="&amp;$A953,'Promo Calendar'!$J$6:$J$400,"&gt;="&amp;$A953,'Promo Calendar'!$G$6:$G$400,"&gt;0")&gt;0,_xlfn.MINIFS('Promo Calendar'!$G$6:$G$400,'Promo Calendar'!$A$6:$A$400,$C953,'Promo Calendar'!$D$6:$D$400,IF($G953="","All",$G953),'Promo Calendar'!$I$6:$I$400,"&lt;="&amp;$A953,'Promo Calendar'!$J$6:$J$400,"&gt;="&amp;$A953,'Promo Calendar'!$G$6:$G$400,"&gt;0"),IF(COUNTIFS('Promo Calendar'!$A$6:$A$400,$C953,'Promo Calendar'!$D$6:$D$400,"All",'Promo Calendar'!$I$6:$I$400,"&lt;="&amp;$A953,'Promo Calendar'!$J$6:$J$400,"&gt;="&amp;$A953,'Promo Calendar'!$G$6:$G$400,"&gt;0")&gt;0,_xlfn.MINIFS('Promo Calendar'!$G$6:$G$400,'Promo Calendar'!$A$6:$A$400,$C953,'Promo Calendar'!$D$6:$D$400,"All",'Promo Calendar'!$I$6:$I$400,"&lt;="&amp;$A953,'Promo Calendar'!$J$6:$J$400,"&gt;="&amp;$A953,'Promo Calendar'!$G$6:$G$400,"&gt;0"),IFERROR(IF(INDEX('Chain Program'!$M$6:$M$120,MATCH($C953,'Chain Program'!$A$6:$A$120,0))="","Not set",INDEX('Chain Program'!$M$6:$M$120,MATCH($C953,'Chain Program'!$A$6:$A$120,0))),"Not set"))))</f>
        <v/>
      </c>
      <c r="I953" s="61" t="n"/>
      <c r="J953" s="45">
        <f>IF($I953="","",IF(NOT(ISNUMBER($H953)),"No plan price",IF(ABS($I953-$H953)&lt;0.005,"Match",IF($I953&gt;$H953,"Over plan","Under plan"))))</f>
        <v/>
      </c>
      <c r="K953" s="60" t="n"/>
      <c r="L953" s="60" t="n"/>
      <c r="M953" s="60" t="n"/>
      <c r="N953" s="60" t="n"/>
      <c r="O953" s="60" t="n"/>
      <c r="P953" s="62" t="n"/>
      <c r="Q953" s="62" t="n"/>
      <c r="R953" s="60" t="n"/>
      <c r="S953" s="59" t="n"/>
      <c r="T953" s="60" t="n"/>
      <c r="U953" s="59" t="n"/>
      <c r="V953" s="45">
        <f>IF(OR($A953="",$T953="",$T953="No Issue"),"",IF($T953="Resolved",IF($U953="","",$U953-$A953),TODAY()-$A953))</f>
        <v/>
      </c>
      <c r="W953" s="47">
        <f>IF(AND($C953&lt;&gt;"",$C953='Store History'!$C$4,OR('Store History'!$C$5="",$F953='Store History'!$C$5)),1,0)</f>
        <v/>
      </c>
      <c r="X953" s="47">
        <f>IF($W953=1,SUM($W953:$W$1005),"")</f>
        <v/>
      </c>
    </row>
    <row r="954">
      <c r="A954" s="59" t="n"/>
      <c r="B954" s="60" t="n"/>
      <c r="C954" s="60" t="n"/>
      <c r="D954" s="45">
        <f>IF($C954="","",IFERROR(INDEX('Chain Program'!$B$6:$B$120,MATCH($C954,'Chain Program'!$A$6:$A$120,0)),"Unknown ID"))</f>
        <v/>
      </c>
      <c r="E954" s="45">
        <f>IF($C954="","",IFERROR(INDEX('Chain Program'!$D$6:$D$120,MATCH($C954,'Chain Program'!$A$6:$A$120,0)),"Unknown ID"))</f>
        <v/>
      </c>
      <c r="F954" s="60" t="n"/>
      <c r="G954" s="60" t="n"/>
      <c r="H954" s="56">
        <f>IF(OR($C954="",$A954=""),"",IF(COUNTIFS('Promo Calendar'!$A$6:$A$400,$C954,'Promo Calendar'!$D$6:$D$400,IF($G954="","All",$G954),'Promo Calendar'!$I$6:$I$400,"&lt;="&amp;$A954,'Promo Calendar'!$J$6:$J$400,"&gt;="&amp;$A954,'Promo Calendar'!$G$6:$G$400,"&gt;0")&gt;0,_xlfn.MINIFS('Promo Calendar'!$G$6:$G$400,'Promo Calendar'!$A$6:$A$400,$C954,'Promo Calendar'!$D$6:$D$400,IF($G954="","All",$G954),'Promo Calendar'!$I$6:$I$400,"&lt;="&amp;$A954,'Promo Calendar'!$J$6:$J$400,"&gt;="&amp;$A954,'Promo Calendar'!$G$6:$G$400,"&gt;0"),IF(COUNTIFS('Promo Calendar'!$A$6:$A$400,$C954,'Promo Calendar'!$D$6:$D$400,"All",'Promo Calendar'!$I$6:$I$400,"&lt;="&amp;$A954,'Promo Calendar'!$J$6:$J$400,"&gt;="&amp;$A954,'Promo Calendar'!$G$6:$G$400,"&gt;0")&gt;0,_xlfn.MINIFS('Promo Calendar'!$G$6:$G$400,'Promo Calendar'!$A$6:$A$400,$C954,'Promo Calendar'!$D$6:$D$400,"All",'Promo Calendar'!$I$6:$I$400,"&lt;="&amp;$A954,'Promo Calendar'!$J$6:$J$400,"&gt;="&amp;$A954,'Promo Calendar'!$G$6:$G$400,"&gt;0"),IFERROR(IF(INDEX('Chain Program'!$M$6:$M$120,MATCH($C954,'Chain Program'!$A$6:$A$120,0))="","Not set",INDEX('Chain Program'!$M$6:$M$120,MATCH($C954,'Chain Program'!$A$6:$A$120,0))),"Not set"))))</f>
        <v/>
      </c>
      <c r="I954" s="61" t="n"/>
      <c r="J954" s="45">
        <f>IF($I954="","",IF(NOT(ISNUMBER($H954)),"No plan price",IF(ABS($I954-$H954)&lt;0.005,"Match",IF($I954&gt;$H954,"Over plan","Under plan"))))</f>
        <v/>
      </c>
      <c r="K954" s="60" t="n"/>
      <c r="L954" s="60" t="n"/>
      <c r="M954" s="60" t="n"/>
      <c r="N954" s="60" t="n"/>
      <c r="O954" s="60" t="n"/>
      <c r="P954" s="62" t="n"/>
      <c r="Q954" s="62" t="n"/>
      <c r="R954" s="60" t="n"/>
      <c r="S954" s="59" t="n"/>
      <c r="T954" s="60" t="n"/>
      <c r="U954" s="59" t="n"/>
      <c r="V954" s="45">
        <f>IF(OR($A954="",$T954="",$T954="No Issue"),"",IF($T954="Resolved",IF($U954="","",$U954-$A954),TODAY()-$A954))</f>
        <v/>
      </c>
      <c r="W954" s="47">
        <f>IF(AND($C954&lt;&gt;"",$C954='Store History'!$C$4,OR('Store History'!$C$5="",$F954='Store History'!$C$5)),1,0)</f>
        <v/>
      </c>
      <c r="X954" s="47">
        <f>IF($W954=1,SUM($W954:$W$1005),"")</f>
        <v/>
      </c>
    </row>
    <row r="955">
      <c r="A955" s="59" t="n"/>
      <c r="B955" s="60" t="n"/>
      <c r="C955" s="60" t="n"/>
      <c r="D955" s="45">
        <f>IF($C955="","",IFERROR(INDEX('Chain Program'!$B$6:$B$120,MATCH($C955,'Chain Program'!$A$6:$A$120,0)),"Unknown ID"))</f>
        <v/>
      </c>
      <c r="E955" s="45">
        <f>IF($C955="","",IFERROR(INDEX('Chain Program'!$D$6:$D$120,MATCH($C955,'Chain Program'!$A$6:$A$120,0)),"Unknown ID"))</f>
        <v/>
      </c>
      <c r="F955" s="60" t="n"/>
      <c r="G955" s="60" t="n"/>
      <c r="H955" s="56">
        <f>IF(OR($C955="",$A955=""),"",IF(COUNTIFS('Promo Calendar'!$A$6:$A$400,$C955,'Promo Calendar'!$D$6:$D$400,IF($G955="","All",$G955),'Promo Calendar'!$I$6:$I$400,"&lt;="&amp;$A955,'Promo Calendar'!$J$6:$J$400,"&gt;="&amp;$A955,'Promo Calendar'!$G$6:$G$400,"&gt;0")&gt;0,_xlfn.MINIFS('Promo Calendar'!$G$6:$G$400,'Promo Calendar'!$A$6:$A$400,$C955,'Promo Calendar'!$D$6:$D$400,IF($G955="","All",$G955),'Promo Calendar'!$I$6:$I$400,"&lt;="&amp;$A955,'Promo Calendar'!$J$6:$J$400,"&gt;="&amp;$A955,'Promo Calendar'!$G$6:$G$400,"&gt;0"),IF(COUNTIFS('Promo Calendar'!$A$6:$A$400,$C955,'Promo Calendar'!$D$6:$D$400,"All",'Promo Calendar'!$I$6:$I$400,"&lt;="&amp;$A955,'Promo Calendar'!$J$6:$J$400,"&gt;="&amp;$A955,'Promo Calendar'!$G$6:$G$400,"&gt;0")&gt;0,_xlfn.MINIFS('Promo Calendar'!$G$6:$G$400,'Promo Calendar'!$A$6:$A$400,$C955,'Promo Calendar'!$D$6:$D$400,"All",'Promo Calendar'!$I$6:$I$400,"&lt;="&amp;$A955,'Promo Calendar'!$J$6:$J$400,"&gt;="&amp;$A955,'Promo Calendar'!$G$6:$G$400,"&gt;0"),IFERROR(IF(INDEX('Chain Program'!$M$6:$M$120,MATCH($C955,'Chain Program'!$A$6:$A$120,0))="","Not set",INDEX('Chain Program'!$M$6:$M$120,MATCH($C955,'Chain Program'!$A$6:$A$120,0))),"Not set"))))</f>
        <v/>
      </c>
      <c r="I955" s="61" t="n"/>
      <c r="J955" s="45">
        <f>IF($I955="","",IF(NOT(ISNUMBER($H955)),"No plan price",IF(ABS($I955-$H955)&lt;0.005,"Match",IF($I955&gt;$H955,"Over plan","Under plan"))))</f>
        <v/>
      </c>
      <c r="K955" s="60" t="n"/>
      <c r="L955" s="60" t="n"/>
      <c r="M955" s="60" t="n"/>
      <c r="N955" s="60" t="n"/>
      <c r="O955" s="60" t="n"/>
      <c r="P955" s="62" t="n"/>
      <c r="Q955" s="62" t="n"/>
      <c r="R955" s="60" t="n"/>
      <c r="S955" s="59" t="n"/>
      <c r="T955" s="60" t="n"/>
      <c r="U955" s="59" t="n"/>
      <c r="V955" s="45">
        <f>IF(OR($A955="",$T955="",$T955="No Issue"),"",IF($T955="Resolved",IF($U955="","",$U955-$A955),TODAY()-$A955))</f>
        <v/>
      </c>
      <c r="W955" s="47">
        <f>IF(AND($C955&lt;&gt;"",$C955='Store History'!$C$4,OR('Store History'!$C$5="",$F955='Store History'!$C$5)),1,0)</f>
        <v/>
      </c>
      <c r="X955" s="47">
        <f>IF($W955=1,SUM($W955:$W$1005),"")</f>
        <v/>
      </c>
    </row>
    <row r="956">
      <c r="A956" s="59" t="n"/>
      <c r="B956" s="60" t="n"/>
      <c r="C956" s="60" t="n"/>
      <c r="D956" s="45">
        <f>IF($C956="","",IFERROR(INDEX('Chain Program'!$B$6:$B$120,MATCH($C956,'Chain Program'!$A$6:$A$120,0)),"Unknown ID"))</f>
        <v/>
      </c>
      <c r="E956" s="45">
        <f>IF($C956="","",IFERROR(INDEX('Chain Program'!$D$6:$D$120,MATCH($C956,'Chain Program'!$A$6:$A$120,0)),"Unknown ID"))</f>
        <v/>
      </c>
      <c r="F956" s="60" t="n"/>
      <c r="G956" s="60" t="n"/>
      <c r="H956" s="56">
        <f>IF(OR($C956="",$A956=""),"",IF(COUNTIFS('Promo Calendar'!$A$6:$A$400,$C956,'Promo Calendar'!$D$6:$D$400,IF($G956="","All",$G956),'Promo Calendar'!$I$6:$I$400,"&lt;="&amp;$A956,'Promo Calendar'!$J$6:$J$400,"&gt;="&amp;$A956,'Promo Calendar'!$G$6:$G$400,"&gt;0")&gt;0,_xlfn.MINIFS('Promo Calendar'!$G$6:$G$400,'Promo Calendar'!$A$6:$A$400,$C956,'Promo Calendar'!$D$6:$D$400,IF($G956="","All",$G956),'Promo Calendar'!$I$6:$I$400,"&lt;="&amp;$A956,'Promo Calendar'!$J$6:$J$400,"&gt;="&amp;$A956,'Promo Calendar'!$G$6:$G$400,"&gt;0"),IF(COUNTIFS('Promo Calendar'!$A$6:$A$400,$C956,'Promo Calendar'!$D$6:$D$400,"All",'Promo Calendar'!$I$6:$I$400,"&lt;="&amp;$A956,'Promo Calendar'!$J$6:$J$400,"&gt;="&amp;$A956,'Promo Calendar'!$G$6:$G$400,"&gt;0")&gt;0,_xlfn.MINIFS('Promo Calendar'!$G$6:$G$400,'Promo Calendar'!$A$6:$A$400,$C956,'Promo Calendar'!$D$6:$D$400,"All",'Promo Calendar'!$I$6:$I$400,"&lt;="&amp;$A956,'Promo Calendar'!$J$6:$J$400,"&gt;="&amp;$A956,'Promo Calendar'!$G$6:$G$400,"&gt;0"),IFERROR(IF(INDEX('Chain Program'!$M$6:$M$120,MATCH($C956,'Chain Program'!$A$6:$A$120,0))="","Not set",INDEX('Chain Program'!$M$6:$M$120,MATCH($C956,'Chain Program'!$A$6:$A$120,0))),"Not set"))))</f>
        <v/>
      </c>
      <c r="I956" s="61" t="n"/>
      <c r="J956" s="45">
        <f>IF($I956="","",IF(NOT(ISNUMBER($H956)),"No plan price",IF(ABS($I956-$H956)&lt;0.005,"Match",IF($I956&gt;$H956,"Over plan","Under plan"))))</f>
        <v/>
      </c>
      <c r="K956" s="60" t="n"/>
      <c r="L956" s="60" t="n"/>
      <c r="M956" s="60" t="n"/>
      <c r="N956" s="60" t="n"/>
      <c r="O956" s="60" t="n"/>
      <c r="P956" s="62" t="n"/>
      <c r="Q956" s="62" t="n"/>
      <c r="R956" s="60" t="n"/>
      <c r="S956" s="59" t="n"/>
      <c r="T956" s="60" t="n"/>
      <c r="U956" s="59" t="n"/>
      <c r="V956" s="45">
        <f>IF(OR($A956="",$T956="",$T956="No Issue"),"",IF($T956="Resolved",IF($U956="","",$U956-$A956),TODAY()-$A956))</f>
        <v/>
      </c>
      <c r="W956" s="47">
        <f>IF(AND($C956&lt;&gt;"",$C956='Store History'!$C$4,OR('Store History'!$C$5="",$F956='Store History'!$C$5)),1,0)</f>
        <v/>
      </c>
      <c r="X956" s="47">
        <f>IF($W956=1,SUM($W956:$W$1005),"")</f>
        <v/>
      </c>
    </row>
    <row r="957">
      <c r="A957" s="59" t="n"/>
      <c r="B957" s="60" t="n"/>
      <c r="C957" s="60" t="n"/>
      <c r="D957" s="45">
        <f>IF($C957="","",IFERROR(INDEX('Chain Program'!$B$6:$B$120,MATCH($C957,'Chain Program'!$A$6:$A$120,0)),"Unknown ID"))</f>
        <v/>
      </c>
      <c r="E957" s="45">
        <f>IF($C957="","",IFERROR(INDEX('Chain Program'!$D$6:$D$120,MATCH($C957,'Chain Program'!$A$6:$A$120,0)),"Unknown ID"))</f>
        <v/>
      </c>
      <c r="F957" s="60" t="n"/>
      <c r="G957" s="60" t="n"/>
      <c r="H957" s="56">
        <f>IF(OR($C957="",$A957=""),"",IF(COUNTIFS('Promo Calendar'!$A$6:$A$400,$C957,'Promo Calendar'!$D$6:$D$400,IF($G957="","All",$G957),'Promo Calendar'!$I$6:$I$400,"&lt;="&amp;$A957,'Promo Calendar'!$J$6:$J$400,"&gt;="&amp;$A957,'Promo Calendar'!$G$6:$G$400,"&gt;0")&gt;0,_xlfn.MINIFS('Promo Calendar'!$G$6:$G$400,'Promo Calendar'!$A$6:$A$400,$C957,'Promo Calendar'!$D$6:$D$400,IF($G957="","All",$G957),'Promo Calendar'!$I$6:$I$400,"&lt;="&amp;$A957,'Promo Calendar'!$J$6:$J$400,"&gt;="&amp;$A957,'Promo Calendar'!$G$6:$G$400,"&gt;0"),IF(COUNTIFS('Promo Calendar'!$A$6:$A$400,$C957,'Promo Calendar'!$D$6:$D$400,"All",'Promo Calendar'!$I$6:$I$400,"&lt;="&amp;$A957,'Promo Calendar'!$J$6:$J$400,"&gt;="&amp;$A957,'Promo Calendar'!$G$6:$G$400,"&gt;0")&gt;0,_xlfn.MINIFS('Promo Calendar'!$G$6:$G$400,'Promo Calendar'!$A$6:$A$400,$C957,'Promo Calendar'!$D$6:$D$400,"All",'Promo Calendar'!$I$6:$I$400,"&lt;="&amp;$A957,'Promo Calendar'!$J$6:$J$400,"&gt;="&amp;$A957,'Promo Calendar'!$G$6:$G$400,"&gt;0"),IFERROR(IF(INDEX('Chain Program'!$M$6:$M$120,MATCH($C957,'Chain Program'!$A$6:$A$120,0))="","Not set",INDEX('Chain Program'!$M$6:$M$120,MATCH($C957,'Chain Program'!$A$6:$A$120,0))),"Not set"))))</f>
        <v/>
      </c>
      <c r="I957" s="61" t="n"/>
      <c r="J957" s="45">
        <f>IF($I957="","",IF(NOT(ISNUMBER($H957)),"No plan price",IF(ABS($I957-$H957)&lt;0.005,"Match",IF($I957&gt;$H957,"Over plan","Under plan"))))</f>
        <v/>
      </c>
      <c r="K957" s="60" t="n"/>
      <c r="L957" s="60" t="n"/>
      <c r="M957" s="60" t="n"/>
      <c r="N957" s="60" t="n"/>
      <c r="O957" s="60" t="n"/>
      <c r="P957" s="62" t="n"/>
      <c r="Q957" s="62" t="n"/>
      <c r="R957" s="60" t="n"/>
      <c r="S957" s="59" t="n"/>
      <c r="T957" s="60" t="n"/>
      <c r="U957" s="59" t="n"/>
      <c r="V957" s="45">
        <f>IF(OR($A957="",$T957="",$T957="No Issue"),"",IF($T957="Resolved",IF($U957="","",$U957-$A957),TODAY()-$A957))</f>
        <v/>
      </c>
      <c r="W957" s="47">
        <f>IF(AND($C957&lt;&gt;"",$C957='Store History'!$C$4,OR('Store History'!$C$5="",$F957='Store History'!$C$5)),1,0)</f>
        <v/>
      </c>
      <c r="X957" s="47">
        <f>IF($W957=1,SUM($W957:$W$1005),"")</f>
        <v/>
      </c>
    </row>
    <row r="958">
      <c r="A958" s="59" t="n"/>
      <c r="B958" s="60" t="n"/>
      <c r="C958" s="60" t="n"/>
      <c r="D958" s="45">
        <f>IF($C958="","",IFERROR(INDEX('Chain Program'!$B$6:$B$120,MATCH($C958,'Chain Program'!$A$6:$A$120,0)),"Unknown ID"))</f>
        <v/>
      </c>
      <c r="E958" s="45">
        <f>IF($C958="","",IFERROR(INDEX('Chain Program'!$D$6:$D$120,MATCH($C958,'Chain Program'!$A$6:$A$120,0)),"Unknown ID"))</f>
        <v/>
      </c>
      <c r="F958" s="60" t="n"/>
      <c r="G958" s="60" t="n"/>
      <c r="H958" s="56">
        <f>IF(OR($C958="",$A958=""),"",IF(COUNTIFS('Promo Calendar'!$A$6:$A$400,$C958,'Promo Calendar'!$D$6:$D$400,IF($G958="","All",$G958),'Promo Calendar'!$I$6:$I$400,"&lt;="&amp;$A958,'Promo Calendar'!$J$6:$J$400,"&gt;="&amp;$A958,'Promo Calendar'!$G$6:$G$400,"&gt;0")&gt;0,_xlfn.MINIFS('Promo Calendar'!$G$6:$G$400,'Promo Calendar'!$A$6:$A$400,$C958,'Promo Calendar'!$D$6:$D$400,IF($G958="","All",$G958),'Promo Calendar'!$I$6:$I$400,"&lt;="&amp;$A958,'Promo Calendar'!$J$6:$J$400,"&gt;="&amp;$A958,'Promo Calendar'!$G$6:$G$400,"&gt;0"),IF(COUNTIFS('Promo Calendar'!$A$6:$A$400,$C958,'Promo Calendar'!$D$6:$D$400,"All",'Promo Calendar'!$I$6:$I$400,"&lt;="&amp;$A958,'Promo Calendar'!$J$6:$J$400,"&gt;="&amp;$A958,'Promo Calendar'!$G$6:$G$400,"&gt;0")&gt;0,_xlfn.MINIFS('Promo Calendar'!$G$6:$G$400,'Promo Calendar'!$A$6:$A$400,$C958,'Promo Calendar'!$D$6:$D$400,"All",'Promo Calendar'!$I$6:$I$400,"&lt;="&amp;$A958,'Promo Calendar'!$J$6:$J$400,"&gt;="&amp;$A958,'Promo Calendar'!$G$6:$G$400,"&gt;0"),IFERROR(IF(INDEX('Chain Program'!$M$6:$M$120,MATCH($C958,'Chain Program'!$A$6:$A$120,0))="","Not set",INDEX('Chain Program'!$M$6:$M$120,MATCH($C958,'Chain Program'!$A$6:$A$120,0))),"Not set"))))</f>
        <v/>
      </c>
      <c r="I958" s="61" t="n"/>
      <c r="J958" s="45">
        <f>IF($I958="","",IF(NOT(ISNUMBER($H958)),"No plan price",IF(ABS($I958-$H958)&lt;0.005,"Match",IF($I958&gt;$H958,"Over plan","Under plan"))))</f>
        <v/>
      </c>
      <c r="K958" s="60" t="n"/>
      <c r="L958" s="60" t="n"/>
      <c r="M958" s="60" t="n"/>
      <c r="N958" s="60" t="n"/>
      <c r="O958" s="60" t="n"/>
      <c r="P958" s="62" t="n"/>
      <c r="Q958" s="62" t="n"/>
      <c r="R958" s="60" t="n"/>
      <c r="S958" s="59" t="n"/>
      <c r="T958" s="60" t="n"/>
      <c r="U958" s="59" t="n"/>
      <c r="V958" s="45">
        <f>IF(OR($A958="",$T958="",$T958="No Issue"),"",IF($T958="Resolved",IF($U958="","",$U958-$A958),TODAY()-$A958))</f>
        <v/>
      </c>
      <c r="W958" s="47">
        <f>IF(AND($C958&lt;&gt;"",$C958='Store History'!$C$4,OR('Store History'!$C$5="",$F958='Store History'!$C$5)),1,0)</f>
        <v/>
      </c>
      <c r="X958" s="47">
        <f>IF($W958=1,SUM($W958:$W$1005),"")</f>
        <v/>
      </c>
    </row>
    <row r="959">
      <c r="A959" s="59" t="n"/>
      <c r="B959" s="60" t="n"/>
      <c r="C959" s="60" t="n"/>
      <c r="D959" s="45">
        <f>IF($C959="","",IFERROR(INDEX('Chain Program'!$B$6:$B$120,MATCH($C959,'Chain Program'!$A$6:$A$120,0)),"Unknown ID"))</f>
        <v/>
      </c>
      <c r="E959" s="45">
        <f>IF($C959="","",IFERROR(INDEX('Chain Program'!$D$6:$D$120,MATCH($C959,'Chain Program'!$A$6:$A$120,0)),"Unknown ID"))</f>
        <v/>
      </c>
      <c r="F959" s="60" t="n"/>
      <c r="G959" s="60" t="n"/>
      <c r="H959" s="56">
        <f>IF(OR($C959="",$A959=""),"",IF(COUNTIFS('Promo Calendar'!$A$6:$A$400,$C959,'Promo Calendar'!$D$6:$D$400,IF($G959="","All",$G959),'Promo Calendar'!$I$6:$I$400,"&lt;="&amp;$A959,'Promo Calendar'!$J$6:$J$400,"&gt;="&amp;$A959,'Promo Calendar'!$G$6:$G$400,"&gt;0")&gt;0,_xlfn.MINIFS('Promo Calendar'!$G$6:$G$400,'Promo Calendar'!$A$6:$A$400,$C959,'Promo Calendar'!$D$6:$D$400,IF($G959="","All",$G959),'Promo Calendar'!$I$6:$I$400,"&lt;="&amp;$A959,'Promo Calendar'!$J$6:$J$400,"&gt;="&amp;$A959,'Promo Calendar'!$G$6:$G$400,"&gt;0"),IF(COUNTIFS('Promo Calendar'!$A$6:$A$400,$C959,'Promo Calendar'!$D$6:$D$400,"All",'Promo Calendar'!$I$6:$I$400,"&lt;="&amp;$A959,'Promo Calendar'!$J$6:$J$400,"&gt;="&amp;$A959,'Promo Calendar'!$G$6:$G$400,"&gt;0")&gt;0,_xlfn.MINIFS('Promo Calendar'!$G$6:$G$400,'Promo Calendar'!$A$6:$A$400,$C959,'Promo Calendar'!$D$6:$D$400,"All",'Promo Calendar'!$I$6:$I$400,"&lt;="&amp;$A959,'Promo Calendar'!$J$6:$J$400,"&gt;="&amp;$A959,'Promo Calendar'!$G$6:$G$400,"&gt;0"),IFERROR(IF(INDEX('Chain Program'!$M$6:$M$120,MATCH($C959,'Chain Program'!$A$6:$A$120,0))="","Not set",INDEX('Chain Program'!$M$6:$M$120,MATCH($C959,'Chain Program'!$A$6:$A$120,0))),"Not set"))))</f>
        <v/>
      </c>
      <c r="I959" s="61" t="n"/>
      <c r="J959" s="45">
        <f>IF($I959="","",IF(NOT(ISNUMBER($H959)),"No plan price",IF(ABS($I959-$H959)&lt;0.005,"Match",IF($I959&gt;$H959,"Over plan","Under plan"))))</f>
        <v/>
      </c>
      <c r="K959" s="60" t="n"/>
      <c r="L959" s="60" t="n"/>
      <c r="M959" s="60" t="n"/>
      <c r="N959" s="60" t="n"/>
      <c r="O959" s="60" t="n"/>
      <c r="P959" s="62" t="n"/>
      <c r="Q959" s="62" t="n"/>
      <c r="R959" s="60" t="n"/>
      <c r="S959" s="59" t="n"/>
      <c r="T959" s="60" t="n"/>
      <c r="U959" s="59" t="n"/>
      <c r="V959" s="45">
        <f>IF(OR($A959="",$T959="",$T959="No Issue"),"",IF($T959="Resolved",IF($U959="","",$U959-$A959),TODAY()-$A959))</f>
        <v/>
      </c>
      <c r="W959" s="47">
        <f>IF(AND($C959&lt;&gt;"",$C959='Store History'!$C$4,OR('Store History'!$C$5="",$F959='Store History'!$C$5)),1,0)</f>
        <v/>
      </c>
      <c r="X959" s="47">
        <f>IF($W959=1,SUM($W959:$W$1005),"")</f>
        <v/>
      </c>
    </row>
    <row r="960">
      <c r="A960" s="59" t="n"/>
      <c r="B960" s="60" t="n"/>
      <c r="C960" s="60" t="n"/>
      <c r="D960" s="45">
        <f>IF($C960="","",IFERROR(INDEX('Chain Program'!$B$6:$B$120,MATCH($C960,'Chain Program'!$A$6:$A$120,0)),"Unknown ID"))</f>
        <v/>
      </c>
      <c r="E960" s="45">
        <f>IF($C960="","",IFERROR(INDEX('Chain Program'!$D$6:$D$120,MATCH($C960,'Chain Program'!$A$6:$A$120,0)),"Unknown ID"))</f>
        <v/>
      </c>
      <c r="F960" s="60" t="n"/>
      <c r="G960" s="60" t="n"/>
      <c r="H960" s="56">
        <f>IF(OR($C960="",$A960=""),"",IF(COUNTIFS('Promo Calendar'!$A$6:$A$400,$C960,'Promo Calendar'!$D$6:$D$400,IF($G960="","All",$G960),'Promo Calendar'!$I$6:$I$400,"&lt;="&amp;$A960,'Promo Calendar'!$J$6:$J$400,"&gt;="&amp;$A960,'Promo Calendar'!$G$6:$G$400,"&gt;0")&gt;0,_xlfn.MINIFS('Promo Calendar'!$G$6:$G$400,'Promo Calendar'!$A$6:$A$400,$C960,'Promo Calendar'!$D$6:$D$400,IF($G960="","All",$G960),'Promo Calendar'!$I$6:$I$400,"&lt;="&amp;$A960,'Promo Calendar'!$J$6:$J$400,"&gt;="&amp;$A960,'Promo Calendar'!$G$6:$G$400,"&gt;0"),IF(COUNTIFS('Promo Calendar'!$A$6:$A$400,$C960,'Promo Calendar'!$D$6:$D$400,"All",'Promo Calendar'!$I$6:$I$400,"&lt;="&amp;$A960,'Promo Calendar'!$J$6:$J$400,"&gt;="&amp;$A960,'Promo Calendar'!$G$6:$G$400,"&gt;0")&gt;0,_xlfn.MINIFS('Promo Calendar'!$G$6:$G$400,'Promo Calendar'!$A$6:$A$400,$C960,'Promo Calendar'!$D$6:$D$400,"All",'Promo Calendar'!$I$6:$I$400,"&lt;="&amp;$A960,'Promo Calendar'!$J$6:$J$400,"&gt;="&amp;$A960,'Promo Calendar'!$G$6:$G$400,"&gt;0"),IFERROR(IF(INDEX('Chain Program'!$M$6:$M$120,MATCH($C960,'Chain Program'!$A$6:$A$120,0))="","Not set",INDEX('Chain Program'!$M$6:$M$120,MATCH($C960,'Chain Program'!$A$6:$A$120,0))),"Not set"))))</f>
        <v/>
      </c>
      <c r="I960" s="61" t="n"/>
      <c r="J960" s="45">
        <f>IF($I960="","",IF(NOT(ISNUMBER($H960)),"No plan price",IF(ABS($I960-$H960)&lt;0.005,"Match",IF($I960&gt;$H960,"Over plan","Under plan"))))</f>
        <v/>
      </c>
      <c r="K960" s="60" t="n"/>
      <c r="L960" s="60" t="n"/>
      <c r="M960" s="60" t="n"/>
      <c r="N960" s="60" t="n"/>
      <c r="O960" s="60" t="n"/>
      <c r="P960" s="62" t="n"/>
      <c r="Q960" s="62" t="n"/>
      <c r="R960" s="60" t="n"/>
      <c r="S960" s="59" t="n"/>
      <c r="T960" s="60" t="n"/>
      <c r="U960" s="59" t="n"/>
      <c r="V960" s="45">
        <f>IF(OR($A960="",$T960="",$T960="No Issue"),"",IF($T960="Resolved",IF($U960="","",$U960-$A960),TODAY()-$A960))</f>
        <v/>
      </c>
      <c r="W960" s="47">
        <f>IF(AND($C960&lt;&gt;"",$C960='Store History'!$C$4,OR('Store History'!$C$5="",$F960='Store History'!$C$5)),1,0)</f>
        <v/>
      </c>
      <c r="X960" s="47">
        <f>IF($W960=1,SUM($W960:$W$1005),"")</f>
        <v/>
      </c>
    </row>
    <row r="961">
      <c r="A961" s="59" t="n"/>
      <c r="B961" s="60" t="n"/>
      <c r="C961" s="60" t="n"/>
      <c r="D961" s="45">
        <f>IF($C961="","",IFERROR(INDEX('Chain Program'!$B$6:$B$120,MATCH($C961,'Chain Program'!$A$6:$A$120,0)),"Unknown ID"))</f>
        <v/>
      </c>
      <c r="E961" s="45">
        <f>IF($C961="","",IFERROR(INDEX('Chain Program'!$D$6:$D$120,MATCH($C961,'Chain Program'!$A$6:$A$120,0)),"Unknown ID"))</f>
        <v/>
      </c>
      <c r="F961" s="60" t="n"/>
      <c r="G961" s="60" t="n"/>
      <c r="H961" s="56">
        <f>IF(OR($C961="",$A961=""),"",IF(COUNTIFS('Promo Calendar'!$A$6:$A$400,$C961,'Promo Calendar'!$D$6:$D$400,IF($G961="","All",$G961),'Promo Calendar'!$I$6:$I$400,"&lt;="&amp;$A961,'Promo Calendar'!$J$6:$J$400,"&gt;="&amp;$A961,'Promo Calendar'!$G$6:$G$400,"&gt;0")&gt;0,_xlfn.MINIFS('Promo Calendar'!$G$6:$G$400,'Promo Calendar'!$A$6:$A$400,$C961,'Promo Calendar'!$D$6:$D$400,IF($G961="","All",$G961),'Promo Calendar'!$I$6:$I$400,"&lt;="&amp;$A961,'Promo Calendar'!$J$6:$J$400,"&gt;="&amp;$A961,'Promo Calendar'!$G$6:$G$400,"&gt;0"),IF(COUNTIFS('Promo Calendar'!$A$6:$A$400,$C961,'Promo Calendar'!$D$6:$D$400,"All",'Promo Calendar'!$I$6:$I$400,"&lt;="&amp;$A961,'Promo Calendar'!$J$6:$J$400,"&gt;="&amp;$A961,'Promo Calendar'!$G$6:$G$400,"&gt;0")&gt;0,_xlfn.MINIFS('Promo Calendar'!$G$6:$G$400,'Promo Calendar'!$A$6:$A$400,$C961,'Promo Calendar'!$D$6:$D$400,"All",'Promo Calendar'!$I$6:$I$400,"&lt;="&amp;$A961,'Promo Calendar'!$J$6:$J$400,"&gt;="&amp;$A961,'Promo Calendar'!$G$6:$G$400,"&gt;0"),IFERROR(IF(INDEX('Chain Program'!$M$6:$M$120,MATCH($C961,'Chain Program'!$A$6:$A$120,0))="","Not set",INDEX('Chain Program'!$M$6:$M$120,MATCH($C961,'Chain Program'!$A$6:$A$120,0))),"Not set"))))</f>
        <v/>
      </c>
      <c r="I961" s="61" t="n"/>
      <c r="J961" s="45">
        <f>IF($I961="","",IF(NOT(ISNUMBER($H961)),"No plan price",IF(ABS($I961-$H961)&lt;0.005,"Match",IF($I961&gt;$H961,"Over plan","Under plan"))))</f>
        <v/>
      </c>
      <c r="K961" s="60" t="n"/>
      <c r="L961" s="60" t="n"/>
      <c r="M961" s="60" t="n"/>
      <c r="N961" s="60" t="n"/>
      <c r="O961" s="60" t="n"/>
      <c r="P961" s="62" t="n"/>
      <c r="Q961" s="62" t="n"/>
      <c r="R961" s="60" t="n"/>
      <c r="S961" s="59" t="n"/>
      <c r="T961" s="60" t="n"/>
      <c r="U961" s="59" t="n"/>
      <c r="V961" s="45">
        <f>IF(OR($A961="",$T961="",$T961="No Issue"),"",IF($T961="Resolved",IF($U961="","",$U961-$A961),TODAY()-$A961))</f>
        <v/>
      </c>
      <c r="W961" s="47">
        <f>IF(AND($C961&lt;&gt;"",$C961='Store History'!$C$4,OR('Store History'!$C$5="",$F961='Store History'!$C$5)),1,0)</f>
        <v/>
      </c>
      <c r="X961" s="47">
        <f>IF($W961=1,SUM($W961:$W$1005),"")</f>
        <v/>
      </c>
    </row>
    <row r="962">
      <c r="A962" s="59" t="n"/>
      <c r="B962" s="60" t="n"/>
      <c r="C962" s="60" t="n"/>
      <c r="D962" s="45">
        <f>IF($C962="","",IFERROR(INDEX('Chain Program'!$B$6:$B$120,MATCH($C962,'Chain Program'!$A$6:$A$120,0)),"Unknown ID"))</f>
        <v/>
      </c>
      <c r="E962" s="45">
        <f>IF($C962="","",IFERROR(INDEX('Chain Program'!$D$6:$D$120,MATCH($C962,'Chain Program'!$A$6:$A$120,0)),"Unknown ID"))</f>
        <v/>
      </c>
      <c r="F962" s="60" t="n"/>
      <c r="G962" s="60" t="n"/>
      <c r="H962" s="56">
        <f>IF(OR($C962="",$A962=""),"",IF(COUNTIFS('Promo Calendar'!$A$6:$A$400,$C962,'Promo Calendar'!$D$6:$D$400,IF($G962="","All",$G962),'Promo Calendar'!$I$6:$I$400,"&lt;="&amp;$A962,'Promo Calendar'!$J$6:$J$400,"&gt;="&amp;$A962,'Promo Calendar'!$G$6:$G$400,"&gt;0")&gt;0,_xlfn.MINIFS('Promo Calendar'!$G$6:$G$400,'Promo Calendar'!$A$6:$A$400,$C962,'Promo Calendar'!$D$6:$D$400,IF($G962="","All",$G962),'Promo Calendar'!$I$6:$I$400,"&lt;="&amp;$A962,'Promo Calendar'!$J$6:$J$400,"&gt;="&amp;$A962,'Promo Calendar'!$G$6:$G$400,"&gt;0"),IF(COUNTIFS('Promo Calendar'!$A$6:$A$400,$C962,'Promo Calendar'!$D$6:$D$400,"All",'Promo Calendar'!$I$6:$I$400,"&lt;="&amp;$A962,'Promo Calendar'!$J$6:$J$400,"&gt;="&amp;$A962,'Promo Calendar'!$G$6:$G$400,"&gt;0")&gt;0,_xlfn.MINIFS('Promo Calendar'!$G$6:$G$400,'Promo Calendar'!$A$6:$A$400,$C962,'Promo Calendar'!$D$6:$D$400,"All",'Promo Calendar'!$I$6:$I$400,"&lt;="&amp;$A962,'Promo Calendar'!$J$6:$J$400,"&gt;="&amp;$A962,'Promo Calendar'!$G$6:$G$400,"&gt;0"),IFERROR(IF(INDEX('Chain Program'!$M$6:$M$120,MATCH($C962,'Chain Program'!$A$6:$A$120,0))="","Not set",INDEX('Chain Program'!$M$6:$M$120,MATCH($C962,'Chain Program'!$A$6:$A$120,0))),"Not set"))))</f>
        <v/>
      </c>
      <c r="I962" s="61" t="n"/>
      <c r="J962" s="45">
        <f>IF($I962="","",IF(NOT(ISNUMBER($H962)),"No plan price",IF(ABS($I962-$H962)&lt;0.005,"Match",IF($I962&gt;$H962,"Over plan","Under plan"))))</f>
        <v/>
      </c>
      <c r="K962" s="60" t="n"/>
      <c r="L962" s="60" t="n"/>
      <c r="M962" s="60" t="n"/>
      <c r="N962" s="60" t="n"/>
      <c r="O962" s="60" t="n"/>
      <c r="P962" s="62" t="n"/>
      <c r="Q962" s="62" t="n"/>
      <c r="R962" s="60" t="n"/>
      <c r="S962" s="59" t="n"/>
      <c r="T962" s="60" t="n"/>
      <c r="U962" s="59" t="n"/>
      <c r="V962" s="45">
        <f>IF(OR($A962="",$T962="",$T962="No Issue"),"",IF($T962="Resolved",IF($U962="","",$U962-$A962),TODAY()-$A962))</f>
        <v/>
      </c>
      <c r="W962" s="47">
        <f>IF(AND($C962&lt;&gt;"",$C962='Store History'!$C$4,OR('Store History'!$C$5="",$F962='Store History'!$C$5)),1,0)</f>
        <v/>
      </c>
      <c r="X962" s="47">
        <f>IF($W962=1,SUM($W962:$W$1005),"")</f>
        <v/>
      </c>
    </row>
    <row r="963">
      <c r="A963" s="59" t="n"/>
      <c r="B963" s="60" t="n"/>
      <c r="C963" s="60" t="n"/>
      <c r="D963" s="45">
        <f>IF($C963="","",IFERROR(INDEX('Chain Program'!$B$6:$B$120,MATCH($C963,'Chain Program'!$A$6:$A$120,0)),"Unknown ID"))</f>
        <v/>
      </c>
      <c r="E963" s="45">
        <f>IF($C963="","",IFERROR(INDEX('Chain Program'!$D$6:$D$120,MATCH($C963,'Chain Program'!$A$6:$A$120,0)),"Unknown ID"))</f>
        <v/>
      </c>
      <c r="F963" s="60" t="n"/>
      <c r="G963" s="60" t="n"/>
      <c r="H963" s="56">
        <f>IF(OR($C963="",$A963=""),"",IF(COUNTIFS('Promo Calendar'!$A$6:$A$400,$C963,'Promo Calendar'!$D$6:$D$400,IF($G963="","All",$G963),'Promo Calendar'!$I$6:$I$400,"&lt;="&amp;$A963,'Promo Calendar'!$J$6:$J$400,"&gt;="&amp;$A963,'Promo Calendar'!$G$6:$G$400,"&gt;0")&gt;0,_xlfn.MINIFS('Promo Calendar'!$G$6:$G$400,'Promo Calendar'!$A$6:$A$400,$C963,'Promo Calendar'!$D$6:$D$400,IF($G963="","All",$G963),'Promo Calendar'!$I$6:$I$400,"&lt;="&amp;$A963,'Promo Calendar'!$J$6:$J$400,"&gt;="&amp;$A963,'Promo Calendar'!$G$6:$G$400,"&gt;0"),IF(COUNTIFS('Promo Calendar'!$A$6:$A$400,$C963,'Promo Calendar'!$D$6:$D$400,"All",'Promo Calendar'!$I$6:$I$400,"&lt;="&amp;$A963,'Promo Calendar'!$J$6:$J$400,"&gt;="&amp;$A963,'Promo Calendar'!$G$6:$G$400,"&gt;0")&gt;0,_xlfn.MINIFS('Promo Calendar'!$G$6:$G$400,'Promo Calendar'!$A$6:$A$400,$C963,'Promo Calendar'!$D$6:$D$400,"All",'Promo Calendar'!$I$6:$I$400,"&lt;="&amp;$A963,'Promo Calendar'!$J$6:$J$400,"&gt;="&amp;$A963,'Promo Calendar'!$G$6:$G$400,"&gt;0"),IFERROR(IF(INDEX('Chain Program'!$M$6:$M$120,MATCH($C963,'Chain Program'!$A$6:$A$120,0))="","Not set",INDEX('Chain Program'!$M$6:$M$120,MATCH($C963,'Chain Program'!$A$6:$A$120,0))),"Not set"))))</f>
        <v/>
      </c>
      <c r="I963" s="61" t="n"/>
      <c r="J963" s="45">
        <f>IF($I963="","",IF(NOT(ISNUMBER($H963)),"No plan price",IF(ABS($I963-$H963)&lt;0.005,"Match",IF($I963&gt;$H963,"Over plan","Under plan"))))</f>
        <v/>
      </c>
      <c r="K963" s="60" t="n"/>
      <c r="L963" s="60" t="n"/>
      <c r="M963" s="60" t="n"/>
      <c r="N963" s="60" t="n"/>
      <c r="O963" s="60" t="n"/>
      <c r="P963" s="62" t="n"/>
      <c r="Q963" s="62" t="n"/>
      <c r="R963" s="60" t="n"/>
      <c r="S963" s="59" t="n"/>
      <c r="T963" s="60" t="n"/>
      <c r="U963" s="59" t="n"/>
      <c r="V963" s="45">
        <f>IF(OR($A963="",$T963="",$T963="No Issue"),"",IF($T963="Resolved",IF($U963="","",$U963-$A963),TODAY()-$A963))</f>
        <v/>
      </c>
      <c r="W963" s="47">
        <f>IF(AND($C963&lt;&gt;"",$C963='Store History'!$C$4,OR('Store History'!$C$5="",$F963='Store History'!$C$5)),1,0)</f>
        <v/>
      </c>
      <c r="X963" s="47">
        <f>IF($W963=1,SUM($W963:$W$1005),"")</f>
        <v/>
      </c>
    </row>
    <row r="964">
      <c r="A964" s="59" t="n"/>
      <c r="B964" s="60" t="n"/>
      <c r="C964" s="60" t="n"/>
      <c r="D964" s="45">
        <f>IF($C964="","",IFERROR(INDEX('Chain Program'!$B$6:$B$120,MATCH($C964,'Chain Program'!$A$6:$A$120,0)),"Unknown ID"))</f>
        <v/>
      </c>
      <c r="E964" s="45">
        <f>IF($C964="","",IFERROR(INDEX('Chain Program'!$D$6:$D$120,MATCH($C964,'Chain Program'!$A$6:$A$120,0)),"Unknown ID"))</f>
        <v/>
      </c>
      <c r="F964" s="60" t="n"/>
      <c r="G964" s="60" t="n"/>
      <c r="H964" s="56">
        <f>IF(OR($C964="",$A964=""),"",IF(COUNTIFS('Promo Calendar'!$A$6:$A$400,$C964,'Promo Calendar'!$D$6:$D$400,IF($G964="","All",$G964),'Promo Calendar'!$I$6:$I$400,"&lt;="&amp;$A964,'Promo Calendar'!$J$6:$J$400,"&gt;="&amp;$A964,'Promo Calendar'!$G$6:$G$400,"&gt;0")&gt;0,_xlfn.MINIFS('Promo Calendar'!$G$6:$G$400,'Promo Calendar'!$A$6:$A$400,$C964,'Promo Calendar'!$D$6:$D$400,IF($G964="","All",$G964),'Promo Calendar'!$I$6:$I$400,"&lt;="&amp;$A964,'Promo Calendar'!$J$6:$J$400,"&gt;="&amp;$A964,'Promo Calendar'!$G$6:$G$400,"&gt;0"),IF(COUNTIFS('Promo Calendar'!$A$6:$A$400,$C964,'Promo Calendar'!$D$6:$D$400,"All",'Promo Calendar'!$I$6:$I$400,"&lt;="&amp;$A964,'Promo Calendar'!$J$6:$J$400,"&gt;="&amp;$A964,'Promo Calendar'!$G$6:$G$400,"&gt;0")&gt;0,_xlfn.MINIFS('Promo Calendar'!$G$6:$G$400,'Promo Calendar'!$A$6:$A$400,$C964,'Promo Calendar'!$D$6:$D$400,"All",'Promo Calendar'!$I$6:$I$400,"&lt;="&amp;$A964,'Promo Calendar'!$J$6:$J$400,"&gt;="&amp;$A964,'Promo Calendar'!$G$6:$G$400,"&gt;0"),IFERROR(IF(INDEX('Chain Program'!$M$6:$M$120,MATCH($C964,'Chain Program'!$A$6:$A$120,0))="","Not set",INDEX('Chain Program'!$M$6:$M$120,MATCH($C964,'Chain Program'!$A$6:$A$120,0))),"Not set"))))</f>
        <v/>
      </c>
      <c r="I964" s="61" t="n"/>
      <c r="J964" s="45">
        <f>IF($I964="","",IF(NOT(ISNUMBER($H964)),"No plan price",IF(ABS($I964-$H964)&lt;0.005,"Match",IF($I964&gt;$H964,"Over plan","Under plan"))))</f>
        <v/>
      </c>
      <c r="K964" s="60" t="n"/>
      <c r="L964" s="60" t="n"/>
      <c r="M964" s="60" t="n"/>
      <c r="N964" s="60" t="n"/>
      <c r="O964" s="60" t="n"/>
      <c r="P964" s="62" t="n"/>
      <c r="Q964" s="62" t="n"/>
      <c r="R964" s="60" t="n"/>
      <c r="S964" s="59" t="n"/>
      <c r="T964" s="60" t="n"/>
      <c r="U964" s="59" t="n"/>
      <c r="V964" s="45">
        <f>IF(OR($A964="",$T964="",$T964="No Issue"),"",IF($T964="Resolved",IF($U964="","",$U964-$A964),TODAY()-$A964))</f>
        <v/>
      </c>
      <c r="W964" s="47">
        <f>IF(AND($C964&lt;&gt;"",$C964='Store History'!$C$4,OR('Store History'!$C$5="",$F964='Store History'!$C$5)),1,0)</f>
        <v/>
      </c>
      <c r="X964" s="47">
        <f>IF($W964=1,SUM($W964:$W$1005),"")</f>
        <v/>
      </c>
    </row>
    <row r="965">
      <c r="A965" s="59" t="n"/>
      <c r="B965" s="60" t="n"/>
      <c r="C965" s="60" t="n"/>
      <c r="D965" s="45">
        <f>IF($C965="","",IFERROR(INDEX('Chain Program'!$B$6:$B$120,MATCH($C965,'Chain Program'!$A$6:$A$120,0)),"Unknown ID"))</f>
        <v/>
      </c>
      <c r="E965" s="45">
        <f>IF($C965="","",IFERROR(INDEX('Chain Program'!$D$6:$D$120,MATCH($C965,'Chain Program'!$A$6:$A$120,0)),"Unknown ID"))</f>
        <v/>
      </c>
      <c r="F965" s="60" t="n"/>
      <c r="G965" s="60" t="n"/>
      <c r="H965" s="56">
        <f>IF(OR($C965="",$A965=""),"",IF(COUNTIFS('Promo Calendar'!$A$6:$A$400,$C965,'Promo Calendar'!$D$6:$D$400,IF($G965="","All",$G965),'Promo Calendar'!$I$6:$I$400,"&lt;="&amp;$A965,'Promo Calendar'!$J$6:$J$400,"&gt;="&amp;$A965,'Promo Calendar'!$G$6:$G$400,"&gt;0")&gt;0,_xlfn.MINIFS('Promo Calendar'!$G$6:$G$400,'Promo Calendar'!$A$6:$A$400,$C965,'Promo Calendar'!$D$6:$D$400,IF($G965="","All",$G965),'Promo Calendar'!$I$6:$I$400,"&lt;="&amp;$A965,'Promo Calendar'!$J$6:$J$400,"&gt;="&amp;$A965,'Promo Calendar'!$G$6:$G$400,"&gt;0"),IF(COUNTIFS('Promo Calendar'!$A$6:$A$400,$C965,'Promo Calendar'!$D$6:$D$400,"All",'Promo Calendar'!$I$6:$I$400,"&lt;="&amp;$A965,'Promo Calendar'!$J$6:$J$400,"&gt;="&amp;$A965,'Promo Calendar'!$G$6:$G$400,"&gt;0")&gt;0,_xlfn.MINIFS('Promo Calendar'!$G$6:$G$400,'Promo Calendar'!$A$6:$A$400,$C965,'Promo Calendar'!$D$6:$D$400,"All",'Promo Calendar'!$I$6:$I$400,"&lt;="&amp;$A965,'Promo Calendar'!$J$6:$J$400,"&gt;="&amp;$A965,'Promo Calendar'!$G$6:$G$400,"&gt;0"),IFERROR(IF(INDEX('Chain Program'!$M$6:$M$120,MATCH($C965,'Chain Program'!$A$6:$A$120,0))="","Not set",INDEX('Chain Program'!$M$6:$M$120,MATCH($C965,'Chain Program'!$A$6:$A$120,0))),"Not set"))))</f>
        <v/>
      </c>
      <c r="I965" s="61" t="n"/>
      <c r="J965" s="45">
        <f>IF($I965="","",IF(NOT(ISNUMBER($H965)),"No plan price",IF(ABS($I965-$H965)&lt;0.005,"Match",IF($I965&gt;$H965,"Over plan","Under plan"))))</f>
        <v/>
      </c>
      <c r="K965" s="60" t="n"/>
      <c r="L965" s="60" t="n"/>
      <c r="M965" s="60" t="n"/>
      <c r="N965" s="60" t="n"/>
      <c r="O965" s="60" t="n"/>
      <c r="P965" s="62" t="n"/>
      <c r="Q965" s="62" t="n"/>
      <c r="R965" s="60" t="n"/>
      <c r="S965" s="59" t="n"/>
      <c r="T965" s="60" t="n"/>
      <c r="U965" s="59" t="n"/>
      <c r="V965" s="45">
        <f>IF(OR($A965="",$T965="",$T965="No Issue"),"",IF($T965="Resolved",IF($U965="","",$U965-$A965),TODAY()-$A965))</f>
        <v/>
      </c>
      <c r="W965" s="47">
        <f>IF(AND($C965&lt;&gt;"",$C965='Store History'!$C$4,OR('Store History'!$C$5="",$F965='Store History'!$C$5)),1,0)</f>
        <v/>
      </c>
      <c r="X965" s="47">
        <f>IF($W965=1,SUM($W965:$W$1005),"")</f>
        <v/>
      </c>
    </row>
    <row r="966">
      <c r="A966" s="59" t="n"/>
      <c r="B966" s="60" t="n"/>
      <c r="C966" s="60" t="n"/>
      <c r="D966" s="45">
        <f>IF($C966="","",IFERROR(INDEX('Chain Program'!$B$6:$B$120,MATCH($C966,'Chain Program'!$A$6:$A$120,0)),"Unknown ID"))</f>
        <v/>
      </c>
      <c r="E966" s="45">
        <f>IF($C966="","",IFERROR(INDEX('Chain Program'!$D$6:$D$120,MATCH($C966,'Chain Program'!$A$6:$A$120,0)),"Unknown ID"))</f>
        <v/>
      </c>
      <c r="F966" s="60" t="n"/>
      <c r="G966" s="60" t="n"/>
      <c r="H966" s="56">
        <f>IF(OR($C966="",$A966=""),"",IF(COUNTIFS('Promo Calendar'!$A$6:$A$400,$C966,'Promo Calendar'!$D$6:$D$400,IF($G966="","All",$G966),'Promo Calendar'!$I$6:$I$400,"&lt;="&amp;$A966,'Promo Calendar'!$J$6:$J$400,"&gt;="&amp;$A966,'Promo Calendar'!$G$6:$G$400,"&gt;0")&gt;0,_xlfn.MINIFS('Promo Calendar'!$G$6:$G$400,'Promo Calendar'!$A$6:$A$400,$C966,'Promo Calendar'!$D$6:$D$400,IF($G966="","All",$G966),'Promo Calendar'!$I$6:$I$400,"&lt;="&amp;$A966,'Promo Calendar'!$J$6:$J$400,"&gt;="&amp;$A966,'Promo Calendar'!$G$6:$G$400,"&gt;0"),IF(COUNTIFS('Promo Calendar'!$A$6:$A$400,$C966,'Promo Calendar'!$D$6:$D$400,"All",'Promo Calendar'!$I$6:$I$400,"&lt;="&amp;$A966,'Promo Calendar'!$J$6:$J$400,"&gt;="&amp;$A966,'Promo Calendar'!$G$6:$G$400,"&gt;0")&gt;0,_xlfn.MINIFS('Promo Calendar'!$G$6:$G$400,'Promo Calendar'!$A$6:$A$400,$C966,'Promo Calendar'!$D$6:$D$400,"All",'Promo Calendar'!$I$6:$I$400,"&lt;="&amp;$A966,'Promo Calendar'!$J$6:$J$400,"&gt;="&amp;$A966,'Promo Calendar'!$G$6:$G$400,"&gt;0"),IFERROR(IF(INDEX('Chain Program'!$M$6:$M$120,MATCH($C966,'Chain Program'!$A$6:$A$120,0))="","Not set",INDEX('Chain Program'!$M$6:$M$120,MATCH($C966,'Chain Program'!$A$6:$A$120,0))),"Not set"))))</f>
        <v/>
      </c>
      <c r="I966" s="61" t="n"/>
      <c r="J966" s="45">
        <f>IF($I966="","",IF(NOT(ISNUMBER($H966)),"No plan price",IF(ABS($I966-$H966)&lt;0.005,"Match",IF($I966&gt;$H966,"Over plan","Under plan"))))</f>
        <v/>
      </c>
      <c r="K966" s="60" t="n"/>
      <c r="L966" s="60" t="n"/>
      <c r="M966" s="60" t="n"/>
      <c r="N966" s="60" t="n"/>
      <c r="O966" s="60" t="n"/>
      <c r="P966" s="62" t="n"/>
      <c r="Q966" s="62" t="n"/>
      <c r="R966" s="60" t="n"/>
      <c r="S966" s="59" t="n"/>
      <c r="T966" s="60" t="n"/>
      <c r="U966" s="59" t="n"/>
      <c r="V966" s="45">
        <f>IF(OR($A966="",$T966="",$T966="No Issue"),"",IF($T966="Resolved",IF($U966="","",$U966-$A966),TODAY()-$A966))</f>
        <v/>
      </c>
      <c r="W966" s="47">
        <f>IF(AND($C966&lt;&gt;"",$C966='Store History'!$C$4,OR('Store History'!$C$5="",$F966='Store History'!$C$5)),1,0)</f>
        <v/>
      </c>
      <c r="X966" s="47">
        <f>IF($W966=1,SUM($W966:$W$1005),"")</f>
        <v/>
      </c>
    </row>
    <row r="967">
      <c r="A967" s="59" t="n"/>
      <c r="B967" s="60" t="n"/>
      <c r="C967" s="60" t="n"/>
      <c r="D967" s="45">
        <f>IF($C967="","",IFERROR(INDEX('Chain Program'!$B$6:$B$120,MATCH($C967,'Chain Program'!$A$6:$A$120,0)),"Unknown ID"))</f>
        <v/>
      </c>
      <c r="E967" s="45">
        <f>IF($C967="","",IFERROR(INDEX('Chain Program'!$D$6:$D$120,MATCH($C967,'Chain Program'!$A$6:$A$120,0)),"Unknown ID"))</f>
        <v/>
      </c>
      <c r="F967" s="60" t="n"/>
      <c r="G967" s="60" t="n"/>
      <c r="H967" s="56">
        <f>IF(OR($C967="",$A967=""),"",IF(COUNTIFS('Promo Calendar'!$A$6:$A$400,$C967,'Promo Calendar'!$D$6:$D$400,IF($G967="","All",$G967),'Promo Calendar'!$I$6:$I$400,"&lt;="&amp;$A967,'Promo Calendar'!$J$6:$J$400,"&gt;="&amp;$A967,'Promo Calendar'!$G$6:$G$400,"&gt;0")&gt;0,_xlfn.MINIFS('Promo Calendar'!$G$6:$G$400,'Promo Calendar'!$A$6:$A$400,$C967,'Promo Calendar'!$D$6:$D$400,IF($G967="","All",$G967),'Promo Calendar'!$I$6:$I$400,"&lt;="&amp;$A967,'Promo Calendar'!$J$6:$J$400,"&gt;="&amp;$A967,'Promo Calendar'!$G$6:$G$400,"&gt;0"),IF(COUNTIFS('Promo Calendar'!$A$6:$A$400,$C967,'Promo Calendar'!$D$6:$D$400,"All",'Promo Calendar'!$I$6:$I$400,"&lt;="&amp;$A967,'Promo Calendar'!$J$6:$J$400,"&gt;="&amp;$A967,'Promo Calendar'!$G$6:$G$400,"&gt;0")&gt;0,_xlfn.MINIFS('Promo Calendar'!$G$6:$G$400,'Promo Calendar'!$A$6:$A$400,$C967,'Promo Calendar'!$D$6:$D$400,"All",'Promo Calendar'!$I$6:$I$400,"&lt;="&amp;$A967,'Promo Calendar'!$J$6:$J$400,"&gt;="&amp;$A967,'Promo Calendar'!$G$6:$G$400,"&gt;0"),IFERROR(IF(INDEX('Chain Program'!$M$6:$M$120,MATCH($C967,'Chain Program'!$A$6:$A$120,0))="","Not set",INDEX('Chain Program'!$M$6:$M$120,MATCH($C967,'Chain Program'!$A$6:$A$120,0))),"Not set"))))</f>
        <v/>
      </c>
      <c r="I967" s="61" t="n"/>
      <c r="J967" s="45">
        <f>IF($I967="","",IF(NOT(ISNUMBER($H967)),"No plan price",IF(ABS($I967-$H967)&lt;0.005,"Match",IF($I967&gt;$H967,"Over plan","Under plan"))))</f>
        <v/>
      </c>
      <c r="K967" s="60" t="n"/>
      <c r="L967" s="60" t="n"/>
      <c r="M967" s="60" t="n"/>
      <c r="N967" s="60" t="n"/>
      <c r="O967" s="60" t="n"/>
      <c r="P967" s="62" t="n"/>
      <c r="Q967" s="62" t="n"/>
      <c r="R967" s="60" t="n"/>
      <c r="S967" s="59" t="n"/>
      <c r="T967" s="60" t="n"/>
      <c r="U967" s="59" t="n"/>
      <c r="V967" s="45">
        <f>IF(OR($A967="",$T967="",$T967="No Issue"),"",IF($T967="Resolved",IF($U967="","",$U967-$A967),TODAY()-$A967))</f>
        <v/>
      </c>
      <c r="W967" s="47">
        <f>IF(AND($C967&lt;&gt;"",$C967='Store History'!$C$4,OR('Store History'!$C$5="",$F967='Store History'!$C$5)),1,0)</f>
        <v/>
      </c>
      <c r="X967" s="47">
        <f>IF($W967=1,SUM($W967:$W$1005),"")</f>
        <v/>
      </c>
    </row>
    <row r="968">
      <c r="A968" s="59" t="n"/>
      <c r="B968" s="60" t="n"/>
      <c r="C968" s="60" t="n"/>
      <c r="D968" s="45">
        <f>IF($C968="","",IFERROR(INDEX('Chain Program'!$B$6:$B$120,MATCH($C968,'Chain Program'!$A$6:$A$120,0)),"Unknown ID"))</f>
        <v/>
      </c>
      <c r="E968" s="45">
        <f>IF($C968="","",IFERROR(INDEX('Chain Program'!$D$6:$D$120,MATCH($C968,'Chain Program'!$A$6:$A$120,0)),"Unknown ID"))</f>
        <v/>
      </c>
      <c r="F968" s="60" t="n"/>
      <c r="G968" s="60" t="n"/>
      <c r="H968" s="56">
        <f>IF(OR($C968="",$A968=""),"",IF(COUNTIFS('Promo Calendar'!$A$6:$A$400,$C968,'Promo Calendar'!$D$6:$D$400,IF($G968="","All",$G968),'Promo Calendar'!$I$6:$I$400,"&lt;="&amp;$A968,'Promo Calendar'!$J$6:$J$400,"&gt;="&amp;$A968,'Promo Calendar'!$G$6:$G$400,"&gt;0")&gt;0,_xlfn.MINIFS('Promo Calendar'!$G$6:$G$400,'Promo Calendar'!$A$6:$A$400,$C968,'Promo Calendar'!$D$6:$D$400,IF($G968="","All",$G968),'Promo Calendar'!$I$6:$I$400,"&lt;="&amp;$A968,'Promo Calendar'!$J$6:$J$400,"&gt;="&amp;$A968,'Promo Calendar'!$G$6:$G$400,"&gt;0"),IF(COUNTIFS('Promo Calendar'!$A$6:$A$400,$C968,'Promo Calendar'!$D$6:$D$400,"All",'Promo Calendar'!$I$6:$I$400,"&lt;="&amp;$A968,'Promo Calendar'!$J$6:$J$400,"&gt;="&amp;$A968,'Promo Calendar'!$G$6:$G$400,"&gt;0")&gt;0,_xlfn.MINIFS('Promo Calendar'!$G$6:$G$400,'Promo Calendar'!$A$6:$A$400,$C968,'Promo Calendar'!$D$6:$D$400,"All",'Promo Calendar'!$I$6:$I$400,"&lt;="&amp;$A968,'Promo Calendar'!$J$6:$J$400,"&gt;="&amp;$A968,'Promo Calendar'!$G$6:$G$400,"&gt;0"),IFERROR(IF(INDEX('Chain Program'!$M$6:$M$120,MATCH($C968,'Chain Program'!$A$6:$A$120,0))="","Not set",INDEX('Chain Program'!$M$6:$M$120,MATCH($C968,'Chain Program'!$A$6:$A$120,0))),"Not set"))))</f>
        <v/>
      </c>
      <c r="I968" s="61" t="n"/>
      <c r="J968" s="45">
        <f>IF($I968="","",IF(NOT(ISNUMBER($H968)),"No plan price",IF(ABS($I968-$H968)&lt;0.005,"Match",IF($I968&gt;$H968,"Over plan","Under plan"))))</f>
        <v/>
      </c>
      <c r="K968" s="60" t="n"/>
      <c r="L968" s="60" t="n"/>
      <c r="M968" s="60" t="n"/>
      <c r="N968" s="60" t="n"/>
      <c r="O968" s="60" t="n"/>
      <c r="P968" s="62" t="n"/>
      <c r="Q968" s="62" t="n"/>
      <c r="R968" s="60" t="n"/>
      <c r="S968" s="59" t="n"/>
      <c r="T968" s="60" t="n"/>
      <c r="U968" s="59" t="n"/>
      <c r="V968" s="45">
        <f>IF(OR($A968="",$T968="",$T968="No Issue"),"",IF($T968="Resolved",IF($U968="","",$U968-$A968),TODAY()-$A968))</f>
        <v/>
      </c>
      <c r="W968" s="47">
        <f>IF(AND($C968&lt;&gt;"",$C968='Store History'!$C$4,OR('Store History'!$C$5="",$F968='Store History'!$C$5)),1,0)</f>
        <v/>
      </c>
      <c r="X968" s="47">
        <f>IF($W968=1,SUM($W968:$W$1005),"")</f>
        <v/>
      </c>
    </row>
    <row r="969">
      <c r="A969" s="59" t="n"/>
      <c r="B969" s="60" t="n"/>
      <c r="C969" s="60" t="n"/>
      <c r="D969" s="45">
        <f>IF($C969="","",IFERROR(INDEX('Chain Program'!$B$6:$B$120,MATCH($C969,'Chain Program'!$A$6:$A$120,0)),"Unknown ID"))</f>
        <v/>
      </c>
      <c r="E969" s="45">
        <f>IF($C969="","",IFERROR(INDEX('Chain Program'!$D$6:$D$120,MATCH($C969,'Chain Program'!$A$6:$A$120,0)),"Unknown ID"))</f>
        <v/>
      </c>
      <c r="F969" s="60" t="n"/>
      <c r="G969" s="60" t="n"/>
      <c r="H969" s="56">
        <f>IF(OR($C969="",$A969=""),"",IF(COUNTIFS('Promo Calendar'!$A$6:$A$400,$C969,'Promo Calendar'!$D$6:$D$400,IF($G969="","All",$G969),'Promo Calendar'!$I$6:$I$400,"&lt;="&amp;$A969,'Promo Calendar'!$J$6:$J$400,"&gt;="&amp;$A969,'Promo Calendar'!$G$6:$G$400,"&gt;0")&gt;0,_xlfn.MINIFS('Promo Calendar'!$G$6:$G$400,'Promo Calendar'!$A$6:$A$400,$C969,'Promo Calendar'!$D$6:$D$400,IF($G969="","All",$G969),'Promo Calendar'!$I$6:$I$400,"&lt;="&amp;$A969,'Promo Calendar'!$J$6:$J$400,"&gt;="&amp;$A969,'Promo Calendar'!$G$6:$G$400,"&gt;0"),IF(COUNTIFS('Promo Calendar'!$A$6:$A$400,$C969,'Promo Calendar'!$D$6:$D$400,"All",'Promo Calendar'!$I$6:$I$400,"&lt;="&amp;$A969,'Promo Calendar'!$J$6:$J$400,"&gt;="&amp;$A969,'Promo Calendar'!$G$6:$G$400,"&gt;0")&gt;0,_xlfn.MINIFS('Promo Calendar'!$G$6:$G$400,'Promo Calendar'!$A$6:$A$400,$C969,'Promo Calendar'!$D$6:$D$400,"All",'Promo Calendar'!$I$6:$I$400,"&lt;="&amp;$A969,'Promo Calendar'!$J$6:$J$400,"&gt;="&amp;$A969,'Promo Calendar'!$G$6:$G$400,"&gt;0"),IFERROR(IF(INDEX('Chain Program'!$M$6:$M$120,MATCH($C969,'Chain Program'!$A$6:$A$120,0))="","Not set",INDEX('Chain Program'!$M$6:$M$120,MATCH($C969,'Chain Program'!$A$6:$A$120,0))),"Not set"))))</f>
        <v/>
      </c>
      <c r="I969" s="61" t="n"/>
      <c r="J969" s="45">
        <f>IF($I969="","",IF(NOT(ISNUMBER($H969)),"No plan price",IF(ABS($I969-$H969)&lt;0.005,"Match",IF($I969&gt;$H969,"Over plan","Under plan"))))</f>
        <v/>
      </c>
      <c r="K969" s="60" t="n"/>
      <c r="L969" s="60" t="n"/>
      <c r="M969" s="60" t="n"/>
      <c r="N969" s="60" t="n"/>
      <c r="O969" s="60" t="n"/>
      <c r="P969" s="62" t="n"/>
      <c r="Q969" s="62" t="n"/>
      <c r="R969" s="60" t="n"/>
      <c r="S969" s="59" t="n"/>
      <c r="T969" s="60" t="n"/>
      <c r="U969" s="59" t="n"/>
      <c r="V969" s="45">
        <f>IF(OR($A969="",$T969="",$T969="No Issue"),"",IF($T969="Resolved",IF($U969="","",$U969-$A969),TODAY()-$A969))</f>
        <v/>
      </c>
      <c r="W969" s="47">
        <f>IF(AND($C969&lt;&gt;"",$C969='Store History'!$C$4,OR('Store History'!$C$5="",$F969='Store History'!$C$5)),1,0)</f>
        <v/>
      </c>
      <c r="X969" s="47">
        <f>IF($W969=1,SUM($W969:$W$1005),"")</f>
        <v/>
      </c>
    </row>
    <row r="970">
      <c r="A970" s="59" t="n"/>
      <c r="B970" s="60" t="n"/>
      <c r="C970" s="60" t="n"/>
      <c r="D970" s="45">
        <f>IF($C970="","",IFERROR(INDEX('Chain Program'!$B$6:$B$120,MATCH($C970,'Chain Program'!$A$6:$A$120,0)),"Unknown ID"))</f>
        <v/>
      </c>
      <c r="E970" s="45">
        <f>IF($C970="","",IFERROR(INDEX('Chain Program'!$D$6:$D$120,MATCH($C970,'Chain Program'!$A$6:$A$120,0)),"Unknown ID"))</f>
        <v/>
      </c>
      <c r="F970" s="60" t="n"/>
      <c r="G970" s="60" t="n"/>
      <c r="H970" s="56">
        <f>IF(OR($C970="",$A970=""),"",IF(COUNTIFS('Promo Calendar'!$A$6:$A$400,$C970,'Promo Calendar'!$D$6:$D$400,IF($G970="","All",$G970),'Promo Calendar'!$I$6:$I$400,"&lt;="&amp;$A970,'Promo Calendar'!$J$6:$J$400,"&gt;="&amp;$A970,'Promo Calendar'!$G$6:$G$400,"&gt;0")&gt;0,_xlfn.MINIFS('Promo Calendar'!$G$6:$G$400,'Promo Calendar'!$A$6:$A$400,$C970,'Promo Calendar'!$D$6:$D$400,IF($G970="","All",$G970),'Promo Calendar'!$I$6:$I$400,"&lt;="&amp;$A970,'Promo Calendar'!$J$6:$J$400,"&gt;="&amp;$A970,'Promo Calendar'!$G$6:$G$400,"&gt;0"),IF(COUNTIFS('Promo Calendar'!$A$6:$A$400,$C970,'Promo Calendar'!$D$6:$D$400,"All",'Promo Calendar'!$I$6:$I$400,"&lt;="&amp;$A970,'Promo Calendar'!$J$6:$J$400,"&gt;="&amp;$A970,'Promo Calendar'!$G$6:$G$400,"&gt;0")&gt;0,_xlfn.MINIFS('Promo Calendar'!$G$6:$G$400,'Promo Calendar'!$A$6:$A$400,$C970,'Promo Calendar'!$D$6:$D$400,"All",'Promo Calendar'!$I$6:$I$400,"&lt;="&amp;$A970,'Promo Calendar'!$J$6:$J$400,"&gt;="&amp;$A970,'Promo Calendar'!$G$6:$G$400,"&gt;0"),IFERROR(IF(INDEX('Chain Program'!$M$6:$M$120,MATCH($C970,'Chain Program'!$A$6:$A$120,0))="","Not set",INDEX('Chain Program'!$M$6:$M$120,MATCH($C970,'Chain Program'!$A$6:$A$120,0))),"Not set"))))</f>
        <v/>
      </c>
      <c r="I970" s="61" t="n"/>
      <c r="J970" s="45">
        <f>IF($I970="","",IF(NOT(ISNUMBER($H970)),"No plan price",IF(ABS($I970-$H970)&lt;0.005,"Match",IF($I970&gt;$H970,"Over plan","Under plan"))))</f>
        <v/>
      </c>
      <c r="K970" s="60" t="n"/>
      <c r="L970" s="60" t="n"/>
      <c r="M970" s="60" t="n"/>
      <c r="N970" s="60" t="n"/>
      <c r="O970" s="60" t="n"/>
      <c r="P970" s="62" t="n"/>
      <c r="Q970" s="62" t="n"/>
      <c r="R970" s="60" t="n"/>
      <c r="S970" s="59" t="n"/>
      <c r="T970" s="60" t="n"/>
      <c r="U970" s="59" t="n"/>
      <c r="V970" s="45">
        <f>IF(OR($A970="",$T970="",$T970="No Issue"),"",IF($T970="Resolved",IF($U970="","",$U970-$A970),TODAY()-$A970))</f>
        <v/>
      </c>
      <c r="W970" s="47">
        <f>IF(AND($C970&lt;&gt;"",$C970='Store History'!$C$4,OR('Store History'!$C$5="",$F970='Store History'!$C$5)),1,0)</f>
        <v/>
      </c>
      <c r="X970" s="47">
        <f>IF($W970=1,SUM($W970:$W$1005),"")</f>
        <v/>
      </c>
    </row>
    <row r="971">
      <c r="A971" s="59" t="n"/>
      <c r="B971" s="60" t="n"/>
      <c r="C971" s="60" t="n"/>
      <c r="D971" s="45">
        <f>IF($C971="","",IFERROR(INDEX('Chain Program'!$B$6:$B$120,MATCH($C971,'Chain Program'!$A$6:$A$120,0)),"Unknown ID"))</f>
        <v/>
      </c>
      <c r="E971" s="45">
        <f>IF($C971="","",IFERROR(INDEX('Chain Program'!$D$6:$D$120,MATCH($C971,'Chain Program'!$A$6:$A$120,0)),"Unknown ID"))</f>
        <v/>
      </c>
      <c r="F971" s="60" t="n"/>
      <c r="G971" s="60" t="n"/>
      <c r="H971" s="56">
        <f>IF(OR($C971="",$A971=""),"",IF(COUNTIFS('Promo Calendar'!$A$6:$A$400,$C971,'Promo Calendar'!$D$6:$D$400,IF($G971="","All",$G971),'Promo Calendar'!$I$6:$I$400,"&lt;="&amp;$A971,'Promo Calendar'!$J$6:$J$400,"&gt;="&amp;$A971,'Promo Calendar'!$G$6:$G$400,"&gt;0")&gt;0,_xlfn.MINIFS('Promo Calendar'!$G$6:$G$400,'Promo Calendar'!$A$6:$A$400,$C971,'Promo Calendar'!$D$6:$D$400,IF($G971="","All",$G971),'Promo Calendar'!$I$6:$I$400,"&lt;="&amp;$A971,'Promo Calendar'!$J$6:$J$400,"&gt;="&amp;$A971,'Promo Calendar'!$G$6:$G$400,"&gt;0"),IF(COUNTIFS('Promo Calendar'!$A$6:$A$400,$C971,'Promo Calendar'!$D$6:$D$400,"All",'Promo Calendar'!$I$6:$I$400,"&lt;="&amp;$A971,'Promo Calendar'!$J$6:$J$400,"&gt;="&amp;$A971,'Promo Calendar'!$G$6:$G$400,"&gt;0")&gt;0,_xlfn.MINIFS('Promo Calendar'!$G$6:$G$400,'Promo Calendar'!$A$6:$A$400,$C971,'Promo Calendar'!$D$6:$D$400,"All",'Promo Calendar'!$I$6:$I$400,"&lt;="&amp;$A971,'Promo Calendar'!$J$6:$J$400,"&gt;="&amp;$A971,'Promo Calendar'!$G$6:$G$400,"&gt;0"),IFERROR(IF(INDEX('Chain Program'!$M$6:$M$120,MATCH($C971,'Chain Program'!$A$6:$A$120,0))="","Not set",INDEX('Chain Program'!$M$6:$M$120,MATCH($C971,'Chain Program'!$A$6:$A$120,0))),"Not set"))))</f>
        <v/>
      </c>
      <c r="I971" s="61" t="n"/>
      <c r="J971" s="45">
        <f>IF($I971="","",IF(NOT(ISNUMBER($H971)),"No plan price",IF(ABS($I971-$H971)&lt;0.005,"Match",IF($I971&gt;$H971,"Over plan","Under plan"))))</f>
        <v/>
      </c>
      <c r="K971" s="60" t="n"/>
      <c r="L971" s="60" t="n"/>
      <c r="M971" s="60" t="n"/>
      <c r="N971" s="60" t="n"/>
      <c r="O971" s="60" t="n"/>
      <c r="P971" s="62" t="n"/>
      <c r="Q971" s="62" t="n"/>
      <c r="R971" s="60" t="n"/>
      <c r="S971" s="59" t="n"/>
      <c r="T971" s="60" t="n"/>
      <c r="U971" s="59" t="n"/>
      <c r="V971" s="45">
        <f>IF(OR($A971="",$T971="",$T971="No Issue"),"",IF($T971="Resolved",IF($U971="","",$U971-$A971),TODAY()-$A971))</f>
        <v/>
      </c>
      <c r="W971" s="47">
        <f>IF(AND($C971&lt;&gt;"",$C971='Store History'!$C$4,OR('Store History'!$C$5="",$F971='Store History'!$C$5)),1,0)</f>
        <v/>
      </c>
      <c r="X971" s="47">
        <f>IF($W971=1,SUM($W971:$W$1005),"")</f>
        <v/>
      </c>
    </row>
    <row r="972">
      <c r="A972" s="59" t="n"/>
      <c r="B972" s="60" t="n"/>
      <c r="C972" s="60" t="n"/>
      <c r="D972" s="45">
        <f>IF($C972="","",IFERROR(INDEX('Chain Program'!$B$6:$B$120,MATCH($C972,'Chain Program'!$A$6:$A$120,0)),"Unknown ID"))</f>
        <v/>
      </c>
      <c r="E972" s="45">
        <f>IF($C972="","",IFERROR(INDEX('Chain Program'!$D$6:$D$120,MATCH($C972,'Chain Program'!$A$6:$A$120,0)),"Unknown ID"))</f>
        <v/>
      </c>
      <c r="F972" s="60" t="n"/>
      <c r="G972" s="60" t="n"/>
      <c r="H972" s="56">
        <f>IF(OR($C972="",$A972=""),"",IF(COUNTIFS('Promo Calendar'!$A$6:$A$400,$C972,'Promo Calendar'!$D$6:$D$400,IF($G972="","All",$G972),'Promo Calendar'!$I$6:$I$400,"&lt;="&amp;$A972,'Promo Calendar'!$J$6:$J$400,"&gt;="&amp;$A972,'Promo Calendar'!$G$6:$G$400,"&gt;0")&gt;0,_xlfn.MINIFS('Promo Calendar'!$G$6:$G$400,'Promo Calendar'!$A$6:$A$400,$C972,'Promo Calendar'!$D$6:$D$400,IF($G972="","All",$G972),'Promo Calendar'!$I$6:$I$400,"&lt;="&amp;$A972,'Promo Calendar'!$J$6:$J$400,"&gt;="&amp;$A972,'Promo Calendar'!$G$6:$G$400,"&gt;0"),IF(COUNTIFS('Promo Calendar'!$A$6:$A$400,$C972,'Promo Calendar'!$D$6:$D$400,"All",'Promo Calendar'!$I$6:$I$400,"&lt;="&amp;$A972,'Promo Calendar'!$J$6:$J$400,"&gt;="&amp;$A972,'Promo Calendar'!$G$6:$G$400,"&gt;0")&gt;0,_xlfn.MINIFS('Promo Calendar'!$G$6:$G$400,'Promo Calendar'!$A$6:$A$400,$C972,'Promo Calendar'!$D$6:$D$400,"All",'Promo Calendar'!$I$6:$I$400,"&lt;="&amp;$A972,'Promo Calendar'!$J$6:$J$400,"&gt;="&amp;$A972,'Promo Calendar'!$G$6:$G$400,"&gt;0"),IFERROR(IF(INDEX('Chain Program'!$M$6:$M$120,MATCH($C972,'Chain Program'!$A$6:$A$120,0))="","Not set",INDEX('Chain Program'!$M$6:$M$120,MATCH($C972,'Chain Program'!$A$6:$A$120,0))),"Not set"))))</f>
        <v/>
      </c>
      <c r="I972" s="61" t="n"/>
      <c r="J972" s="45">
        <f>IF($I972="","",IF(NOT(ISNUMBER($H972)),"No plan price",IF(ABS($I972-$H972)&lt;0.005,"Match",IF($I972&gt;$H972,"Over plan","Under plan"))))</f>
        <v/>
      </c>
      <c r="K972" s="60" t="n"/>
      <c r="L972" s="60" t="n"/>
      <c r="M972" s="60" t="n"/>
      <c r="N972" s="60" t="n"/>
      <c r="O972" s="60" t="n"/>
      <c r="P972" s="62" t="n"/>
      <c r="Q972" s="62" t="n"/>
      <c r="R972" s="60" t="n"/>
      <c r="S972" s="59" t="n"/>
      <c r="T972" s="60" t="n"/>
      <c r="U972" s="59" t="n"/>
      <c r="V972" s="45">
        <f>IF(OR($A972="",$T972="",$T972="No Issue"),"",IF($T972="Resolved",IF($U972="","",$U972-$A972),TODAY()-$A972))</f>
        <v/>
      </c>
      <c r="W972" s="47">
        <f>IF(AND($C972&lt;&gt;"",$C972='Store History'!$C$4,OR('Store History'!$C$5="",$F972='Store History'!$C$5)),1,0)</f>
        <v/>
      </c>
      <c r="X972" s="47">
        <f>IF($W972=1,SUM($W972:$W$1005),"")</f>
        <v/>
      </c>
    </row>
    <row r="973">
      <c r="A973" s="59" t="n"/>
      <c r="B973" s="60" t="n"/>
      <c r="C973" s="60" t="n"/>
      <c r="D973" s="45">
        <f>IF($C973="","",IFERROR(INDEX('Chain Program'!$B$6:$B$120,MATCH($C973,'Chain Program'!$A$6:$A$120,0)),"Unknown ID"))</f>
        <v/>
      </c>
      <c r="E973" s="45">
        <f>IF($C973="","",IFERROR(INDEX('Chain Program'!$D$6:$D$120,MATCH($C973,'Chain Program'!$A$6:$A$120,0)),"Unknown ID"))</f>
        <v/>
      </c>
      <c r="F973" s="60" t="n"/>
      <c r="G973" s="60" t="n"/>
      <c r="H973" s="56">
        <f>IF(OR($C973="",$A973=""),"",IF(COUNTIFS('Promo Calendar'!$A$6:$A$400,$C973,'Promo Calendar'!$D$6:$D$400,IF($G973="","All",$G973),'Promo Calendar'!$I$6:$I$400,"&lt;="&amp;$A973,'Promo Calendar'!$J$6:$J$400,"&gt;="&amp;$A973,'Promo Calendar'!$G$6:$G$400,"&gt;0")&gt;0,_xlfn.MINIFS('Promo Calendar'!$G$6:$G$400,'Promo Calendar'!$A$6:$A$400,$C973,'Promo Calendar'!$D$6:$D$400,IF($G973="","All",$G973),'Promo Calendar'!$I$6:$I$400,"&lt;="&amp;$A973,'Promo Calendar'!$J$6:$J$400,"&gt;="&amp;$A973,'Promo Calendar'!$G$6:$G$400,"&gt;0"),IF(COUNTIFS('Promo Calendar'!$A$6:$A$400,$C973,'Promo Calendar'!$D$6:$D$400,"All",'Promo Calendar'!$I$6:$I$400,"&lt;="&amp;$A973,'Promo Calendar'!$J$6:$J$400,"&gt;="&amp;$A973,'Promo Calendar'!$G$6:$G$400,"&gt;0")&gt;0,_xlfn.MINIFS('Promo Calendar'!$G$6:$G$400,'Promo Calendar'!$A$6:$A$400,$C973,'Promo Calendar'!$D$6:$D$400,"All",'Promo Calendar'!$I$6:$I$400,"&lt;="&amp;$A973,'Promo Calendar'!$J$6:$J$400,"&gt;="&amp;$A973,'Promo Calendar'!$G$6:$G$400,"&gt;0"),IFERROR(IF(INDEX('Chain Program'!$M$6:$M$120,MATCH($C973,'Chain Program'!$A$6:$A$120,0))="","Not set",INDEX('Chain Program'!$M$6:$M$120,MATCH($C973,'Chain Program'!$A$6:$A$120,0))),"Not set"))))</f>
        <v/>
      </c>
      <c r="I973" s="61" t="n"/>
      <c r="J973" s="45">
        <f>IF($I973="","",IF(NOT(ISNUMBER($H973)),"No plan price",IF(ABS($I973-$H973)&lt;0.005,"Match",IF($I973&gt;$H973,"Over plan","Under plan"))))</f>
        <v/>
      </c>
      <c r="K973" s="60" t="n"/>
      <c r="L973" s="60" t="n"/>
      <c r="M973" s="60" t="n"/>
      <c r="N973" s="60" t="n"/>
      <c r="O973" s="60" t="n"/>
      <c r="P973" s="62" t="n"/>
      <c r="Q973" s="62" t="n"/>
      <c r="R973" s="60" t="n"/>
      <c r="S973" s="59" t="n"/>
      <c r="T973" s="60" t="n"/>
      <c r="U973" s="59" t="n"/>
      <c r="V973" s="45">
        <f>IF(OR($A973="",$T973="",$T973="No Issue"),"",IF($T973="Resolved",IF($U973="","",$U973-$A973),TODAY()-$A973))</f>
        <v/>
      </c>
      <c r="W973" s="47">
        <f>IF(AND($C973&lt;&gt;"",$C973='Store History'!$C$4,OR('Store History'!$C$5="",$F973='Store History'!$C$5)),1,0)</f>
        <v/>
      </c>
      <c r="X973" s="47">
        <f>IF($W973=1,SUM($W973:$W$1005),"")</f>
        <v/>
      </c>
    </row>
    <row r="974">
      <c r="A974" s="59" t="n"/>
      <c r="B974" s="60" t="n"/>
      <c r="C974" s="60" t="n"/>
      <c r="D974" s="45">
        <f>IF($C974="","",IFERROR(INDEX('Chain Program'!$B$6:$B$120,MATCH($C974,'Chain Program'!$A$6:$A$120,0)),"Unknown ID"))</f>
        <v/>
      </c>
      <c r="E974" s="45">
        <f>IF($C974="","",IFERROR(INDEX('Chain Program'!$D$6:$D$120,MATCH($C974,'Chain Program'!$A$6:$A$120,0)),"Unknown ID"))</f>
        <v/>
      </c>
      <c r="F974" s="60" t="n"/>
      <c r="G974" s="60" t="n"/>
      <c r="H974" s="56">
        <f>IF(OR($C974="",$A974=""),"",IF(COUNTIFS('Promo Calendar'!$A$6:$A$400,$C974,'Promo Calendar'!$D$6:$D$400,IF($G974="","All",$G974),'Promo Calendar'!$I$6:$I$400,"&lt;="&amp;$A974,'Promo Calendar'!$J$6:$J$400,"&gt;="&amp;$A974,'Promo Calendar'!$G$6:$G$400,"&gt;0")&gt;0,_xlfn.MINIFS('Promo Calendar'!$G$6:$G$400,'Promo Calendar'!$A$6:$A$400,$C974,'Promo Calendar'!$D$6:$D$400,IF($G974="","All",$G974),'Promo Calendar'!$I$6:$I$400,"&lt;="&amp;$A974,'Promo Calendar'!$J$6:$J$400,"&gt;="&amp;$A974,'Promo Calendar'!$G$6:$G$400,"&gt;0"),IF(COUNTIFS('Promo Calendar'!$A$6:$A$400,$C974,'Promo Calendar'!$D$6:$D$400,"All",'Promo Calendar'!$I$6:$I$400,"&lt;="&amp;$A974,'Promo Calendar'!$J$6:$J$400,"&gt;="&amp;$A974,'Promo Calendar'!$G$6:$G$400,"&gt;0")&gt;0,_xlfn.MINIFS('Promo Calendar'!$G$6:$G$400,'Promo Calendar'!$A$6:$A$400,$C974,'Promo Calendar'!$D$6:$D$400,"All",'Promo Calendar'!$I$6:$I$400,"&lt;="&amp;$A974,'Promo Calendar'!$J$6:$J$400,"&gt;="&amp;$A974,'Promo Calendar'!$G$6:$G$400,"&gt;0"),IFERROR(IF(INDEX('Chain Program'!$M$6:$M$120,MATCH($C974,'Chain Program'!$A$6:$A$120,0))="","Not set",INDEX('Chain Program'!$M$6:$M$120,MATCH($C974,'Chain Program'!$A$6:$A$120,0))),"Not set"))))</f>
        <v/>
      </c>
      <c r="I974" s="61" t="n"/>
      <c r="J974" s="45">
        <f>IF($I974="","",IF(NOT(ISNUMBER($H974)),"No plan price",IF(ABS($I974-$H974)&lt;0.005,"Match",IF($I974&gt;$H974,"Over plan","Under plan"))))</f>
        <v/>
      </c>
      <c r="K974" s="60" t="n"/>
      <c r="L974" s="60" t="n"/>
      <c r="M974" s="60" t="n"/>
      <c r="N974" s="60" t="n"/>
      <c r="O974" s="60" t="n"/>
      <c r="P974" s="62" t="n"/>
      <c r="Q974" s="62" t="n"/>
      <c r="R974" s="60" t="n"/>
      <c r="S974" s="59" t="n"/>
      <c r="T974" s="60" t="n"/>
      <c r="U974" s="59" t="n"/>
      <c r="V974" s="45">
        <f>IF(OR($A974="",$T974="",$T974="No Issue"),"",IF($T974="Resolved",IF($U974="","",$U974-$A974),TODAY()-$A974))</f>
        <v/>
      </c>
      <c r="W974" s="47">
        <f>IF(AND($C974&lt;&gt;"",$C974='Store History'!$C$4,OR('Store History'!$C$5="",$F974='Store History'!$C$5)),1,0)</f>
        <v/>
      </c>
      <c r="X974" s="47">
        <f>IF($W974=1,SUM($W974:$W$1005),"")</f>
        <v/>
      </c>
    </row>
    <row r="975">
      <c r="A975" s="59" t="n"/>
      <c r="B975" s="60" t="n"/>
      <c r="C975" s="60" t="n"/>
      <c r="D975" s="45">
        <f>IF($C975="","",IFERROR(INDEX('Chain Program'!$B$6:$B$120,MATCH($C975,'Chain Program'!$A$6:$A$120,0)),"Unknown ID"))</f>
        <v/>
      </c>
      <c r="E975" s="45">
        <f>IF($C975="","",IFERROR(INDEX('Chain Program'!$D$6:$D$120,MATCH($C975,'Chain Program'!$A$6:$A$120,0)),"Unknown ID"))</f>
        <v/>
      </c>
      <c r="F975" s="60" t="n"/>
      <c r="G975" s="60" t="n"/>
      <c r="H975" s="56">
        <f>IF(OR($C975="",$A975=""),"",IF(COUNTIFS('Promo Calendar'!$A$6:$A$400,$C975,'Promo Calendar'!$D$6:$D$400,IF($G975="","All",$G975),'Promo Calendar'!$I$6:$I$400,"&lt;="&amp;$A975,'Promo Calendar'!$J$6:$J$400,"&gt;="&amp;$A975,'Promo Calendar'!$G$6:$G$400,"&gt;0")&gt;0,_xlfn.MINIFS('Promo Calendar'!$G$6:$G$400,'Promo Calendar'!$A$6:$A$400,$C975,'Promo Calendar'!$D$6:$D$400,IF($G975="","All",$G975),'Promo Calendar'!$I$6:$I$400,"&lt;="&amp;$A975,'Promo Calendar'!$J$6:$J$400,"&gt;="&amp;$A975,'Promo Calendar'!$G$6:$G$400,"&gt;0"),IF(COUNTIFS('Promo Calendar'!$A$6:$A$400,$C975,'Promo Calendar'!$D$6:$D$400,"All",'Promo Calendar'!$I$6:$I$400,"&lt;="&amp;$A975,'Promo Calendar'!$J$6:$J$400,"&gt;="&amp;$A975,'Promo Calendar'!$G$6:$G$400,"&gt;0")&gt;0,_xlfn.MINIFS('Promo Calendar'!$G$6:$G$400,'Promo Calendar'!$A$6:$A$400,$C975,'Promo Calendar'!$D$6:$D$400,"All",'Promo Calendar'!$I$6:$I$400,"&lt;="&amp;$A975,'Promo Calendar'!$J$6:$J$400,"&gt;="&amp;$A975,'Promo Calendar'!$G$6:$G$400,"&gt;0"),IFERROR(IF(INDEX('Chain Program'!$M$6:$M$120,MATCH($C975,'Chain Program'!$A$6:$A$120,0))="","Not set",INDEX('Chain Program'!$M$6:$M$120,MATCH($C975,'Chain Program'!$A$6:$A$120,0))),"Not set"))))</f>
        <v/>
      </c>
      <c r="I975" s="61" t="n"/>
      <c r="J975" s="45">
        <f>IF($I975="","",IF(NOT(ISNUMBER($H975)),"No plan price",IF(ABS($I975-$H975)&lt;0.005,"Match",IF($I975&gt;$H975,"Over plan","Under plan"))))</f>
        <v/>
      </c>
      <c r="K975" s="60" t="n"/>
      <c r="L975" s="60" t="n"/>
      <c r="M975" s="60" t="n"/>
      <c r="N975" s="60" t="n"/>
      <c r="O975" s="60" t="n"/>
      <c r="P975" s="62" t="n"/>
      <c r="Q975" s="62" t="n"/>
      <c r="R975" s="60" t="n"/>
      <c r="S975" s="59" t="n"/>
      <c r="T975" s="60" t="n"/>
      <c r="U975" s="59" t="n"/>
      <c r="V975" s="45">
        <f>IF(OR($A975="",$T975="",$T975="No Issue"),"",IF($T975="Resolved",IF($U975="","",$U975-$A975),TODAY()-$A975))</f>
        <v/>
      </c>
      <c r="W975" s="47">
        <f>IF(AND($C975&lt;&gt;"",$C975='Store History'!$C$4,OR('Store History'!$C$5="",$F975='Store History'!$C$5)),1,0)</f>
        <v/>
      </c>
      <c r="X975" s="47">
        <f>IF($W975=1,SUM($W975:$W$1005),"")</f>
        <v/>
      </c>
    </row>
    <row r="976">
      <c r="A976" s="59" t="n"/>
      <c r="B976" s="60" t="n"/>
      <c r="C976" s="60" t="n"/>
      <c r="D976" s="45">
        <f>IF($C976="","",IFERROR(INDEX('Chain Program'!$B$6:$B$120,MATCH($C976,'Chain Program'!$A$6:$A$120,0)),"Unknown ID"))</f>
        <v/>
      </c>
      <c r="E976" s="45">
        <f>IF($C976="","",IFERROR(INDEX('Chain Program'!$D$6:$D$120,MATCH($C976,'Chain Program'!$A$6:$A$120,0)),"Unknown ID"))</f>
        <v/>
      </c>
      <c r="F976" s="60" t="n"/>
      <c r="G976" s="60" t="n"/>
      <c r="H976" s="56">
        <f>IF(OR($C976="",$A976=""),"",IF(COUNTIFS('Promo Calendar'!$A$6:$A$400,$C976,'Promo Calendar'!$D$6:$D$400,IF($G976="","All",$G976),'Promo Calendar'!$I$6:$I$400,"&lt;="&amp;$A976,'Promo Calendar'!$J$6:$J$400,"&gt;="&amp;$A976,'Promo Calendar'!$G$6:$G$400,"&gt;0")&gt;0,_xlfn.MINIFS('Promo Calendar'!$G$6:$G$400,'Promo Calendar'!$A$6:$A$400,$C976,'Promo Calendar'!$D$6:$D$400,IF($G976="","All",$G976),'Promo Calendar'!$I$6:$I$400,"&lt;="&amp;$A976,'Promo Calendar'!$J$6:$J$400,"&gt;="&amp;$A976,'Promo Calendar'!$G$6:$G$400,"&gt;0"),IF(COUNTIFS('Promo Calendar'!$A$6:$A$400,$C976,'Promo Calendar'!$D$6:$D$400,"All",'Promo Calendar'!$I$6:$I$400,"&lt;="&amp;$A976,'Promo Calendar'!$J$6:$J$400,"&gt;="&amp;$A976,'Promo Calendar'!$G$6:$G$400,"&gt;0")&gt;0,_xlfn.MINIFS('Promo Calendar'!$G$6:$G$400,'Promo Calendar'!$A$6:$A$400,$C976,'Promo Calendar'!$D$6:$D$400,"All",'Promo Calendar'!$I$6:$I$400,"&lt;="&amp;$A976,'Promo Calendar'!$J$6:$J$400,"&gt;="&amp;$A976,'Promo Calendar'!$G$6:$G$400,"&gt;0"),IFERROR(IF(INDEX('Chain Program'!$M$6:$M$120,MATCH($C976,'Chain Program'!$A$6:$A$120,0))="","Not set",INDEX('Chain Program'!$M$6:$M$120,MATCH($C976,'Chain Program'!$A$6:$A$120,0))),"Not set"))))</f>
        <v/>
      </c>
      <c r="I976" s="61" t="n"/>
      <c r="J976" s="45">
        <f>IF($I976="","",IF(NOT(ISNUMBER($H976)),"No plan price",IF(ABS($I976-$H976)&lt;0.005,"Match",IF($I976&gt;$H976,"Over plan","Under plan"))))</f>
        <v/>
      </c>
      <c r="K976" s="60" t="n"/>
      <c r="L976" s="60" t="n"/>
      <c r="M976" s="60" t="n"/>
      <c r="N976" s="60" t="n"/>
      <c r="O976" s="60" t="n"/>
      <c r="P976" s="62" t="n"/>
      <c r="Q976" s="62" t="n"/>
      <c r="R976" s="60" t="n"/>
      <c r="S976" s="59" t="n"/>
      <c r="T976" s="60" t="n"/>
      <c r="U976" s="59" t="n"/>
      <c r="V976" s="45">
        <f>IF(OR($A976="",$T976="",$T976="No Issue"),"",IF($T976="Resolved",IF($U976="","",$U976-$A976),TODAY()-$A976))</f>
        <v/>
      </c>
      <c r="W976" s="47">
        <f>IF(AND($C976&lt;&gt;"",$C976='Store History'!$C$4,OR('Store History'!$C$5="",$F976='Store History'!$C$5)),1,0)</f>
        <v/>
      </c>
      <c r="X976" s="47">
        <f>IF($W976=1,SUM($W976:$W$1005),"")</f>
        <v/>
      </c>
    </row>
    <row r="977">
      <c r="A977" s="59" t="n"/>
      <c r="B977" s="60" t="n"/>
      <c r="C977" s="60" t="n"/>
      <c r="D977" s="45">
        <f>IF($C977="","",IFERROR(INDEX('Chain Program'!$B$6:$B$120,MATCH($C977,'Chain Program'!$A$6:$A$120,0)),"Unknown ID"))</f>
        <v/>
      </c>
      <c r="E977" s="45">
        <f>IF($C977="","",IFERROR(INDEX('Chain Program'!$D$6:$D$120,MATCH($C977,'Chain Program'!$A$6:$A$120,0)),"Unknown ID"))</f>
        <v/>
      </c>
      <c r="F977" s="60" t="n"/>
      <c r="G977" s="60" t="n"/>
      <c r="H977" s="56">
        <f>IF(OR($C977="",$A977=""),"",IF(COUNTIFS('Promo Calendar'!$A$6:$A$400,$C977,'Promo Calendar'!$D$6:$D$400,IF($G977="","All",$G977),'Promo Calendar'!$I$6:$I$400,"&lt;="&amp;$A977,'Promo Calendar'!$J$6:$J$400,"&gt;="&amp;$A977,'Promo Calendar'!$G$6:$G$400,"&gt;0")&gt;0,_xlfn.MINIFS('Promo Calendar'!$G$6:$G$400,'Promo Calendar'!$A$6:$A$400,$C977,'Promo Calendar'!$D$6:$D$400,IF($G977="","All",$G977),'Promo Calendar'!$I$6:$I$400,"&lt;="&amp;$A977,'Promo Calendar'!$J$6:$J$400,"&gt;="&amp;$A977,'Promo Calendar'!$G$6:$G$400,"&gt;0"),IF(COUNTIFS('Promo Calendar'!$A$6:$A$400,$C977,'Promo Calendar'!$D$6:$D$400,"All",'Promo Calendar'!$I$6:$I$400,"&lt;="&amp;$A977,'Promo Calendar'!$J$6:$J$400,"&gt;="&amp;$A977,'Promo Calendar'!$G$6:$G$400,"&gt;0")&gt;0,_xlfn.MINIFS('Promo Calendar'!$G$6:$G$400,'Promo Calendar'!$A$6:$A$400,$C977,'Promo Calendar'!$D$6:$D$400,"All",'Promo Calendar'!$I$6:$I$400,"&lt;="&amp;$A977,'Promo Calendar'!$J$6:$J$400,"&gt;="&amp;$A977,'Promo Calendar'!$G$6:$G$400,"&gt;0"),IFERROR(IF(INDEX('Chain Program'!$M$6:$M$120,MATCH($C977,'Chain Program'!$A$6:$A$120,0))="","Not set",INDEX('Chain Program'!$M$6:$M$120,MATCH($C977,'Chain Program'!$A$6:$A$120,0))),"Not set"))))</f>
        <v/>
      </c>
      <c r="I977" s="61" t="n"/>
      <c r="J977" s="45">
        <f>IF($I977="","",IF(NOT(ISNUMBER($H977)),"No plan price",IF(ABS($I977-$H977)&lt;0.005,"Match",IF($I977&gt;$H977,"Over plan","Under plan"))))</f>
        <v/>
      </c>
      <c r="K977" s="60" t="n"/>
      <c r="L977" s="60" t="n"/>
      <c r="M977" s="60" t="n"/>
      <c r="N977" s="60" t="n"/>
      <c r="O977" s="60" t="n"/>
      <c r="P977" s="62" t="n"/>
      <c r="Q977" s="62" t="n"/>
      <c r="R977" s="60" t="n"/>
      <c r="S977" s="59" t="n"/>
      <c r="T977" s="60" t="n"/>
      <c r="U977" s="59" t="n"/>
      <c r="V977" s="45">
        <f>IF(OR($A977="",$T977="",$T977="No Issue"),"",IF($T977="Resolved",IF($U977="","",$U977-$A977),TODAY()-$A977))</f>
        <v/>
      </c>
      <c r="W977" s="47">
        <f>IF(AND($C977&lt;&gt;"",$C977='Store History'!$C$4,OR('Store History'!$C$5="",$F977='Store History'!$C$5)),1,0)</f>
        <v/>
      </c>
      <c r="X977" s="47">
        <f>IF($W977=1,SUM($W977:$W$1005),"")</f>
        <v/>
      </c>
    </row>
    <row r="978">
      <c r="A978" s="59" t="n"/>
      <c r="B978" s="60" t="n"/>
      <c r="C978" s="60" t="n"/>
      <c r="D978" s="45">
        <f>IF($C978="","",IFERROR(INDEX('Chain Program'!$B$6:$B$120,MATCH($C978,'Chain Program'!$A$6:$A$120,0)),"Unknown ID"))</f>
        <v/>
      </c>
      <c r="E978" s="45">
        <f>IF($C978="","",IFERROR(INDEX('Chain Program'!$D$6:$D$120,MATCH($C978,'Chain Program'!$A$6:$A$120,0)),"Unknown ID"))</f>
        <v/>
      </c>
      <c r="F978" s="60" t="n"/>
      <c r="G978" s="60" t="n"/>
      <c r="H978" s="56">
        <f>IF(OR($C978="",$A978=""),"",IF(COUNTIFS('Promo Calendar'!$A$6:$A$400,$C978,'Promo Calendar'!$D$6:$D$400,IF($G978="","All",$G978),'Promo Calendar'!$I$6:$I$400,"&lt;="&amp;$A978,'Promo Calendar'!$J$6:$J$400,"&gt;="&amp;$A978,'Promo Calendar'!$G$6:$G$400,"&gt;0")&gt;0,_xlfn.MINIFS('Promo Calendar'!$G$6:$G$400,'Promo Calendar'!$A$6:$A$400,$C978,'Promo Calendar'!$D$6:$D$400,IF($G978="","All",$G978),'Promo Calendar'!$I$6:$I$400,"&lt;="&amp;$A978,'Promo Calendar'!$J$6:$J$400,"&gt;="&amp;$A978,'Promo Calendar'!$G$6:$G$400,"&gt;0"),IF(COUNTIFS('Promo Calendar'!$A$6:$A$400,$C978,'Promo Calendar'!$D$6:$D$400,"All",'Promo Calendar'!$I$6:$I$400,"&lt;="&amp;$A978,'Promo Calendar'!$J$6:$J$400,"&gt;="&amp;$A978,'Promo Calendar'!$G$6:$G$400,"&gt;0")&gt;0,_xlfn.MINIFS('Promo Calendar'!$G$6:$G$400,'Promo Calendar'!$A$6:$A$400,$C978,'Promo Calendar'!$D$6:$D$400,"All",'Promo Calendar'!$I$6:$I$400,"&lt;="&amp;$A978,'Promo Calendar'!$J$6:$J$400,"&gt;="&amp;$A978,'Promo Calendar'!$G$6:$G$400,"&gt;0"),IFERROR(IF(INDEX('Chain Program'!$M$6:$M$120,MATCH($C978,'Chain Program'!$A$6:$A$120,0))="","Not set",INDEX('Chain Program'!$M$6:$M$120,MATCH($C978,'Chain Program'!$A$6:$A$120,0))),"Not set"))))</f>
        <v/>
      </c>
      <c r="I978" s="61" t="n"/>
      <c r="J978" s="45">
        <f>IF($I978="","",IF(NOT(ISNUMBER($H978)),"No plan price",IF(ABS($I978-$H978)&lt;0.005,"Match",IF($I978&gt;$H978,"Over plan","Under plan"))))</f>
        <v/>
      </c>
      <c r="K978" s="60" t="n"/>
      <c r="L978" s="60" t="n"/>
      <c r="M978" s="60" t="n"/>
      <c r="N978" s="60" t="n"/>
      <c r="O978" s="60" t="n"/>
      <c r="P978" s="62" t="n"/>
      <c r="Q978" s="62" t="n"/>
      <c r="R978" s="60" t="n"/>
      <c r="S978" s="59" t="n"/>
      <c r="T978" s="60" t="n"/>
      <c r="U978" s="59" t="n"/>
      <c r="V978" s="45">
        <f>IF(OR($A978="",$T978="",$T978="No Issue"),"",IF($T978="Resolved",IF($U978="","",$U978-$A978),TODAY()-$A978))</f>
        <v/>
      </c>
      <c r="W978" s="47">
        <f>IF(AND($C978&lt;&gt;"",$C978='Store History'!$C$4,OR('Store History'!$C$5="",$F978='Store History'!$C$5)),1,0)</f>
        <v/>
      </c>
      <c r="X978" s="47">
        <f>IF($W978=1,SUM($W978:$W$1005),"")</f>
        <v/>
      </c>
    </row>
    <row r="979">
      <c r="A979" s="59" t="n"/>
      <c r="B979" s="60" t="n"/>
      <c r="C979" s="60" t="n"/>
      <c r="D979" s="45">
        <f>IF($C979="","",IFERROR(INDEX('Chain Program'!$B$6:$B$120,MATCH($C979,'Chain Program'!$A$6:$A$120,0)),"Unknown ID"))</f>
        <v/>
      </c>
      <c r="E979" s="45">
        <f>IF($C979="","",IFERROR(INDEX('Chain Program'!$D$6:$D$120,MATCH($C979,'Chain Program'!$A$6:$A$120,0)),"Unknown ID"))</f>
        <v/>
      </c>
      <c r="F979" s="60" t="n"/>
      <c r="G979" s="60" t="n"/>
      <c r="H979" s="56">
        <f>IF(OR($C979="",$A979=""),"",IF(COUNTIFS('Promo Calendar'!$A$6:$A$400,$C979,'Promo Calendar'!$D$6:$D$400,IF($G979="","All",$G979),'Promo Calendar'!$I$6:$I$400,"&lt;="&amp;$A979,'Promo Calendar'!$J$6:$J$400,"&gt;="&amp;$A979,'Promo Calendar'!$G$6:$G$400,"&gt;0")&gt;0,_xlfn.MINIFS('Promo Calendar'!$G$6:$G$400,'Promo Calendar'!$A$6:$A$400,$C979,'Promo Calendar'!$D$6:$D$400,IF($G979="","All",$G979),'Promo Calendar'!$I$6:$I$400,"&lt;="&amp;$A979,'Promo Calendar'!$J$6:$J$400,"&gt;="&amp;$A979,'Promo Calendar'!$G$6:$G$400,"&gt;0"),IF(COUNTIFS('Promo Calendar'!$A$6:$A$400,$C979,'Promo Calendar'!$D$6:$D$400,"All",'Promo Calendar'!$I$6:$I$400,"&lt;="&amp;$A979,'Promo Calendar'!$J$6:$J$400,"&gt;="&amp;$A979,'Promo Calendar'!$G$6:$G$400,"&gt;0")&gt;0,_xlfn.MINIFS('Promo Calendar'!$G$6:$G$400,'Promo Calendar'!$A$6:$A$400,$C979,'Promo Calendar'!$D$6:$D$400,"All",'Promo Calendar'!$I$6:$I$400,"&lt;="&amp;$A979,'Promo Calendar'!$J$6:$J$400,"&gt;="&amp;$A979,'Promo Calendar'!$G$6:$G$400,"&gt;0"),IFERROR(IF(INDEX('Chain Program'!$M$6:$M$120,MATCH($C979,'Chain Program'!$A$6:$A$120,0))="","Not set",INDEX('Chain Program'!$M$6:$M$120,MATCH($C979,'Chain Program'!$A$6:$A$120,0))),"Not set"))))</f>
        <v/>
      </c>
      <c r="I979" s="61" t="n"/>
      <c r="J979" s="45">
        <f>IF($I979="","",IF(NOT(ISNUMBER($H979)),"No plan price",IF(ABS($I979-$H979)&lt;0.005,"Match",IF($I979&gt;$H979,"Over plan","Under plan"))))</f>
        <v/>
      </c>
      <c r="K979" s="60" t="n"/>
      <c r="L979" s="60" t="n"/>
      <c r="M979" s="60" t="n"/>
      <c r="N979" s="60" t="n"/>
      <c r="O979" s="60" t="n"/>
      <c r="P979" s="62" t="n"/>
      <c r="Q979" s="62" t="n"/>
      <c r="R979" s="60" t="n"/>
      <c r="S979" s="59" t="n"/>
      <c r="T979" s="60" t="n"/>
      <c r="U979" s="59" t="n"/>
      <c r="V979" s="45">
        <f>IF(OR($A979="",$T979="",$T979="No Issue"),"",IF($T979="Resolved",IF($U979="","",$U979-$A979),TODAY()-$A979))</f>
        <v/>
      </c>
      <c r="W979" s="47">
        <f>IF(AND($C979&lt;&gt;"",$C979='Store History'!$C$4,OR('Store History'!$C$5="",$F979='Store History'!$C$5)),1,0)</f>
        <v/>
      </c>
      <c r="X979" s="47">
        <f>IF($W979=1,SUM($W979:$W$1005),"")</f>
        <v/>
      </c>
    </row>
    <row r="980">
      <c r="A980" s="59" t="n"/>
      <c r="B980" s="60" t="n"/>
      <c r="C980" s="60" t="n"/>
      <c r="D980" s="45">
        <f>IF($C980="","",IFERROR(INDEX('Chain Program'!$B$6:$B$120,MATCH($C980,'Chain Program'!$A$6:$A$120,0)),"Unknown ID"))</f>
        <v/>
      </c>
      <c r="E980" s="45">
        <f>IF($C980="","",IFERROR(INDEX('Chain Program'!$D$6:$D$120,MATCH($C980,'Chain Program'!$A$6:$A$120,0)),"Unknown ID"))</f>
        <v/>
      </c>
      <c r="F980" s="60" t="n"/>
      <c r="G980" s="60" t="n"/>
      <c r="H980" s="56">
        <f>IF(OR($C980="",$A980=""),"",IF(COUNTIFS('Promo Calendar'!$A$6:$A$400,$C980,'Promo Calendar'!$D$6:$D$400,IF($G980="","All",$G980),'Promo Calendar'!$I$6:$I$400,"&lt;="&amp;$A980,'Promo Calendar'!$J$6:$J$400,"&gt;="&amp;$A980,'Promo Calendar'!$G$6:$G$400,"&gt;0")&gt;0,_xlfn.MINIFS('Promo Calendar'!$G$6:$G$400,'Promo Calendar'!$A$6:$A$400,$C980,'Promo Calendar'!$D$6:$D$400,IF($G980="","All",$G980),'Promo Calendar'!$I$6:$I$400,"&lt;="&amp;$A980,'Promo Calendar'!$J$6:$J$400,"&gt;="&amp;$A980,'Promo Calendar'!$G$6:$G$400,"&gt;0"),IF(COUNTIFS('Promo Calendar'!$A$6:$A$400,$C980,'Promo Calendar'!$D$6:$D$400,"All",'Promo Calendar'!$I$6:$I$400,"&lt;="&amp;$A980,'Promo Calendar'!$J$6:$J$400,"&gt;="&amp;$A980,'Promo Calendar'!$G$6:$G$400,"&gt;0")&gt;0,_xlfn.MINIFS('Promo Calendar'!$G$6:$G$400,'Promo Calendar'!$A$6:$A$400,$C980,'Promo Calendar'!$D$6:$D$400,"All",'Promo Calendar'!$I$6:$I$400,"&lt;="&amp;$A980,'Promo Calendar'!$J$6:$J$400,"&gt;="&amp;$A980,'Promo Calendar'!$G$6:$G$400,"&gt;0"),IFERROR(IF(INDEX('Chain Program'!$M$6:$M$120,MATCH($C980,'Chain Program'!$A$6:$A$120,0))="","Not set",INDEX('Chain Program'!$M$6:$M$120,MATCH($C980,'Chain Program'!$A$6:$A$120,0))),"Not set"))))</f>
        <v/>
      </c>
      <c r="I980" s="61" t="n"/>
      <c r="J980" s="45">
        <f>IF($I980="","",IF(NOT(ISNUMBER($H980)),"No plan price",IF(ABS($I980-$H980)&lt;0.005,"Match",IF($I980&gt;$H980,"Over plan","Under plan"))))</f>
        <v/>
      </c>
      <c r="K980" s="60" t="n"/>
      <c r="L980" s="60" t="n"/>
      <c r="M980" s="60" t="n"/>
      <c r="N980" s="60" t="n"/>
      <c r="O980" s="60" t="n"/>
      <c r="P980" s="62" t="n"/>
      <c r="Q980" s="62" t="n"/>
      <c r="R980" s="60" t="n"/>
      <c r="S980" s="59" t="n"/>
      <c r="T980" s="60" t="n"/>
      <c r="U980" s="59" t="n"/>
      <c r="V980" s="45">
        <f>IF(OR($A980="",$T980="",$T980="No Issue"),"",IF($T980="Resolved",IF($U980="","",$U980-$A980),TODAY()-$A980))</f>
        <v/>
      </c>
      <c r="W980" s="47">
        <f>IF(AND($C980&lt;&gt;"",$C980='Store History'!$C$4,OR('Store History'!$C$5="",$F980='Store History'!$C$5)),1,0)</f>
        <v/>
      </c>
      <c r="X980" s="47">
        <f>IF($W980=1,SUM($W980:$W$1005),"")</f>
        <v/>
      </c>
    </row>
    <row r="981">
      <c r="A981" s="59" t="n"/>
      <c r="B981" s="60" t="n"/>
      <c r="C981" s="60" t="n"/>
      <c r="D981" s="45">
        <f>IF($C981="","",IFERROR(INDEX('Chain Program'!$B$6:$B$120,MATCH($C981,'Chain Program'!$A$6:$A$120,0)),"Unknown ID"))</f>
        <v/>
      </c>
      <c r="E981" s="45">
        <f>IF($C981="","",IFERROR(INDEX('Chain Program'!$D$6:$D$120,MATCH($C981,'Chain Program'!$A$6:$A$120,0)),"Unknown ID"))</f>
        <v/>
      </c>
      <c r="F981" s="60" t="n"/>
      <c r="G981" s="60" t="n"/>
      <c r="H981" s="56">
        <f>IF(OR($C981="",$A981=""),"",IF(COUNTIFS('Promo Calendar'!$A$6:$A$400,$C981,'Promo Calendar'!$D$6:$D$400,IF($G981="","All",$G981),'Promo Calendar'!$I$6:$I$400,"&lt;="&amp;$A981,'Promo Calendar'!$J$6:$J$400,"&gt;="&amp;$A981,'Promo Calendar'!$G$6:$G$400,"&gt;0")&gt;0,_xlfn.MINIFS('Promo Calendar'!$G$6:$G$400,'Promo Calendar'!$A$6:$A$400,$C981,'Promo Calendar'!$D$6:$D$400,IF($G981="","All",$G981),'Promo Calendar'!$I$6:$I$400,"&lt;="&amp;$A981,'Promo Calendar'!$J$6:$J$400,"&gt;="&amp;$A981,'Promo Calendar'!$G$6:$G$400,"&gt;0"),IF(COUNTIFS('Promo Calendar'!$A$6:$A$400,$C981,'Promo Calendar'!$D$6:$D$400,"All",'Promo Calendar'!$I$6:$I$400,"&lt;="&amp;$A981,'Promo Calendar'!$J$6:$J$400,"&gt;="&amp;$A981,'Promo Calendar'!$G$6:$G$400,"&gt;0")&gt;0,_xlfn.MINIFS('Promo Calendar'!$G$6:$G$400,'Promo Calendar'!$A$6:$A$400,$C981,'Promo Calendar'!$D$6:$D$400,"All",'Promo Calendar'!$I$6:$I$400,"&lt;="&amp;$A981,'Promo Calendar'!$J$6:$J$400,"&gt;="&amp;$A981,'Promo Calendar'!$G$6:$G$400,"&gt;0"),IFERROR(IF(INDEX('Chain Program'!$M$6:$M$120,MATCH($C981,'Chain Program'!$A$6:$A$120,0))="","Not set",INDEX('Chain Program'!$M$6:$M$120,MATCH($C981,'Chain Program'!$A$6:$A$120,0))),"Not set"))))</f>
        <v/>
      </c>
      <c r="I981" s="61" t="n"/>
      <c r="J981" s="45">
        <f>IF($I981="","",IF(NOT(ISNUMBER($H981)),"No plan price",IF(ABS($I981-$H981)&lt;0.005,"Match",IF($I981&gt;$H981,"Over plan","Under plan"))))</f>
        <v/>
      </c>
      <c r="K981" s="60" t="n"/>
      <c r="L981" s="60" t="n"/>
      <c r="M981" s="60" t="n"/>
      <c r="N981" s="60" t="n"/>
      <c r="O981" s="60" t="n"/>
      <c r="P981" s="62" t="n"/>
      <c r="Q981" s="62" t="n"/>
      <c r="R981" s="60" t="n"/>
      <c r="S981" s="59" t="n"/>
      <c r="T981" s="60" t="n"/>
      <c r="U981" s="59" t="n"/>
      <c r="V981" s="45">
        <f>IF(OR($A981="",$T981="",$T981="No Issue"),"",IF($T981="Resolved",IF($U981="","",$U981-$A981),TODAY()-$A981))</f>
        <v/>
      </c>
      <c r="W981" s="47">
        <f>IF(AND($C981&lt;&gt;"",$C981='Store History'!$C$4,OR('Store History'!$C$5="",$F981='Store History'!$C$5)),1,0)</f>
        <v/>
      </c>
      <c r="X981" s="47">
        <f>IF($W981=1,SUM($W981:$W$1005),"")</f>
        <v/>
      </c>
    </row>
    <row r="982">
      <c r="A982" s="59" t="n"/>
      <c r="B982" s="60" t="n"/>
      <c r="C982" s="60" t="n"/>
      <c r="D982" s="45">
        <f>IF($C982="","",IFERROR(INDEX('Chain Program'!$B$6:$B$120,MATCH($C982,'Chain Program'!$A$6:$A$120,0)),"Unknown ID"))</f>
        <v/>
      </c>
      <c r="E982" s="45">
        <f>IF($C982="","",IFERROR(INDEX('Chain Program'!$D$6:$D$120,MATCH($C982,'Chain Program'!$A$6:$A$120,0)),"Unknown ID"))</f>
        <v/>
      </c>
      <c r="F982" s="60" t="n"/>
      <c r="G982" s="60" t="n"/>
      <c r="H982" s="56">
        <f>IF(OR($C982="",$A982=""),"",IF(COUNTIFS('Promo Calendar'!$A$6:$A$400,$C982,'Promo Calendar'!$D$6:$D$400,IF($G982="","All",$G982),'Promo Calendar'!$I$6:$I$400,"&lt;="&amp;$A982,'Promo Calendar'!$J$6:$J$400,"&gt;="&amp;$A982,'Promo Calendar'!$G$6:$G$400,"&gt;0")&gt;0,_xlfn.MINIFS('Promo Calendar'!$G$6:$G$400,'Promo Calendar'!$A$6:$A$400,$C982,'Promo Calendar'!$D$6:$D$400,IF($G982="","All",$G982),'Promo Calendar'!$I$6:$I$400,"&lt;="&amp;$A982,'Promo Calendar'!$J$6:$J$400,"&gt;="&amp;$A982,'Promo Calendar'!$G$6:$G$400,"&gt;0"),IF(COUNTIFS('Promo Calendar'!$A$6:$A$400,$C982,'Promo Calendar'!$D$6:$D$400,"All",'Promo Calendar'!$I$6:$I$400,"&lt;="&amp;$A982,'Promo Calendar'!$J$6:$J$400,"&gt;="&amp;$A982,'Promo Calendar'!$G$6:$G$400,"&gt;0")&gt;0,_xlfn.MINIFS('Promo Calendar'!$G$6:$G$400,'Promo Calendar'!$A$6:$A$400,$C982,'Promo Calendar'!$D$6:$D$400,"All",'Promo Calendar'!$I$6:$I$400,"&lt;="&amp;$A982,'Promo Calendar'!$J$6:$J$400,"&gt;="&amp;$A982,'Promo Calendar'!$G$6:$G$400,"&gt;0"),IFERROR(IF(INDEX('Chain Program'!$M$6:$M$120,MATCH($C982,'Chain Program'!$A$6:$A$120,0))="","Not set",INDEX('Chain Program'!$M$6:$M$120,MATCH($C982,'Chain Program'!$A$6:$A$120,0))),"Not set"))))</f>
        <v/>
      </c>
      <c r="I982" s="61" t="n"/>
      <c r="J982" s="45">
        <f>IF($I982="","",IF(NOT(ISNUMBER($H982)),"No plan price",IF(ABS($I982-$H982)&lt;0.005,"Match",IF($I982&gt;$H982,"Over plan","Under plan"))))</f>
        <v/>
      </c>
      <c r="K982" s="60" t="n"/>
      <c r="L982" s="60" t="n"/>
      <c r="M982" s="60" t="n"/>
      <c r="N982" s="60" t="n"/>
      <c r="O982" s="60" t="n"/>
      <c r="P982" s="62" t="n"/>
      <c r="Q982" s="62" t="n"/>
      <c r="R982" s="60" t="n"/>
      <c r="S982" s="59" t="n"/>
      <c r="T982" s="60" t="n"/>
      <c r="U982" s="59" t="n"/>
      <c r="V982" s="45">
        <f>IF(OR($A982="",$T982="",$T982="No Issue"),"",IF($T982="Resolved",IF($U982="","",$U982-$A982),TODAY()-$A982))</f>
        <v/>
      </c>
      <c r="W982" s="47">
        <f>IF(AND($C982&lt;&gt;"",$C982='Store History'!$C$4,OR('Store History'!$C$5="",$F982='Store History'!$C$5)),1,0)</f>
        <v/>
      </c>
      <c r="X982" s="47">
        <f>IF($W982=1,SUM($W982:$W$1005),"")</f>
        <v/>
      </c>
    </row>
    <row r="983">
      <c r="A983" s="59" t="n"/>
      <c r="B983" s="60" t="n"/>
      <c r="C983" s="60" t="n"/>
      <c r="D983" s="45">
        <f>IF($C983="","",IFERROR(INDEX('Chain Program'!$B$6:$B$120,MATCH($C983,'Chain Program'!$A$6:$A$120,0)),"Unknown ID"))</f>
        <v/>
      </c>
      <c r="E983" s="45">
        <f>IF($C983="","",IFERROR(INDEX('Chain Program'!$D$6:$D$120,MATCH($C983,'Chain Program'!$A$6:$A$120,0)),"Unknown ID"))</f>
        <v/>
      </c>
      <c r="F983" s="60" t="n"/>
      <c r="G983" s="60" t="n"/>
      <c r="H983" s="56">
        <f>IF(OR($C983="",$A983=""),"",IF(COUNTIFS('Promo Calendar'!$A$6:$A$400,$C983,'Promo Calendar'!$D$6:$D$400,IF($G983="","All",$G983),'Promo Calendar'!$I$6:$I$400,"&lt;="&amp;$A983,'Promo Calendar'!$J$6:$J$400,"&gt;="&amp;$A983,'Promo Calendar'!$G$6:$G$400,"&gt;0")&gt;0,_xlfn.MINIFS('Promo Calendar'!$G$6:$G$400,'Promo Calendar'!$A$6:$A$400,$C983,'Promo Calendar'!$D$6:$D$400,IF($G983="","All",$G983),'Promo Calendar'!$I$6:$I$400,"&lt;="&amp;$A983,'Promo Calendar'!$J$6:$J$400,"&gt;="&amp;$A983,'Promo Calendar'!$G$6:$G$400,"&gt;0"),IF(COUNTIFS('Promo Calendar'!$A$6:$A$400,$C983,'Promo Calendar'!$D$6:$D$400,"All",'Promo Calendar'!$I$6:$I$400,"&lt;="&amp;$A983,'Promo Calendar'!$J$6:$J$400,"&gt;="&amp;$A983,'Promo Calendar'!$G$6:$G$400,"&gt;0")&gt;0,_xlfn.MINIFS('Promo Calendar'!$G$6:$G$400,'Promo Calendar'!$A$6:$A$400,$C983,'Promo Calendar'!$D$6:$D$400,"All",'Promo Calendar'!$I$6:$I$400,"&lt;="&amp;$A983,'Promo Calendar'!$J$6:$J$400,"&gt;="&amp;$A983,'Promo Calendar'!$G$6:$G$400,"&gt;0"),IFERROR(IF(INDEX('Chain Program'!$M$6:$M$120,MATCH($C983,'Chain Program'!$A$6:$A$120,0))="","Not set",INDEX('Chain Program'!$M$6:$M$120,MATCH($C983,'Chain Program'!$A$6:$A$120,0))),"Not set"))))</f>
        <v/>
      </c>
      <c r="I983" s="61" t="n"/>
      <c r="J983" s="45">
        <f>IF($I983="","",IF(NOT(ISNUMBER($H983)),"No plan price",IF(ABS($I983-$H983)&lt;0.005,"Match",IF($I983&gt;$H983,"Over plan","Under plan"))))</f>
        <v/>
      </c>
      <c r="K983" s="60" t="n"/>
      <c r="L983" s="60" t="n"/>
      <c r="M983" s="60" t="n"/>
      <c r="N983" s="60" t="n"/>
      <c r="O983" s="60" t="n"/>
      <c r="P983" s="62" t="n"/>
      <c r="Q983" s="62" t="n"/>
      <c r="R983" s="60" t="n"/>
      <c r="S983" s="59" t="n"/>
      <c r="T983" s="60" t="n"/>
      <c r="U983" s="59" t="n"/>
      <c r="V983" s="45">
        <f>IF(OR($A983="",$T983="",$T983="No Issue"),"",IF($T983="Resolved",IF($U983="","",$U983-$A983),TODAY()-$A983))</f>
        <v/>
      </c>
      <c r="W983" s="47">
        <f>IF(AND($C983&lt;&gt;"",$C983='Store History'!$C$4,OR('Store History'!$C$5="",$F983='Store History'!$C$5)),1,0)</f>
        <v/>
      </c>
      <c r="X983" s="47">
        <f>IF($W983=1,SUM($W983:$W$1005),"")</f>
        <v/>
      </c>
    </row>
    <row r="984">
      <c r="A984" s="59" t="n"/>
      <c r="B984" s="60" t="n"/>
      <c r="C984" s="60" t="n"/>
      <c r="D984" s="45">
        <f>IF($C984="","",IFERROR(INDEX('Chain Program'!$B$6:$B$120,MATCH($C984,'Chain Program'!$A$6:$A$120,0)),"Unknown ID"))</f>
        <v/>
      </c>
      <c r="E984" s="45">
        <f>IF($C984="","",IFERROR(INDEX('Chain Program'!$D$6:$D$120,MATCH($C984,'Chain Program'!$A$6:$A$120,0)),"Unknown ID"))</f>
        <v/>
      </c>
      <c r="F984" s="60" t="n"/>
      <c r="G984" s="60" t="n"/>
      <c r="H984" s="56">
        <f>IF(OR($C984="",$A984=""),"",IF(COUNTIFS('Promo Calendar'!$A$6:$A$400,$C984,'Promo Calendar'!$D$6:$D$400,IF($G984="","All",$G984),'Promo Calendar'!$I$6:$I$400,"&lt;="&amp;$A984,'Promo Calendar'!$J$6:$J$400,"&gt;="&amp;$A984,'Promo Calendar'!$G$6:$G$400,"&gt;0")&gt;0,_xlfn.MINIFS('Promo Calendar'!$G$6:$G$400,'Promo Calendar'!$A$6:$A$400,$C984,'Promo Calendar'!$D$6:$D$400,IF($G984="","All",$G984),'Promo Calendar'!$I$6:$I$400,"&lt;="&amp;$A984,'Promo Calendar'!$J$6:$J$400,"&gt;="&amp;$A984,'Promo Calendar'!$G$6:$G$400,"&gt;0"),IF(COUNTIFS('Promo Calendar'!$A$6:$A$400,$C984,'Promo Calendar'!$D$6:$D$400,"All",'Promo Calendar'!$I$6:$I$400,"&lt;="&amp;$A984,'Promo Calendar'!$J$6:$J$400,"&gt;="&amp;$A984,'Promo Calendar'!$G$6:$G$400,"&gt;0")&gt;0,_xlfn.MINIFS('Promo Calendar'!$G$6:$G$400,'Promo Calendar'!$A$6:$A$400,$C984,'Promo Calendar'!$D$6:$D$400,"All",'Promo Calendar'!$I$6:$I$400,"&lt;="&amp;$A984,'Promo Calendar'!$J$6:$J$400,"&gt;="&amp;$A984,'Promo Calendar'!$G$6:$G$400,"&gt;0"),IFERROR(IF(INDEX('Chain Program'!$M$6:$M$120,MATCH($C984,'Chain Program'!$A$6:$A$120,0))="","Not set",INDEX('Chain Program'!$M$6:$M$120,MATCH($C984,'Chain Program'!$A$6:$A$120,0))),"Not set"))))</f>
        <v/>
      </c>
      <c r="I984" s="61" t="n"/>
      <c r="J984" s="45">
        <f>IF($I984="","",IF(NOT(ISNUMBER($H984)),"No plan price",IF(ABS($I984-$H984)&lt;0.005,"Match",IF($I984&gt;$H984,"Over plan","Under plan"))))</f>
        <v/>
      </c>
      <c r="K984" s="60" t="n"/>
      <c r="L984" s="60" t="n"/>
      <c r="M984" s="60" t="n"/>
      <c r="N984" s="60" t="n"/>
      <c r="O984" s="60" t="n"/>
      <c r="P984" s="62" t="n"/>
      <c r="Q984" s="62" t="n"/>
      <c r="R984" s="60" t="n"/>
      <c r="S984" s="59" t="n"/>
      <c r="T984" s="60" t="n"/>
      <c r="U984" s="59" t="n"/>
      <c r="V984" s="45">
        <f>IF(OR($A984="",$T984="",$T984="No Issue"),"",IF($T984="Resolved",IF($U984="","",$U984-$A984),TODAY()-$A984))</f>
        <v/>
      </c>
      <c r="W984" s="47">
        <f>IF(AND($C984&lt;&gt;"",$C984='Store History'!$C$4,OR('Store History'!$C$5="",$F984='Store History'!$C$5)),1,0)</f>
        <v/>
      </c>
      <c r="X984" s="47">
        <f>IF($W984=1,SUM($W984:$W$1005),"")</f>
        <v/>
      </c>
    </row>
    <row r="985">
      <c r="A985" s="59" t="n"/>
      <c r="B985" s="60" t="n"/>
      <c r="C985" s="60" t="n"/>
      <c r="D985" s="45">
        <f>IF($C985="","",IFERROR(INDEX('Chain Program'!$B$6:$B$120,MATCH($C985,'Chain Program'!$A$6:$A$120,0)),"Unknown ID"))</f>
        <v/>
      </c>
      <c r="E985" s="45">
        <f>IF($C985="","",IFERROR(INDEX('Chain Program'!$D$6:$D$120,MATCH($C985,'Chain Program'!$A$6:$A$120,0)),"Unknown ID"))</f>
        <v/>
      </c>
      <c r="F985" s="60" t="n"/>
      <c r="G985" s="60" t="n"/>
      <c r="H985" s="56">
        <f>IF(OR($C985="",$A985=""),"",IF(COUNTIFS('Promo Calendar'!$A$6:$A$400,$C985,'Promo Calendar'!$D$6:$D$400,IF($G985="","All",$G985),'Promo Calendar'!$I$6:$I$400,"&lt;="&amp;$A985,'Promo Calendar'!$J$6:$J$400,"&gt;="&amp;$A985,'Promo Calendar'!$G$6:$G$400,"&gt;0")&gt;0,_xlfn.MINIFS('Promo Calendar'!$G$6:$G$400,'Promo Calendar'!$A$6:$A$400,$C985,'Promo Calendar'!$D$6:$D$400,IF($G985="","All",$G985),'Promo Calendar'!$I$6:$I$400,"&lt;="&amp;$A985,'Promo Calendar'!$J$6:$J$400,"&gt;="&amp;$A985,'Promo Calendar'!$G$6:$G$400,"&gt;0"),IF(COUNTIFS('Promo Calendar'!$A$6:$A$400,$C985,'Promo Calendar'!$D$6:$D$400,"All",'Promo Calendar'!$I$6:$I$400,"&lt;="&amp;$A985,'Promo Calendar'!$J$6:$J$400,"&gt;="&amp;$A985,'Promo Calendar'!$G$6:$G$400,"&gt;0")&gt;0,_xlfn.MINIFS('Promo Calendar'!$G$6:$G$400,'Promo Calendar'!$A$6:$A$400,$C985,'Promo Calendar'!$D$6:$D$400,"All",'Promo Calendar'!$I$6:$I$400,"&lt;="&amp;$A985,'Promo Calendar'!$J$6:$J$400,"&gt;="&amp;$A985,'Promo Calendar'!$G$6:$G$400,"&gt;0"),IFERROR(IF(INDEX('Chain Program'!$M$6:$M$120,MATCH($C985,'Chain Program'!$A$6:$A$120,0))="","Not set",INDEX('Chain Program'!$M$6:$M$120,MATCH($C985,'Chain Program'!$A$6:$A$120,0))),"Not set"))))</f>
        <v/>
      </c>
      <c r="I985" s="61" t="n"/>
      <c r="J985" s="45">
        <f>IF($I985="","",IF(NOT(ISNUMBER($H985)),"No plan price",IF(ABS($I985-$H985)&lt;0.005,"Match",IF($I985&gt;$H985,"Over plan","Under plan"))))</f>
        <v/>
      </c>
      <c r="K985" s="60" t="n"/>
      <c r="L985" s="60" t="n"/>
      <c r="M985" s="60" t="n"/>
      <c r="N985" s="60" t="n"/>
      <c r="O985" s="60" t="n"/>
      <c r="P985" s="62" t="n"/>
      <c r="Q985" s="62" t="n"/>
      <c r="R985" s="60" t="n"/>
      <c r="S985" s="59" t="n"/>
      <c r="T985" s="60" t="n"/>
      <c r="U985" s="59" t="n"/>
      <c r="V985" s="45">
        <f>IF(OR($A985="",$T985="",$T985="No Issue"),"",IF($T985="Resolved",IF($U985="","",$U985-$A985),TODAY()-$A985))</f>
        <v/>
      </c>
      <c r="W985" s="47">
        <f>IF(AND($C985&lt;&gt;"",$C985='Store History'!$C$4,OR('Store History'!$C$5="",$F985='Store History'!$C$5)),1,0)</f>
        <v/>
      </c>
      <c r="X985" s="47">
        <f>IF($W985=1,SUM($W985:$W$1005),"")</f>
        <v/>
      </c>
    </row>
    <row r="986">
      <c r="A986" s="59" t="n"/>
      <c r="B986" s="60" t="n"/>
      <c r="C986" s="60" t="n"/>
      <c r="D986" s="45">
        <f>IF($C986="","",IFERROR(INDEX('Chain Program'!$B$6:$B$120,MATCH($C986,'Chain Program'!$A$6:$A$120,0)),"Unknown ID"))</f>
        <v/>
      </c>
      <c r="E986" s="45">
        <f>IF($C986="","",IFERROR(INDEX('Chain Program'!$D$6:$D$120,MATCH($C986,'Chain Program'!$A$6:$A$120,0)),"Unknown ID"))</f>
        <v/>
      </c>
      <c r="F986" s="60" t="n"/>
      <c r="G986" s="60" t="n"/>
      <c r="H986" s="56">
        <f>IF(OR($C986="",$A986=""),"",IF(COUNTIFS('Promo Calendar'!$A$6:$A$400,$C986,'Promo Calendar'!$D$6:$D$400,IF($G986="","All",$G986),'Promo Calendar'!$I$6:$I$400,"&lt;="&amp;$A986,'Promo Calendar'!$J$6:$J$400,"&gt;="&amp;$A986,'Promo Calendar'!$G$6:$G$400,"&gt;0")&gt;0,_xlfn.MINIFS('Promo Calendar'!$G$6:$G$400,'Promo Calendar'!$A$6:$A$400,$C986,'Promo Calendar'!$D$6:$D$400,IF($G986="","All",$G986),'Promo Calendar'!$I$6:$I$400,"&lt;="&amp;$A986,'Promo Calendar'!$J$6:$J$400,"&gt;="&amp;$A986,'Promo Calendar'!$G$6:$G$400,"&gt;0"),IF(COUNTIFS('Promo Calendar'!$A$6:$A$400,$C986,'Promo Calendar'!$D$6:$D$400,"All",'Promo Calendar'!$I$6:$I$400,"&lt;="&amp;$A986,'Promo Calendar'!$J$6:$J$400,"&gt;="&amp;$A986,'Promo Calendar'!$G$6:$G$400,"&gt;0")&gt;0,_xlfn.MINIFS('Promo Calendar'!$G$6:$G$400,'Promo Calendar'!$A$6:$A$400,$C986,'Promo Calendar'!$D$6:$D$400,"All",'Promo Calendar'!$I$6:$I$400,"&lt;="&amp;$A986,'Promo Calendar'!$J$6:$J$400,"&gt;="&amp;$A986,'Promo Calendar'!$G$6:$G$400,"&gt;0"),IFERROR(IF(INDEX('Chain Program'!$M$6:$M$120,MATCH($C986,'Chain Program'!$A$6:$A$120,0))="","Not set",INDEX('Chain Program'!$M$6:$M$120,MATCH($C986,'Chain Program'!$A$6:$A$120,0))),"Not set"))))</f>
        <v/>
      </c>
      <c r="I986" s="61" t="n"/>
      <c r="J986" s="45">
        <f>IF($I986="","",IF(NOT(ISNUMBER($H986)),"No plan price",IF(ABS($I986-$H986)&lt;0.005,"Match",IF($I986&gt;$H986,"Over plan","Under plan"))))</f>
        <v/>
      </c>
      <c r="K986" s="60" t="n"/>
      <c r="L986" s="60" t="n"/>
      <c r="M986" s="60" t="n"/>
      <c r="N986" s="60" t="n"/>
      <c r="O986" s="60" t="n"/>
      <c r="P986" s="62" t="n"/>
      <c r="Q986" s="62" t="n"/>
      <c r="R986" s="60" t="n"/>
      <c r="S986" s="59" t="n"/>
      <c r="T986" s="60" t="n"/>
      <c r="U986" s="59" t="n"/>
      <c r="V986" s="45">
        <f>IF(OR($A986="",$T986="",$T986="No Issue"),"",IF($T986="Resolved",IF($U986="","",$U986-$A986),TODAY()-$A986))</f>
        <v/>
      </c>
      <c r="W986" s="47">
        <f>IF(AND($C986&lt;&gt;"",$C986='Store History'!$C$4,OR('Store History'!$C$5="",$F986='Store History'!$C$5)),1,0)</f>
        <v/>
      </c>
      <c r="X986" s="47">
        <f>IF($W986=1,SUM($W986:$W$1005),"")</f>
        <v/>
      </c>
    </row>
    <row r="987">
      <c r="A987" s="59" t="n"/>
      <c r="B987" s="60" t="n"/>
      <c r="C987" s="60" t="n"/>
      <c r="D987" s="45">
        <f>IF($C987="","",IFERROR(INDEX('Chain Program'!$B$6:$B$120,MATCH($C987,'Chain Program'!$A$6:$A$120,0)),"Unknown ID"))</f>
        <v/>
      </c>
      <c r="E987" s="45">
        <f>IF($C987="","",IFERROR(INDEX('Chain Program'!$D$6:$D$120,MATCH($C987,'Chain Program'!$A$6:$A$120,0)),"Unknown ID"))</f>
        <v/>
      </c>
      <c r="F987" s="60" t="n"/>
      <c r="G987" s="60" t="n"/>
      <c r="H987" s="56">
        <f>IF(OR($C987="",$A987=""),"",IF(COUNTIFS('Promo Calendar'!$A$6:$A$400,$C987,'Promo Calendar'!$D$6:$D$400,IF($G987="","All",$G987),'Promo Calendar'!$I$6:$I$400,"&lt;="&amp;$A987,'Promo Calendar'!$J$6:$J$400,"&gt;="&amp;$A987,'Promo Calendar'!$G$6:$G$400,"&gt;0")&gt;0,_xlfn.MINIFS('Promo Calendar'!$G$6:$G$400,'Promo Calendar'!$A$6:$A$400,$C987,'Promo Calendar'!$D$6:$D$400,IF($G987="","All",$G987),'Promo Calendar'!$I$6:$I$400,"&lt;="&amp;$A987,'Promo Calendar'!$J$6:$J$400,"&gt;="&amp;$A987,'Promo Calendar'!$G$6:$G$400,"&gt;0"),IF(COUNTIFS('Promo Calendar'!$A$6:$A$400,$C987,'Promo Calendar'!$D$6:$D$400,"All",'Promo Calendar'!$I$6:$I$400,"&lt;="&amp;$A987,'Promo Calendar'!$J$6:$J$400,"&gt;="&amp;$A987,'Promo Calendar'!$G$6:$G$400,"&gt;0")&gt;0,_xlfn.MINIFS('Promo Calendar'!$G$6:$G$400,'Promo Calendar'!$A$6:$A$400,$C987,'Promo Calendar'!$D$6:$D$400,"All",'Promo Calendar'!$I$6:$I$400,"&lt;="&amp;$A987,'Promo Calendar'!$J$6:$J$400,"&gt;="&amp;$A987,'Promo Calendar'!$G$6:$G$400,"&gt;0"),IFERROR(IF(INDEX('Chain Program'!$M$6:$M$120,MATCH($C987,'Chain Program'!$A$6:$A$120,0))="","Not set",INDEX('Chain Program'!$M$6:$M$120,MATCH($C987,'Chain Program'!$A$6:$A$120,0))),"Not set"))))</f>
        <v/>
      </c>
      <c r="I987" s="61" t="n"/>
      <c r="J987" s="45">
        <f>IF($I987="","",IF(NOT(ISNUMBER($H987)),"No plan price",IF(ABS($I987-$H987)&lt;0.005,"Match",IF($I987&gt;$H987,"Over plan","Under plan"))))</f>
        <v/>
      </c>
      <c r="K987" s="60" t="n"/>
      <c r="L987" s="60" t="n"/>
      <c r="M987" s="60" t="n"/>
      <c r="N987" s="60" t="n"/>
      <c r="O987" s="60" t="n"/>
      <c r="P987" s="62" t="n"/>
      <c r="Q987" s="62" t="n"/>
      <c r="R987" s="60" t="n"/>
      <c r="S987" s="59" t="n"/>
      <c r="T987" s="60" t="n"/>
      <c r="U987" s="59" t="n"/>
      <c r="V987" s="45">
        <f>IF(OR($A987="",$T987="",$T987="No Issue"),"",IF($T987="Resolved",IF($U987="","",$U987-$A987),TODAY()-$A987))</f>
        <v/>
      </c>
      <c r="W987" s="47">
        <f>IF(AND($C987&lt;&gt;"",$C987='Store History'!$C$4,OR('Store History'!$C$5="",$F987='Store History'!$C$5)),1,0)</f>
        <v/>
      </c>
      <c r="X987" s="47">
        <f>IF($W987=1,SUM($W987:$W$1005),"")</f>
        <v/>
      </c>
    </row>
    <row r="988">
      <c r="A988" s="59" t="n"/>
      <c r="B988" s="60" t="n"/>
      <c r="C988" s="60" t="n"/>
      <c r="D988" s="45">
        <f>IF($C988="","",IFERROR(INDEX('Chain Program'!$B$6:$B$120,MATCH($C988,'Chain Program'!$A$6:$A$120,0)),"Unknown ID"))</f>
        <v/>
      </c>
      <c r="E988" s="45">
        <f>IF($C988="","",IFERROR(INDEX('Chain Program'!$D$6:$D$120,MATCH($C988,'Chain Program'!$A$6:$A$120,0)),"Unknown ID"))</f>
        <v/>
      </c>
      <c r="F988" s="60" t="n"/>
      <c r="G988" s="60" t="n"/>
      <c r="H988" s="56">
        <f>IF(OR($C988="",$A988=""),"",IF(COUNTIFS('Promo Calendar'!$A$6:$A$400,$C988,'Promo Calendar'!$D$6:$D$400,IF($G988="","All",$G988),'Promo Calendar'!$I$6:$I$400,"&lt;="&amp;$A988,'Promo Calendar'!$J$6:$J$400,"&gt;="&amp;$A988,'Promo Calendar'!$G$6:$G$400,"&gt;0")&gt;0,_xlfn.MINIFS('Promo Calendar'!$G$6:$G$400,'Promo Calendar'!$A$6:$A$400,$C988,'Promo Calendar'!$D$6:$D$400,IF($G988="","All",$G988),'Promo Calendar'!$I$6:$I$400,"&lt;="&amp;$A988,'Promo Calendar'!$J$6:$J$400,"&gt;="&amp;$A988,'Promo Calendar'!$G$6:$G$400,"&gt;0"),IF(COUNTIFS('Promo Calendar'!$A$6:$A$400,$C988,'Promo Calendar'!$D$6:$D$400,"All",'Promo Calendar'!$I$6:$I$400,"&lt;="&amp;$A988,'Promo Calendar'!$J$6:$J$400,"&gt;="&amp;$A988,'Promo Calendar'!$G$6:$G$400,"&gt;0")&gt;0,_xlfn.MINIFS('Promo Calendar'!$G$6:$G$400,'Promo Calendar'!$A$6:$A$400,$C988,'Promo Calendar'!$D$6:$D$400,"All",'Promo Calendar'!$I$6:$I$400,"&lt;="&amp;$A988,'Promo Calendar'!$J$6:$J$400,"&gt;="&amp;$A988,'Promo Calendar'!$G$6:$G$400,"&gt;0"),IFERROR(IF(INDEX('Chain Program'!$M$6:$M$120,MATCH($C988,'Chain Program'!$A$6:$A$120,0))="","Not set",INDEX('Chain Program'!$M$6:$M$120,MATCH($C988,'Chain Program'!$A$6:$A$120,0))),"Not set"))))</f>
        <v/>
      </c>
      <c r="I988" s="61" t="n"/>
      <c r="J988" s="45">
        <f>IF($I988="","",IF(NOT(ISNUMBER($H988)),"No plan price",IF(ABS($I988-$H988)&lt;0.005,"Match",IF($I988&gt;$H988,"Over plan","Under plan"))))</f>
        <v/>
      </c>
      <c r="K988" s="60" t="n"/>
      <c r="L988" s="60" t="n"/>
      <c r="M988" s="60" t="n"/>
      <c r="N988" s="60" t="n"/>
      <c r="O988" s="60" t="n"/>
      <c r="P988" s="62" t="n"/>
      <c r="Q988" s="62" t="n"/>
      <c r="R988" s="60" t="n"/>
      <c r="S988" s="59" t="n"/>
      <c r="T988" s="60" t="n"/>
      <c r="U988" s="59" t="n"/>
      <c r="V988" s="45">
        <f>IF(OR($A988="",$T988="",$T988="No Issue"),"",IF($T988="Resolved",IF($U988="","",$U988-$A988),TODAY()-$A988))</f>
        <v/>
      </c>
      <c r="W988" s="47">
        <f>IF(AND($C988&lt;&gt;"",$C988='Store History'!$C$4,OR('Store History'!$C$5="",$F988='Store History'!$C$5)),1,0)</f>
        <v/>
      </c>
      <c r="X988" s="47">
        <f>IF($W988=1,SUM($W988:$W$1005),"")</f>
        <v/>
      </c>
    </row>
    <row r="989">
      <c r="A989" s="59" t="n"/>
      <c r="B989" s="60" t="n"/>
      <c r="C989" s="60" t="n"/>
      <c r="D989" s="45">
        <f>IF($C989="","",IFERROR(INDEX('Chain Program'!$B$6:$B$120,MATCH($C989,'Chain Program'!$A$6:$A$120,0)),"Unknown ID"))</f>
        <v/>
      </c>
      <c r="E989" s="45">
        <f>IF($C989="","",IFERROR(INDEX('Chain Program'!$D$6:$D$120,MATCH($C989,'Chain Program'!$A$6:$A$120,0)),"Unknown ID"))</f>
        <v/>
      </c>
      <c r="F989" s="60" t="n"/>
      <c r="G989" s="60" t="n"/>
      <c r="H989" s="56">
        <f>IF(OR($C989="",$A989=""),"",IF(COUNTIFS('Promo Calendar'!$A$6:$A$400,$C989,'Promo Calendar'!$D$6:$D$400,IF($G989="","All",$G989),'Promo Calendar'!$I$6:$I$400,"&lt;="&amp;$A989,'Promo Calendar'!$J$6:$J$400,"&gt;="&amp;$A989,'Promo Calendar'!$G$6:$G$400,"&gt;0")&gt;0,_xlfn.MINIFS('Promo Calendar'!$G$6:$G$400,'Promo Calendar'!$A$6:$A$400,$C989,'Promo Calendar'!$D$6:$D$400,IF($G989="","All",$G989),'Promo Calendar'!$I$6:$I$400,"&lt;="&amp;$A989,'Promo Calendar'!$J$6:$J$400,"&gt;="&amp;$A989,'Promo Calendar'!$G$6:$G$400,"&gt;0"),IF(COUNTIFS('Promo Calendar'!$A$6:$A$400,$C989,'Promo Calendar'!$D$6:$D$400,"All",'Promo Calendar'!$I$6:$I$400,"&lt;="&amp;$A989,'Promo Calendar'!$J$6:$J$400,"&gt;="&amp;$A989,'Promo Calendar'!$G$6:$G$400,"&gt;0")&gt;0,_xlfn.MINIFS('Promo Calendar'!$G$6:$G$400,'Promo Calendar'!$A$6:$A$400,$C989,'Promo Calendar'!$D$6:$D$400,"All",'Promo Calendar'!$I$6:$I$400,"&lt;="&amp;$A989,'Promo Calendar'!$J$6:$J$400,"&gt;="&amp;$A989,'Promo Calendar'!$G$6:$G$400,"&gt;0"),IFERROR(IF(INDEX('Chain Program'!$M$6:$M$120,MATCH($C989,'Chain Program'!$A$6:$A$120,0))="","Not set",INDEX('Chain Program'!$M$6:$M$120,MATCH($C989,'Chain Program'!$A$6:$A$120,0))),"Not set"))))</f>
        <v/>
      </c>
      <c r="I989" s="61" t="n"/>
      <c r="J989" s="45">
        <f>IF($I989="","",IF(NOT(ISNUMBER($H989)),"No plan price",IF(ABS($I989-$H989)&lt;0.005,"Match",IF($I989&gt;$H989,"Over plan","Under plan"))))</f>
        <v/>
      </c>
      <c r="K989" s="60" t="n"/>
      <c r="L989" s="60" t="n"/>
      <c r="M989" s="60" t="n"/>
      <c r="N989" s="60" t="n"/>
      <c r="O989" s="60" t="n"/>
      <c r="P989" s="62" t="n"/>
      <c r="Q989" s="62" t="n"/>
      <c r="R989" s="60" t="n"/>
      <c r="S989" s="59" t="n"/>
      <c r="T989" s="60" t="n"/>
      <c r="U989" s="59" t="n"/>
      <c r="V989" s="45">
        <f>IF(OR($A989="",$T989="",$T989="No Issue"),"",IF($T989="Resolved",IF($U989="","",$U989-$A989),TODAY()-$A989))</f>
        <v/>
      </c>
      <c r="W989" s="47">
        <f>IF(AND($C989&lt;&gt;"",$C989='Store History'!$C$4,OR('Store History'!$C$5="",$F989='Store History'!$C$5)),1,0)</f>
        <v/>
      </c>
      <c r="X989" s="47">
        <f>IF($W989=1,SUM($W989:$W$1005),"")</f>
        <v/>
      </c>
    </row>
    <row r="990">
      <c r="A990" s="59" t="n"/>
      <c r="B990" s="60" t="n"/>
      <c r="C990" s="60" t="n"/>
      <c r="D990" s="45">
        <f>IF($C990="","",IFERROR(INDEX('Chain Program'!$B$6:$B$120,MATCH($C990,'Chain Program'!$A$6:$A$120,0)),"Unknown ID"))</f>
        <v/>
      </c>
      <c r="E990" s="45">
        <f>IF($C990="","",IFERROR(INDEX('Chain Program'!$D$6:$D$120,MATCH($C990,'Chain Program'!$A$6:$A$120,0)),"Unknown ID"))</f>
        <v/>
      </c>
      <c r="F990" s="60" t="n"/>
      <c r="G990" s="60" t="n"/>
      <c r="H990" s="56">
        <f>IF(OR($C990="",$A990=""),"",IF(COUNTIFS('Promo Calendar'!$A$6:$A$400,$C990,'Promo Calendar'!$D$6:$D$400,IF($G990="","All",$G990),'Promo Calendar'!$I$6:$I$400,"&lt;="&amp;$A990,'Promo Calendar'!$J$6:$J$400,"&gt;="&amp;$A990,'Promo Calendar'!$G$6:$G$400,"&gt;0")&gt;0,_xlfn.MINIFS('Promo Calendar'!$G$6:$G$400,'Promo Calendar'!$A$6:$A$400,$C990,'Promo Calendar'!$D$6:$D$400,IF($G990="","All",$G990),'Promo Calendar'!$I$6:$I$400,"&lt;="&amp;$A990,'Promo Calendar'!$J$6:$J$400,"&gt;="&amp;$A990,'Promo Calendar'!$G$6:$G$400,"&gt;0"),IF(COUNTIFS('Promo Calendar'!$A$6:$A$400,$C990,'Promo Calendar'!$D$6:$D$400,"All",'Promo Calendar'!$I$6:$I$400,"&lt;="&amp;$A990,'Promo Calendar'!$J$6:$J$400,"&gt;="&amp;$A990,'Promo Calendar'!$G$6:$G$400,"&gt;0")&gt;0,_xlfn.MINIFS('Promo Calendar'!$G$6:$G$400,'Promo Calendar'!$A$6:$A$400,$C990,'Promo Calendar'!$D$6:$D$400,"All",'Promo Calendar'!$I$6:$I$400,"&lt;="&amp;$A990,'Promo Calendar'!$J$6:$J$400,"&gt;="&amp;$A990,'Promo Calendar'!$G$6:$G$400,"&gt;0"),IFERROR(IF(INDEX('Chain Program'!$M$6:$M$120,MATCH($C990,'Chain Program'!$A$6:$A$120,0))="","Not set",INDEX('Chain Program'!$M$6:$M$120,MATCH($C990,'Chain Program'!$A$6:$A$120,0))),"Not set"))))</f>
        <v/>
      </c>
      <c r="I990" s="61" t="n"/>
      <c r="J990" s="45">
        <f>IF($I990="","",IF(NOT(ISNUMBER($H990)),"No plan price",IF(ABS($I990-$H990)&lt;0.005,"Match",IF($I990&gt;$H990,"Over plan","Under plan"))))</f>
        <v/>
      </c>
      <c r="K990" s="60" t="n"/>
      <c r="L990" s="60" t="n"/>
      <c r="M990" s="60" t="n"/>
      <c r="N990" s="60" t="n"/>
      <c r="O990" s="60" t="n"/>
      <c r="P990" s="62" t="n"/>
      <c r="Q990" s="62" t="n"/>
      <c r="R990" s="60" t="n"/>
      <c r="S990" s="59" t="n"/>
      <c r="T990" s="60" t="n"/>
      <c r="U990" s="59" t="n"/>
      <c r="V990" s="45">
        <f>IF(OR($A990="",$T990="",$T990="No Issue"),"",IF($T990="Resolved",IF($U990="","",$U990-$A990),TODAY()-$A990))</f>
        <v/>
      </c>
      <c r="W990" s="47">
        <f>IF(AND($C990&lt;&gt;"",$C990='Store History'!$C$4,OR('Store History'!$C$5="",$F990='Store History'!$C$5)),1,0)</f>
        <v/>
      </c>
      <c r="X990" s="47">
        <f>IF($W990=1,SUM($W990:$W$1005),"")</f>
        <v/>
      </c>
    </row>
    <row r="991">
      <c r="A991" s="59" t="n"/>
      <c r="B991" s="60" t="n"/>
      <c r="C991" s="60" t="n"/>
      <c r="D991" s="45">
        <f>IF($C991="","",IFERROR(INDEX('Chain Program'!$B$6:$B$120,MATCH($C991,'Chain Program'!$A$6:$A$120,0)),"Unknown ID"))</f>
        <v/>
      </c>
      <c r="E991" s="45">
        <f>IF($C991="","",IFERROR(INDEX('Chain Program'!$D$6:$D$120,MATCH($C991,'Chain Program'!$A$6:$A$120,0)),"Unknown ID"))</f>
        <v/>
      </c>
      <c r="F991" s="60" t="n"/>
      <c r="G991" s="60" t="n"/>
      <c r="H991" s="56">
        <f>IF(OR($C991="",$A991=""),"",IF(COUNTIFS('Promo Calendar'!$A$6:$A$400,$C991,'Promo Calendar'!$D$6:$D$400,IF($G991="","All",$G991),'Promo Calendar'!$I$6:$I$400,"&lt;="&amp;$A991,'Promo Calendar'!$J$6:$J$400,"&gt;="&amp;$A991,'Promo Calendar'!$G$6:$G$400,"&gt;0")&gt;0,_xlfn.MINIFS('Promo Calendar'!$G$6:$G$400,'Promo Calendar'!$A$6:$A$400,$C991,'Promo Calendar'!$D$6:$D$400,IF($G991="","All",$G991),'Promo Calendar'!$I$6:$I$400,"&lt;="&amp;$A991,'Promo Calendar'!$J$6:$J$400,"&gt;="&amp;$A991,'Promo Calendar'!$G$6:$G$400,"&gt;0"),IF(COUNTIFS('Promo Calendar'!$A$6:$A$400,$C991,'Promo Calendar'!$D$6:$D$400,"All",'Promo Calendar'!$I$6:$I$400,"&lt;="&amp;$A991,'Promo Calendar'!$J$6:$J$400,"&gt;="&amp;$A991,'Promo Calendar'!$G$6:$G$400,"&gt;0")&gt;0,_xlfn.MINIFS('Promo Calendar'!$G$6:$G$400,'Promo Calendar'!$A$6:$A$400,$C991,'Promo Calendar'!$D$6:$D$400,"All",'Promo Calendar'!$I$6:$I$400,"&lt;="&amp;$A991,'Promo Calendar'!$J$6:$J$400,"&gt;="&amp;$A991,'Promo Calendar'!$G$6:$G$400,"&gt;0"),IFERROR(IF(INDEX('Chain Program'!$M$6:$M$120,MATCH($C991,'Chain Program'!$A$6:$A$120,0))="","Not set",INDEX('Chain Program'!$M$6:$M$120,MATCH($C991,'Chain Program'!$A$6:$A$120,0))),"Not set"))))</f>
        <v/>
      </c>
      <c r="I991" s="61" t="n"/>
      <c r="J991" s="45">
        <f>IF($I991="","",IF(NOT(ISNUMBER($H991)),"No plan price",IF(ABS($I991-$H991)&lt;0.005,"Match",IF($I991&gt;$H991,"Over plan","Under plan"))))</f>
        <v/>
      </c>
      <c r="K991" s="60" t="n"/>
      <c r="L991" s="60" t="n"/>
      <c r="M991" s="60" t="n"/>
      <c r="N991" s="60" t="n"/>
      <c r="O991" s="60" t="n"/>
      <c r="P991" s="62" t="n"/>
      <c r="Q991" s="62" t="n"/>
      <c r="R991" s="60" t="n"/>
      <c r="S991" s="59" t="n"/>
      <c r="T991" s="60" t="n"/>
      <c r="U991" s="59" t="n"/>
      <c r="V991" s="45">
        <f>IF(OR($A991="",$T991="",$T991="No Issue"),"",IF($T991="Resolved",IF($U991="","",$U991-$A991),TODAY()-$A991))</f>
        <v/>
      </c>
      <c r="W991" s="47">
        <f>IF(AND($C991&lt;&gt;"",$C991='Store History'!$C$4,OR('Store History'!$C$5="",$F991='Store History'!$C$5)),1,0)</f>
        <v/>
      </c>
      <c r="X991" s="47">
        <f>IF($W991=1,SUM($W991:$W$1005),"")</f>
        <v/>
      </c>
    </row>
    <row r="992">
      <c r="A992" s="59" t="n"/>
      <c r="B992" s="60" t="n"/>
      <c r="C992" s="60" t="n"/>
      <c r="D992" s="45">
        <f>IF($C992="","",IFERROR(INDEX('Chain Program'!$B$6:$B$120,MATCH($C992,'Chain Program'!$A$6:$A$120,0)),"Unknown ID"))</f>
        <v/>
      </c>
      <c r="E992" s="45">
        <f>IF($C992="","",IFERROR(INDEX('Chain Program'!$D$6:$D$120,MATCH($C992,'Chain Program'!$A$6:$A$120,0)),"Unknown ID"))</f>
        <v/>
      </c>
      <c r="F992" s="60" t="n"/>
      <c r="G992" s="60" t="n"/>
      <c r="H992" s="56">
        <f>IF(OR($C992="",$A992=""),"",IF(COUNTIFS('Promo Calendar'!$A$6:$A$400,$C992,'Promo Calendar'!$D$6:$D$400,IF($G992="","All",$G992),'Promo Calendar'!$I$6:$I$400,"&lt;="&amp;$A992,'Promo Calendar'!$J$6:$J$400,"&gt;="&amp;$A992,'Promo Calendar'!$G$6:$G$400,"&gt;0")&gt;0,_xlfn.MINIFS('Promo Calendar'!$G$6:$G$400,'Promo Calendar'!$A$6:$A$400,$C992,'Promo Calendar'!$D$6:$D$400,IF($G992="","All",$G992),'Promo Calendar'!$I$6:$I$400,"&lt;="&amp;$A992,'Promo Calendar'!$J$6:$J$400,"&gt;="&amp;$A992,'Promo Calendar'!$G$6:$G$400,"&gt;0"),IF(COUNTIFS('Promo Calendar'!$A$6:$A$400,$C992,'Promo Calendar'!$D$6:$D$400,"All",'Promo Calendar'!$I$6:$I$400,"&lt;="&amp;$A992,'Promo Calendar'!$J$6:$J$400,"&gt;="&amp;$A992,'Promo Calendar'!$G$6:$G$400,"&gt;0")&gt;0,_xlfn.MINIFS('Promo Calendar'!$G$6:$G$400,'Promo Calendar'!$A$6:$A$400,$C992,'Promo Calendar'!$D$6:$D$400,"All",'Promo Calendar'!$I$6:$I$400,"&lt;="&amp;$A992,'Promo Calendar'!$J$6:$J$400,"&gt;="&amp;$A992,'Promo Calendar'!$G$6:$G$400,"&gt;0"),IFERROR(IF(INDEX('Chain Program'!$M$6:$M$120,MATCH($C992,'Chain Program'!$A$6:$A$120,0))="","Not set",INDEX('Chain Program'!$M$6:$M$120,MATCH($C992,'Chain Program'!$A$6:$A$120,0))),"Not set"))))</f>
        <v/>
      </c>
      <c r="I992" s="61" t="n"/>
      <c r="J992" s="45">
        <f>IF($I992="","",IF(NOT(ISNUMBER($H992)),"No plan price",IF(ABS($I992-$H992)&lt;0.005,"Match",IF($I992&gt;$H992,"Over plan","Under plan"))))</f>
        <v/>
      </c>
      <c r="K992" s="60" t="n"/>
      <c r="L992" s="60" t="n"/>
      <c r="M992" s="60" t="n"/>
      <c r="N992" s="60" t="n"/>
      <c r="O992" s="60" t="n"/>
      <c r="P992" s="62" t="n"/>
      <c r="Q992" s="62" t="n"/>
      <c r="R992" s="60" t="n"/>
      <c r="S992" s="59" t="n"/>
      <c r="T992" s="60" t="n"/>
      <c r="U992" s="59" t="n"/>
      <c r="V992" s="45">
        <f>IF(OR($A992="",$T992="",$T992="No Issue"),"",IF($T992="Resolved",IF($U992="","",$U992-$A992),TODAY()-$A992))</f>
        <v/>
      </c>
      <c r="W992" s="47">
        <f>IF(AND($C992&lt;&gt;"",$C992='Store History'!$C$4,OR('Store History'!$C$5="",$F992='Store History'!$C$5)),1,0)</f>
        <v/>
      </c>
      <c r="X992" s="47">
        <f>IF($W992=1,SUM($W992:$W$1005),"")</f>
        <v/>
      </c>
    </row>
    <row r="993">
      <c r="A993" s="59" t="n"/>
      <c r="B993" s="60" t="n"/>
      <c r="C993" s="60" t="n"/>
      <c r="D993" s="45">
        <f>IF($C993="","",IFERROR(INDEX('Chain Program'!$B$6:$B$120,MATCH($C993,'Chain Program'!$A$6:$A$120,0)),"Unknown ID"))</f>
        <v/>
      </c>
      <c r="E993" s="45">
        <f>IF($C993="","",IFERROR(INDEX('Chain Program'!$D$6:$D$120,MATCH($C993,'Chain Program'!$A$6:$A$120,0)),"Unknown ID"))</f>
        <v/>
      </c>
      <c r="F993" s="60" t="n"/>
      <c r="G993" s="60" t="n"/>
      <c r="H993" s="56">
        <f>IF(OR($C993="",$A993=""),"",IF(COUNTIFS('Promo Calendar'!$A$6:$A$400,$C993,'Promo Calendar'!$D$6:$D$400,IF($G993="","All",$G993),'Promo Calendar'!$I$6:$I$400,"&lt;="&amp;$A993,'Promo Calendar'!$J$6:$J$400,"&gt;="&amp;$A993,'Promo Calendar'!$G$6:$G$400,"&gt;0")&gt;0,_xlfn.MINIFS('Promo Calendar'!$G$6:$G$400,'Promo Calendar'!$A$6:$A$400,$C993,'Promo Calendar'!$D$6:$D$400,IF($G993="","All",$G993),'Promo Calendar'!$I$6:$I$400,"&lt;="&amp;$A993,'Promo Calendar'!$J$6:$J$400,"&gt;="&amp;$A993,'Promo Calendar'!$G$6:$G$400,"&gt;0"),IF(COUNTIFS('Promo Calendar'!$A$6:$A$400,$C993,'Promo Calendar'!$D$6:$D$400,"All",'Promo Calendar'!$I$6:$I$400,"&lt;="&amp;$A993,'Promo Calendar'!$J$6:$J$400,"&gt;="&amp;$A993,'Promo Calendar'!$G$6:$G$400,"&gt;0")&gt;0,_xlfn.MINIFS('Promo Calendar'!$G$6:$G$400,'Promo Calendar'!$A$6:$A$400,$C993,'Promo Calendar'!$D$6:$D$400,"All",'Promo Calendar'!$I$6:$I$400,"&lt;="&amp;$A993,'Promo Calendar'!$J$6:$J$400,"&gt;="&amp;$A993,'Promo Calendar'!$G$6:$G$400,"&gt;0"),IFERROR(IF(INDEX('Chain Program'!$M$6:$M$120,MATCH($C993,'Chain Program'!$A$6:$A$120,0))="","Not set",INDEX('Chain Program'!$M$6:$M$120,MATCH($C993,'Chain Program'!$A$6:$A$120,0))),"Not set"))))</f>
        <v/>
      </c>
      <c r="I993" s="61" t="n"/>
      <c r="J993" s="45">
        <f>IF($I993="","",IF(NOT(ISNUMBER($H993)),"No plan price",IF(ABS($I993-$H993)&lt;0.005,"Match",IF($I993&gt;$H993,"Over plan","Under plan"))))</f>
        <v/>
      </c>
      <c r="K993" s="60" t="n"/>
      <c r="L993" s="60" t="n"/>
      <c r="M993" s="60" t="n"/>
      <c r="N993" s="60" t="n"/>
      <c r="O993" s="60" t="n"/>
      <c r="P993" s="62" t="n"/>
      <c r="Q993" s="62" t="n"/>
      <c r="R993" s="60" t="n"/>
      <c r="S993" s="59" t="n"/>
      <c r="T993" s="60" t="n"/>
      <c r="U993" s="59" t="n"/>
      <c r="V993" s="45">
        <f>IF(OR($A993="",$T993="",$T993="No Issue"),"",IF($T993="Resolved",IF($U993="","",$U993-$A993),TODAY()-$A993))</f>
        <v/>
      </c>
      <c r="W993" s="47">
        <f>IF(AND($C993&lt;&gt;"",$C993='Store History'!$C$4,OR('Store History'!$C$5="",$F993='Store History'!$C$5)),1,0)</f>
        <v/>
      </c>
      <c r="X993" s="47">
        <f>IF($W993=1,SUM($W993:$W$1005),"")</f>
        <v/>
      </c>
    </row>
    <row r="994">
      <c r="A994" s="59" t="n"/>
      <c r="B994" s="60" t="n"/>
      <c r="C994" s="60" t="n"/>
      <c r="D994" s="45">
        <f>IF($C994="","",IFERROR(INDEX('Chain Program'!$B$6:$B$120,MATCH($C994,'Chain Program'!$A$6:$A$120,0)),"Unknown ID"))</f>
        <v/>
      </c>
      <c r="E994" s="45">
        <f>IF($C994="","",IFERROR(INDEX('Chain Program'!$D$6:$D$120,MATCH($C994,'Chain Program'!$A$6:$A$120,0)),"Unknown ID"))</f>
        <v/>
      </c>
      <c r="F994" s="60" t="n"/>
      <c r="G994" s="60" t="n"/>
      <c r="H994" s="56">
        <f>IF(OR($C994="",$A994=""),"",IF(COUNTIFS('Promo Calendar'!$A$6:$A$400,$C994,'Promo Calendar'!$D$6:$D$400,IF($G994="","All",$G994),'Promo Calendar'!$I$6:$I$400,"&lt;="&amp;$A994,'Promo Calendar'!$J$6:$J$400,"&gt;="&amp;$A994,'Promo Calendar'!$G$6:$G$400,"&gt;0")&gt;0,_xlfn.MINIFS('Promo Calendar'!$G$6:$G$400,'Promo Calendar'!$A$6:$A$400,$C994,'Promo Calendar'!$D$6:$D$400,IF($G994="","All",$G994),'Promo Calendar'!$I$6:$I$400,"&lt;="&amp;$A994,'Promo Calendar'!$J$6:$J$400,"&gt;="&amp;$A994,'Promo Calendar'!$G$6:$G$400,"&gt;0"),IF(COUNTIFS('Promo Calendar'!$A$6:$A$400,$C994,'Promo Calendar'!$D$6:$D$400,"All",'Promo Calendar'!$I$6:$I$400,"&lt;="&amp;$A994,'Promo Calendar'!$J$6:$J$400,"&gt;="&amp;$A994,'Promo Calendar'!$G$6:$G$400,"&gt;0")&gt;0,_xlfn.MINIFS('Promo Calendar'!$G$6:$G$400,'Promo Calendar'!$A$6:$A$400,$C994,'Promo Calendar'!$D$6:$D$400,"All",'Promo Calendar'!$I$6:$I$400,"&lt;="&amp;$A994,'Promo Calendar'!$J$6:$J$400,"&gt;="&amp;$A994,'Promo Calendar'!$G$6:$G$400,"&gt;0"),IFERROR(IF(INDEX('Chain Program'!$M$6:$M$120,MATCH($C994,'Chain Program'!$A$6:$A$120,0))="","Not set",INDEX('Chain Program'!$M$6:$M$120,MATCH($C994,'Chain Program'!$A$6:$A$120,0))),"Not set"))))</f>
        <v/>
      </c>
      <c r="I994" s="61" t="n"/>
      <c r="J994" s="45">
        <f>IF($I994="","",IF(NOT(ISNUMBER($H994)),"No plan price",IF(ABS($I994-$H994)&lt;0.005,"Match",IF($I994&gt;$H994,"Over plan","Under plan"))))</f>
        <v/>
      </c>
      <c r="K994" s="60" t="n"/>
      <c r="L994" s="60" t="n"/>
      <c r="M994" s="60" t="n"/>
      <c r="N994" s="60" t="n"/>
      <c r="O994" s="60" t="n"/>
      <c r="P994" s="62" t="n"/>
      <c r="Q994" s="62" t="n"/>
      <c r="R994" s="60" t="n"/>
      <c r="S994" s="59" t="n"/>
      <c r="T994" s="60" t="n"/>
      <c r="U994" s="59" t="n"/>
      <c r="V994" s="45">
        <f>IF(OR($A994="",$T994="",$T994="No Issue"),"",IF($T994="Resolved",IF($U994="","",$U994-$A994),TODAY()-$A994))</f>
        <v/>
      </c>
      <c r="W994" s="47">
        <f>IF(AND($C994&lt;&gt;"",$C994='Store History'!$C$4,OR('Store History'!$C$5="",$F994='Store History'!$C$5)),1,0)</f>
        <v/>
      </c>
      <c r="X994" s="47">
        <f>IF($W994=1,SUM($W994:$W$1005),"")</f>
        <v/>
      </c>
    </row>
    <row r="995">
      <c r="A995" s="59" t="n"/>
      <c r="B995" s="60" t="n"/>
      <c r="C995" s="60" t="n"/>
      <c r="D995" s="45">
        <f>IF($C995="","",IFERROR(INDEX('Chain Program'!$B$6:$B$120,MATCH($C995,'Chain Program'!$A$6:$A$120,0)),"Unknown ID"))</f>
        <v/>
      </c>
      <c r="E995" s="45">
        <f>IF($C995="","",IFERROR(INDEX('Chain Program'!$D$6:$D$120,MATCH($C995,'Chain Program'!$A$6:$A$120,0)),"Unknown ID"))</f>
        <v/>
      </c>
      <c r="F995" s="60" t="n"/>
      <c r="G995" s="60" t="n"/>
      <c r="H995" s="56">
        <f>IF(OR($C995="",$A995=""),"",IF(COUNTIFS('Promo Calendar'!$A$6:$A$400,$C995,'Promo Calendar'!$D$6:$D$400,IF($G995="","All",$G995),'Promo Calendar'!$I$6:$I$400,"&lt;="&amp;$A995,'Promo Calendar'!$J$6:$J$400,"&gt;="&amp;$A995,'Promo Calendar'!$G$6:$G$400,"&gt;0")&gt;0,_xlfn.MINIFS('Promo Calendar'!$G$6:$G$400,'Promo Calendar'!$A$6:$A$400,$C995,'Promo Calendar'!$D$6:$D$400,IF($G995="","All",$G995),'Promo Calendar'!$I$6:$I$400,"&lt;="&amp;$A995,'Promo Calendar'!$J$6:$J$400,"&gt;="&amp;$A995,'Promo Calendar'!$G$6:$G$400,"&gt;0"),IF(COUNTIFS('Promo Calendar'!$A$6:$A$400,$C995,'Promo Calendar'!$D$6:$D$400,"All",'Promo Calendar'!$I$6:$I$400,"&lt;="&amp;$A995,'Promo Calendar'!$J$6:$J$400,"&gt;="&amp;$A995,'Promo Calendar'!$G$6:$G$400,"&gt;0")&gt;0,_xlfn.MINIFS('Promo Calendar'!$G$6:$G$400,'Promo Calendar'!$A$6:$A$400,$C995,'Promo Calendar'!$D$6:$D$400,"All",'Promo Calendar'!$I$6:$I$400,"&lt;="&amp;$A995,'Promo Calendar'!$J$6:$J$400,"&gt;="&amp;$A995,'Promo Calendar'!$G$6:$G$400,"&gt;0"),IFERROR(IF(INDEX('Chain Program'!$M$6:$M$120,MATCH($C995,'Chain Program'!$A$6:$A$120,0))="","Not set",INDEX('Chain Program'!$M$6:$M$120,MATCH($C995,'Chain Program'!$A$6:$A$120,0))),"Not set"))))</f>
        <v/>
      </c>
      <c r="I995" s="61" t="n"/>
      <c r="J995" s="45">
        <f>IF($I995="","",IF(NOT(ISNUMBER($H995)),"No plan price",IF(ABS($I995-$H995)&lt;0.005,"Match",IF($I995&gt;$H995,"Over plan","Under plan"))))</f>
        <v/>
      </c>
      <c r="K995" s="60" t="n"/>
      <c r="L995" s="60" t="n"/>
      <c r="M995" s="60" t="n"/>
      <c r="N995" s="60" t="n"/>
      <c r="O995" s="60" t="n"/>
      <c r="P995" s="62" t="n"/>
      <c r="Q995" s="62" t="n"/>
      <c r="R995" s="60" t="n"/>
      <c r="S995" s="59" t="n"/>
      <c r="T995" s="60" t="n"/>
      <c r="U995" s="59" t="n"/>
      <c r="V995" s="45">
        <f>IF(OR($A995="",$T995="",$T995="No Issue"),"",IF($T995="Resolved",IF($U995="","",$U995-$A995),TODAY()-$A995))</f>
        <v/>
      </c>
      <c r="W995" s="47">
        <f>IF(AND($C995&lt;&gt;"",$C995='Store History'!$C$4,OR('Store History'!$C$5="",$F995='Store History'!$C$5)),1,0)</f>
        <v/>
      </c>
      <c r="X995" s="47">
        <f>IF($W995=1,SUM($W995:$W$1005),"")</f>
        <v/>
      </c>
    </row>
    <row r="996">
      <c r="A996" s="59" t="n"/>
      <c r="B996" s="60" t="n"/>
      <c r="C996" s="60" t="n"/>
      <c r="D996" s="45">
        <f>IF($C996="","",IFERROR(INDEX('Chain Program'!$B$6:$B$120,MATCH($C996,'Chain Program'!$A$6:$A$120,0)),"Unknown ID"))</f>
        <v/>
      </c>
      <c r="E996" s="45">
        <f>IF($C996="","",IFERROR(INDEX('Chain Program'!$D$6:$D$120,MATCH($C996,'Chain Program'!$A$6:$A$120,0)),"Unknown ID"))</f>
        <v/>
      </c>
      <c r="F996" s="60" t="n"/>
      <c r="G996" s="60" t="n"/>
      <c r="H996" s="56">
        <f>IF(OR($C996="",$A996=""),"",IF(COUNTIFS('Promo Calendar'!$A$6:$A$400,$C996,'Promo Calendar'!$D$6:$D$400,IF($G996="","All",$G996),'Promo Calendar'!$I$6:$I$400,"&lt;="&amp;$A996,'Promo Calendar'!$J$6:$J$400,"&gt;="&amp;$A996,'Promo Calendar'!$G$6:$G$400,"&gt;0")&gt;0,_xlfn.MINIFS('Promo Calendar'!$G$6:$G$400,'Promo Calendar'!$A$6:$A$400,$C996,'Promo Calendar'!$D$6:$D$400,IF($G996="","All",$G996),'Promo Calendar'!$I$6:$I$400,"&lt;="&amp;$A996,'Promo Calendar'!$J$6:$J$400,"&gt;="&amp;$A996,'Promo Calendar'!$G$6:$G$400,"&gt;0"),IF(COUNTIFS('Promo Calendar'!$A$6:$A$400,$C996,'Promo Calendar'!$D$6:$D$400,"All",'Promo Calendar'!$I$6:$I$400,"&lt;="&amp;$A996,'Promo Calendar'!$J$6:$J$400,"&gt;="&amp;$A996,'Promo Calendar'!$G$6:$G$400,"&gt;0")&gt;0,_xlfn.MINIFS('Promo Calendar'!$G$6:$G$400,'Promo Calendar'!$A$6:$A$400,$C996,'Promo Calendar'!$D$6:$D$400,"All",'Promo Calendar'!$I$6:$I$400,"&lt;="&amp;$A996,'Promo Calendar'!$J$6:$J$400,"&gt;="&amp;$A996,'Promo Calendar'!$G$6:$G$400,"&gt;0"),IFERROR(IF(INDEX('Chain Program'!$M$6:$M$120,MATCH($C996,'Chain Program'!$A$6:$A$120,0))="","Not set",INDEX('Chain Program'!$M$6:$M$120,MATCH($C996,'Chain Program'!$A$6:$A$120,0))),"Not set"))))</f>
        <v/>
      </c>
      <c r="I996" s="61" t="n"/>
      <c r="J996" s="45">
        <f>IF($I996="","",IF(NOT(ISNUMBER($H996)),"No plan price",IF(ABS($I996-$H996)&lt;0.005,"Match",IF($I996&gt;$H996,"Over plan","Under plan"))))</f>
        <v/>
      </c>
      <c r="K996" s="60" t="n"/>
      <c r="L996" s="60" t="n"/>
      <c r="M996" s="60" t="n"/>
      <c r="N996" s="60" t="n"/>
      <c r="O996" s="60" t="n"/>
      <c r="P996" s="62" t="n"/>
      <c r="Q996" s="62" t="n"/>
      <c r="R996" s="60" t="n"/>
      <c r="S996" s="59" t="n"/>
      <c r="T996" s="60" t="n"/>
      <c r="U996" s="59" t="n"/>
      <c r="V996" s="45">
        <f>IF(OR($A996="",$T996="",$T996="No Issue"),"",IF($T996="Resolved",IF($U996="","",$U996-$A996),TODAY()-$A996))</f>
        <v/>
      </c>
      <c r="W996" s="47">
        <f>IF(AND($C996&lt;&gt;"",$C996='Store History'!$C$4,OR('Store History'!$C$5="",$F996='Store History'!$C$5)),1,0)</f>
        <v/>
      </c>
      <c r="X996" s="47">
        <f>IF($W996=1,SUM($W996:$W$1005),"")</f>
        <v/>
      </c>
    </row>
    <row r="997">
      <c r="A997" s="59" t="n"/>
      <c r="B997" s="60" t="n"/>
      <c r="C997" s="60" t="n"/>
      <c r="D997" s="45">
        <f>IF($C997="","",IFERROR(INDEX('Chain Program'!$B$6:$B$120,MATCH($C997,'Chain Program'!$A$6:$A$120,0)),"Unknown ID"))</f>
        <v/>
      </c>
      <c r="E997" s="45">
        <f>IF($C997="","",IFERROR(INDEX('Chain Program'!$D$6:$D$120,MATCH($C997,'Chain Program'!$A$6:$A$120,0)),"Unknown ID"))</f>
        <v/>
      </c>
      <c r="F997" s="60" t="n"/>
      <c r="G997" s="60" t="n"/>
      <c r="H997" s="56">
        <f>IF(OR($C997="",$A997=""),"",IF(COUNTIFS('Promo Calendar'!$A$6:$A$400,$C997,'Promo Calendar'!$D$6:$D$400,IF($G997="","All",$G997),'Promo Calendar'!$I$6:$I$400,"&lt;="&amp;$A997,'Promo Calendar'!$J$6:$J$400,"&gt;="&amp;$A997,'Promo Calendar'!$G$6:$G$400,"&gt;0")&gt;0,_xlfn.MINIFS('Promo Calendar'!$G$6:$G$400,'Promo Calendar'!$A$6:$A$400,$C997,'Promo Calendar'!$D$6:$D$400,IF($G997="","All",$G997),'Promo Calendar'!$I$6:$I$400,"&lt;="&amp;$A997,'Promo Calendar'!$J$6:$J$400,"&gt;="&amp;$A997,'Promo Calendar'!$G$6:$G$400,"&gt;0"),IF(COUNTIFS('Promo Calendar'!$A$6:$A$400,$C997,'Promo Calendar'!$D$6:$D$400,"All",'Promo Calendar'!$I$6:$I$400,"&lt;="&amp;$A997,'Promo Calendar'!$J$6:$J$400,"&gt;="&amp;$A997,'Promo Calendar'!$G$6:$G$400,"&gt;0")&gt;0,_xlfn.MINIFS('Promo Calendar'!$G$6:$G$400,'Promo Calendar'!$A$6:$A$400,$C997,'Promo Calendar'!$D$6:$D$400,"All",'Promo Calendar'!$I$6:$I$400,"&lt;="&amp;$A997,'Promo Calendar'!$J$6:$J$400,"&gt;="&amp;$A997,'Promo Calendar'!$G$6:$G$400,"&gt;0"),IFERROR(IF(INDEX('Chain Program'!$M$6:$M$120,MATCH($C997,'Chain Program'!$A$6:$A$120,0))="","Not set",INDEX('Chain Program'!$M$6:$M$120,MATCH($C997,'Chain Program'!$A$6:$A$120,0))),"Not set"))))</f>
        <v/>
      </c>
      <c r="I997" s="61" t="n"/>
      <c r="J997" s="45">
        <f>IF($I997="","",IF(NOT(ISNUMBER($H997)),"No plan price",IF(ABS($I997-$H997)&lt;0.005,"Match",IF($I997&gt;$H997,"Over plan","Under plan"))))</f>
        <v/>
      </c>
      <c r="K997" s="60" t="n"/>
      <c r="L997" s="60" t="n"/>
      <c r="M997" s="60" t="n"/>
      <c r="N997" s="60" t="n"/>
      <c r="O997" s="60" t="n"/>
      <c r="P997" s="62" t="n"/>
      <c r="Q997" s="62" t="n"/>
      <c r="R997" s="60" t="n"/>
      <c r="S997" s="59" t="n"/>
      <c r="T997" s="60" t="n"/>
      <c r="U997" s="59" t="n"/>
      <c r="V997" s="45">
        <f>IF(OR($A997="",$T997="",$T997="No Issue"),"",IF($T997="Resolved",IF($U997="","",$U997-$A997),TODAY()-$A997))</f>
        <v/>
      </c>
      <c r="W997" s="47">
        <f>IF(AND($C997&lt;&gt;"",$C997='Store History'!$C$4,OR('Store History'!$C$5="",$F997='Store History'!$C$5)),1,0)</f>
        <v/>
      </c>
      <c r="X997" s="47">
        <f>IF($W997=1,SUM($W997:$W$1005),"")</f>
        <v/>
      </c>
    </row>
    <row r="998">
      <c r="A998" s="59" t="n"/>
      <c r="B998" s="60" t="n"/>
      <c r="C998" s="60" t="n"/>
      <c r="D998" s="45">
        <f>IF($C998="","",IFERROR(INDEX('Chain Program'!$B$6:$B$120,MATCH($C998,'Chain Program'!$A$6:$A$120,0)),"Unknown ID"))</f>
        <v/>
      </c>
      <c r="E998" s="45">
        <f>IF($C998="","",IFERROR(INDEX('Chain Program'!$D$6:$D$120,MATCH($C998,'Chain Program'!$A$6:$A$120,0)),"Unknown ID"))</f>
        <v/>
      </c>
      <c r="F998" s="60" t="n"/>
      <c r="G998" s="60" t="n"/>
      <c r="H998" s="56">
        <f>IF(OR($C998="",$A998=""),"",IF(COUNTIFS('Promo Calendar'!$A$6:$A$400,$C998,'Promo Calendar'!$D$6:$D$400,IF($G998="","All",$G998),'Promo Calendar'!$I$6:$I$400,"&lt;="&amp;$A998,'Promo Calendar'!$J$6:$J$400,"&gt;="&amp;$A998,'Promo Calendar'!$G$6:$G$400,"&gt;0")&gt;0,_xlfn.MINIFS('Promo Calendar'!$G$6:$G$400,'Promo Calendar'!$A$6:$A$400,$C998,'Promo Calendar'!$D$6:$D$400,IF($G998="","All",$G998),'Promo Calendar'!$I$6:$I$400,"&lt;="&amp;$A998,'Promo Calendar'!$J$6:$J$400,"&gt;="&amp;$A998,'Promo Calendar'!$G$6:$G$400,"&gt;0"),IF(COUNTIFS('Promo Calendar'!$A$6:$A$400,$C998,'Promo Calendar'!$D$6:$D$400,"All",'Promo Calendar'!$I$6:$I$400,"&lt;="&amp;$A998,'Promo Calendar'!$J$6:$J$400,"&gt;="&amp;$A998,'Promo Calendar'!$G$6:$G$400,"&gt;0")&gt;0,_xlfn.MINIFS('Promo Calendar'!$G$6:$G$400,'Promo Calendar'!$A$6:$A$400,$C998,'Promo Calendar'!$D$6:$D$400,"All",'Promo Calendar'!$I$6:$I$400,"&lt;="&amp;$A998,'Promo Calendar'!$J$6:$J$400,"&gt;="&amp;$A998,'Promo Calendar'!$G$6:$G$400,"&gt;0"),IFERROR(IF(INDEX('Chain Program'!$M$6:$M$120,MATCH($C998,'Chain Program'!$A$6:$A$120,0))="","Not set",INDEX('Chain Program'!$M$6:$M$120,MATCH($C998,'Chain Program'!$A$6:$A$120,0))),"Not set"))))</f>
        <v/>
      </c>
      <c r="I998" s="61" t="n"/>
      <c r="J998" s="45">
        <f>IF($I998="","",IF(NOT(ISNUMBER($H998)),"No plan price",IF(ABS($I998-$H998)&lt;0.005,"Match",IF($I998&gt;$H998,"Over plan","Under plan"))))</f>
        <v/>
      </c>
      <c r="K998" s="60" t="n"/>
      <c r="L998" s="60" t="n"/>
      <c r="M998" s="60" t="n"/>
      <c r="N998" s="60" t="n"/>
      <c r="O998" s="60" t="n"/>
      <c r="P998" s="62" t="n"/>
      <c r="Q998" s="62" t="n"/>
      <c r="R998" s="60" t="n"/>
      <c r="S998" s="59" t="n"/>
      <c r="T998" s="60" t="n"/>
      <c r="U998" s="59" t="n"/>
      <c r="V998" s="45">
        <f>IF(OR($A998="",$T998="",$T998="No Issue"),"",IF($T998="Resolved",IF($U998="","",$U998-$A998),TODAY()-$A998))</f>
        <v/>
      </c>
      <c r="W998" s="47">
        <f>IF(AND($C998&lt;&gt;"",$C998='Store History'!$C$4,OR('Store History'!$C$5="",$F998='Store History'!$C$5)),1,0)</f>
        <v/>
      </c>
      <c r="X998" s="47">
        <f>IF($W998=1,SUM($W998:$W$1005),"")</f>
        <v/>
      </c>
    </row>
    <row r="999">
      <c r="A999" s="59" t="n"/>
      <c r="B999" s="60" t="n"/>
      <c r="C999" s="60" t="n"/>
      <c r="D999" s="45">
        <f>IF($C999="","",IFERROR(INDEX('Chain Program'!$B$6:$B$120,MATCH($C999,'Chain Program'!$A$6:$A$120,0)),"Unknown ID"))</f>
        <v/>
      </c>
      <c r="E999" s="45">
        <f>IF($C999="","",IFERROR(INDEX('Chain Program'!$D$6:$D$120,MATCH($C999,'Chain Program'!$A$6:$A$120,0)),"Unknown ID"))</f>
        <v/>
      </c>
      <c r="F999" s="60" t="n"/>
      <c r="G999" s="60" t="n"/>
      <c r="H999" s="56">
        <f>IF(OR($C999="",$A999=""),"",IF(COUNTIFS('Promo Calendar'!$A$6:$A$400,$C999,'Promo Calendar'!$D$6:$D$400,IF($G999="","All",$G999),'Promo Calendar'!$I$6:$I$400,"&lt;="&amp;$A999,'Promo Calendar'!$J$6:$J$400,"&gt;="&amp;$A999,'Promo Calendar'!$G$6:$G$400,"&gt;0")&gt;0,_xlfn.MINIFS('Promo Calendar'!$G$6:$G$400,'Promo Calendar'!$A$6:$A$400,$C999,'Promo Calendar'!$D$6:$D$400,IF($G999="","All",$G999),'Promo Calendar'!$I$6:$I$400,"&lt;="&amp;$A999,'Promo Calendar'!$J$6:$J$400,"&gt;="&amp;$A999,'Promo Calendar'!$G$6:$G$400,"&gt;0"),IF(COUNTIFS('Promo Calendar'!$A$6:$A$400,$C999,'Promo Calendar'!$D$6:$D$400,"All",'Promo Calendar'!$I$6:$I$400,"&lt;="&amp;$A999,'Promo Calendar'!$J$6:$J$400,"&gt;="&amp;$A999,'Promo Calendar'!$G$6:$G$400,"&gt;0")&gt;0,_xlfn.MINIFS('Promo Calendar'!$G$6:$G$400,'Promo Calendar'!$A$6:$A$400,$C999,'Promo Calendar'!$D$6:$D$400,"All",'Promo Calendar'!$I$6:$I$400,"&lt;="&amp;$A999,'Promo Calendar'!$J$6:$J$400,"&gt;="&amp;$A999,'Promo Calendar'!$G$6:$G$400,"&gt;0"),IFERROR(IF(INDEX('Chain Program'!$M$6:$M$120,MATCH($C999,'Chain Program'!$A$6:$A$120,0))="","Not set",INDEX('Chain Program'!$M$6:$M$120,MATCH($C999,'Chain Program'!$A$6:$A$120,0))),"Not set"))))</f>
        <v/>
      </c>
      <c r="I999" s="61" t="n"/>
      <c r="J999" s="45">
        <f>IF($I999="","",IF(NOT(ISNUMBER($H999)),"No plan price",IF(ABS($I999-$H999)&lt;0.005,"Match",IF($I999&gt;$H999,"Over plan","Under plan"))))</f>
        <v/>
      </c>
      <c r="K999" s="60" t="n"/>
      <c r="L999" s="60" t="n"/>
      <c r="M999" s="60" t="n"/>
      <c r="N999" s="60" t="n"/>
      <c r="O999" s="60" t="n"/>
      <c r="P999" s="62" t="n"/>
      <c r="Q999" s="62" t="n"/>
      <c r="R999" s="60" t="n"/>
      <c r="S999" s="59" t="n"/>
      <c r="T999" s="60" t="n"/>
      <c r="U999" s="59" t="n"/>
      <c r="V999" s="45">
        <f>IF(OR($A999="",$T999="",$T999="No Issue"),"",IF($T999="Resolved",IF($U999="","",$U999-$A999),TODAY()-$A999))</f>
        <v/>
      </c>
      <c r="W999" s="47">
        <f>IF(AND($C999&lt;&gt;"",$C999='Store History'!$C$4,OR('Store History'!$C$5="",$F999='Store History'!$C$5)),1,0)</f>
        <v/>
      </c>
      <c r="X999" s="47">
        <f>IF($W999=1,SUM($W999:$W$1005),"")</f>
        <v/>
      </c>
    </row>
    <row r="1000">
      <c r="A1000" s="59" t="n"/>
      <c r="B1000" s="60" t="n"/>
      <c r="C1000" s="60" t="n"/>
      <c r="D1000" s="45">
        <f>IF($C1000="","",IFERROR(INDEX('Chain Program'!$B$6:$B$120,MATCH($C1000,'Chain Program'!$A$6:$A$120,0)),"Unknown ID"))</f>
        <v/>
      </c>
      <c r="E1000" s="45">
        <f>IF($C1000="","",IFERROR(INDEX('Chain Program'!$D$6:$D$120,MATCH($C1000,'Chain Program'!$A$6:$A$120,0)),"Unknown ID"))</f>
        <v/>
      </c>
      <c r="F1000" s="60" t="n"/>
      <c r="G1000" s="60" t="n"/>
      <c r="H1000" s="56">
        <f>IF(OR($C1000="",$A1000=""),"",IF(COUNTIFS('Promo Calendar'!$A$6:$A$400,$C1000,'Promo Calendar'!$D$6:$D$400,IF($G1000="","All",$G1000),'Promo Calendar'!$I$6:$I$400,"&lt;="&amp;$A1000,'Promo Calendar'!$J$6:$J$400,"&gt;="&amp;$A1000,'Promo Calendar'!$G$6:$G$400,"&gt;0")&gt;0,_xlfn.MINIFS('Promo Calendar'!$G$6:$G$400,'Promo Calendar'!$A$6:$A$400,$C1000,'Promo Calendar'!$D$6:$D$400,IF($G1000="","All",$G1000),'Promo Calendar'!$I$6:$I$400,"&lt;="&amp;$A1000,'Promo Calendar'!$J$6:$J$400,"&gt;="&amp;$A1000,'Promo Calendar'!$G$6:$G$400,"&gt;0"),IF(COUNTIFS('Promo Calendar'!$A$6:$A$400,$C1000,'Promo Calendar'!$D$6:$D$400,"All",'Promo Calendar'!$I$6:$I$400,"&lt;="&amp;$A1000,'Promo Calendar'!$J$6:$J$400,"&gt;="&amp;$A1000,'Promo Calendar'!$G$6:$G$400,"&gt;0")&gt;0,_xlfn.MINIFS('Promo Calendar'!$G$6:$G$400,'Promo Calendar'!$A$6:$A$400,$C1000,'Promo Calendar'!$D$6:$D$400,"All",'Promo Calendar'!$I$6:$I$400,"&lt;="&amp;$A1000,'Promo Calendar'!$J$6:$J$400,"&gt;="&amp;$A1000,'Promo Calendar'!$G$6:$G$400,"&gt;0"),IFERROR(IF(INDEX('Chain Program'!$M$6:$M$120,MATCH($C1000,'Chain Program'!$A$6:$A$120,0))="","Not set",INDEX('Chain Program'!$M$6:$M$120,MATCH($C1000,'Chain Program'!$A$6:$A$120,0))),"Not set"))))</f>
        <v/>
      </c>
      <c r="I1000" s="61" t="n"/>
      <c r="J1000" s="45">
        <f>IF($I1000="","",IF(NOT(ISNUMBER($H1000)),"No plan price",IF(ABS($I1000-$H1000)&lt;0.005,"Match",IF($I1000&gt;$H1000,"Over plan","Under plan"))))</f>
        <v/>
      </c>
      <c r="K1000" s="60" t="n"/>
      <c r="L1000" s="60" t="n"/>
      <c r="M1000" s="60" t="n"/>
      <c r="N1000" s="60" t="n"/>
      <c r="O1000" s="60" t="n"/>
      <c r="P1000" s="62" t="n"/>
      <c r="Q1000" s="62" t="n"/>
      <c r="R1000" s="60" t="n"/>
      <c r="S1000" s="59" t="n"/>
      <c r="T1000" s="60" t="n"/>
      <c r="U1000" s="59" t="n"/>
      <c r="V1000" s="45">
        <f>IF(OR($A1000="",$T1000="",$T1000="No Issue"),"",IF($T1000="Resolved",IF($U1000="","",$U1000-$A1000),TODAY()-$A1000))</f>
        <v/>
      </c>
      <c r="W1000" s="47">
        <f>IF(AND($C1000&lt;&gt;"",$C1000='Store History'!$C$4,OR('Store History'!$C$5="",$F1000='Store History'!$C$5)),1,0)</f>
        <v/>
      </c>
      <c r="X1000" s="47">
        <f>IF($W1000=1,SUM($W1000:$W$1005),"")</f>
        <v/>
      </c>
    </row>
    <row r="1001">
      <c r="A1001" s="59" t="n"/>
      <c r="B1001" s="60" t="n"/>
      <c r="C1001" s="60" t="n"/>
      <c r="D1001" s="45">
        <f>IF($C1001="","",IFERROR(INDEX('Chain Program'!$B$6:$B$120,MATCH($C1001,'Chain Program'!$A$6:$A$120,0)),"Unknown ID"))</f>
        <v/>
      </c>
      <c r="E1001" s="45">
        <f>IF($C1001="","",IFERROR(INDEX('Chain Program'!$D$6:$D$120,MATCH($C1001,'Chain Program'!$A$6:$A$120,0)),"Unknown ID"))</f>
        <v/>
      </c>
      <c r="F1001" s="60" t="n"/>
      <c r="G1001" s="60" t="n"/>
      <c r="H1001" s="56">
        <f>IF(OR($C1001="",$A1001=""),"",IF(COUNTIFS('Promo Calendar'!$A$6:$A$400,$C1001,'Promo Calendar'!$D$6:$D$400,IF($G1001="","All",$G1001),'Promo Calendar'!$I$6:$I$400,"&lt;="&amp;$A1001,'Promo Calendar'!$J$6:$J$400,"&gt;="&amp;$A1001,'Promo Calendar'!$G$6:$G$400,"&gt;0")&gt;0,_xlfn.MINIFS('Promo Calendar'!$G$6:$G$400,'Promo Calendar'!$A$6:$A$400,$C1001,'Promo Calendar'!$D$6:$D$400,IF($G1001="","All",$G1001),'Promo Calendar'!$I$6:$I$400,"&lt;="&amp;$A1001,'Promo Calendar'!$J$6:$J$400,"&gt;="&amp;$A1001,'Promo Calendar'!$G$6:$G$400,"&gt;0"),IF(COUNTIFS('Promo Calendar'!$A$6:$A$400,$C1001,'Promo Calendar'!$D$6:$D$400,"All",'Promo Calendar'!$I$6:$I$400,"&lt;="&amp;$A1001,'Promo Calendar'!$J$6:$J$400,"&gt;="&amp;$A1001,'Promo Calendar'!$G$6:$G$400,"&gt;0")&gt;0,_xlfn.MINIFS('Promo Calendar'!$G$6:$G$400,'Promo Calendar'!$A$6:$A$400,$C1001,'Promo Calendar'!$D$6:$D$400,"All",'Promo Calendar'!$I$6:$I$400,"&lt;="&amp;$A1001,'Promo Calendar'!$J$6:$J$400,"&gt;="&amp;$A1001,'Promo Calendar'!$G$6:$G$400,"&gt;0"),IFERROR(IF(INDEX('Chain Program'!$M$6:$M$120,MATCH($C1001,'Chain Program'!$A$6:$A$120,0))="","Not set",INDEX('Chain Program'!$M$6:$M$120,MATCH($C1001,'Chain Program'!$A$6:$A$120,0))),"Not set"))))</f>
        <v/>
      </c>
      <c r="I1001" s="61" t="n"/>
      <c r="J1001" s="45">
        <f>IF($I1001="","",IF(NOT(ISNUMBER($H1001)),"No plan price",IF(ABS($I1001-$H1001)&lt;0.005,"Match",IF($I1001&gt;$H1001,"Over plan","Under plan"))))</f>
        <v/>
      </c>
      <c r="K1001" s="60" t="n"/>
      <c r="L1001" s="60" t="n"/>
      <c r="M1001" s="60" t="n"/>
      <c r="N1001" s="60" t="n"/>
      <c r="O1001" s="60" t="n"/>
      <c r="P1001" s="62" t="n"/>
      <c r="Q1001" s="62" t="n"/>
      <c r="R1001" s="60" t="n"/>
      <c r="S1001" s="59" t="n"/>
      <c r="T1001" s="60" t="n"/>
      <c r="U1001" s="59" t="n"/>
      <c r="V1001" s="45">
        <f>IF(OR($A1001="",$T1001="",$T1001="No Issue"),"",IF($T1001="Resolved",IF($U1001="","",$U1001-$A1001),TODAY()-$A1001))</f>
        <v/>
      </c>
      <c r="W1001" s="47">
        <f>IF(AND($C1001&lt;&gt;"",$C1001='Store History'!$C$4,OR('Store History'!$C$5="",$F1001='Store History'!$C$5)),1,0)</f>
        <v/>
      </c>
      <c r="X1001" s="47">
        <f>IF($W1001=1,SUM($W1001:$W$1005),"")</f>
        <v/>
      </c>
    </row>
    <row r="1002">
      <c r="A1002" s="59" t="n"/>
      <c r="B1002" s="60" t="n"/>
      <c r="C1002" s="60" t="n"/>
      <c r="D1002" s="45">
        <f>IF($C1002="","",IFERROR(INDEX('Chain Program'!$B$6:$B$120,MATCH($C1002,'Chain Program'!$A$6:$A$120,0)),"Unknown ID"))</f>
        <v/>
      </c>
      <c r="E1002" s="45">
        <f>IF($C1002="","",IFERROR(INDEX('Chain Program'!$D$6:$D$120,MATCH($C1002,'Chain Program'!$A$6:$A$120,0)),"Unknown ID"))</f>
        <v/>
      </c>
      <c r="F1002" s="60" t="n"/>
      <c r="G1002" s="60" t="n"/>
      <c r="H1002" s="56">
        <f>IF(OR($C1002="",$A1002=""),"",IF(COUNTIFS('Promo Calendar'!$A$6:$A$400,$C1002,'Promo Calendar'!$D$6:$D$400,IF($G1002="","All",$G1002),'Promo Calendar'!$I$6:$I$400,"&lt;="&amp;$A1002,'Promo Calendar'!$J$6:$J$400,"&gt;="&amp;$A1002,'Promo Calendar'!$G$6:$G$400,"&gt;0")&gt;0,_xlfn.MINIFS('Promo Calendar'!$G$6:$G$400,'Promo Calendar'!$A$6:$A$400,$C1002,'Promo Calendar'!$D$6:$D$400,IF($G1002="","All",$G1002),'Promo Calendar'!$I$6:$I$400,"&lt;="&amp;$A1002,'Promo Calendar'!$J$6:$J$400,"&gt;="&amp;$A1002,'Promo Calendar'!$G$6:$G$400,"&gt;0"),IF(COUNTIFS('Promo Calendar'!$A$6:$A$400,$C1002,'Promo Calendar'!$D$6:$D$400,"All",'Promo Calendar'!$I$6:$I$400,"&lt;="&amp;$A1002,'Promo Calendar'!$J$6:$J$400,"&gt;="&amp;$A1002,'Promo Calendar'!$G$6:$G$400,"&gt;0")&gt;0,_xlfn.MINIFS('Promo Calendar'!$G$6:$G$400,'Promo Calendar'!$A$6:$A$400,$C1002,'Promo Calendar'!$D$6:$D$400,"All",'Promo Calendar'!$I$6:$I$400,"&lt;="&amp;$A1002,'Promo Calendar'!$J$6:$J$400,"&gt;="&amp;$A1002,'Promo Calendar'!$G$6:$G$400,"&gt;0"),IFERROR(IF(INDEX('Chain Program'!$M$6:$M$120,MATCH($C1002,'Chain Program'!$A$6:$A$120,0))="","Not set",INDEX('Chain Program'!$M$6:$M$120,MATCH($C1002,'Chain Program'!$A$6:$A$120,0))),"Not set"))))</f>
        <v/>
      </c>
      <c r="I1002" s="61" t="n"/>
      <c r="J1002" s="45">
        <f>IF($I1002="","",IF(NOT(ISNUMBER($H1002)),"No plan price",IF(ABS($I1002-$H1002)&lt;0.005,"Match",IF($I1002&gt;$H1002,"Over plan","Under plan"))))</f>
        <v/>
      </c>
      <c r="K1002" s="60" t="n"/>
      <c r="L1002" s="60" t="n"/>
      <c r="M1002" s="60" t="n"/>
      <c r="N1002" s="60" t="n"/>
      <c r="O1002" s="60" t="n"/>
      <c r="P1002" s="62" t="n"/>
      <c r="Q1002" s="62" t="n"/>
      <c r="R1002" s="60" t="n"/>
      <c r="S1002" s="59" t="n"/>
      <c r="T1002" s="60" t="n"/>
      <c r="U1002" s="59" t="n"/>
      <c r="V1002" s="45">
        <f>IF(OR($A1002="",$T1002="",$T1002="No Issue"),"",IF($T1002="Resolved",IF($U1002="","",$U1002-$A1002),TODAY()-$A1002))</f>
        <v/>
      </c>
      <c r="W1002" s="47">
        <f>IF(AND($C1002&lt;&gt;"",$C1002='Store History'!$C$4,OR('Store History'!$C$5="",$F1002='Store History'!$C$5)),1,0)</f>
        <v/>
      </c>
      <c r="X1002" s="47">
        <f>IF($W1002=1,SUM($W1002:$W$1005),"")</f>
        <v/>
      </c>
    </row>
    <row r="1003">
      <c r="A1003" s="59" t="n"/>
      <c r="B1003" s="60" t="n"/>
      <c r="C1003" s="60" t="n"/>
      <c r="D1003" s="45">
        <f>IF($C1003="","",IFERROR(INDEX('Chain Program'!$B$6:$B$120,MATCH($C1003,'Chain Program'!$A$6:$A$120,0)),"Unknown ID"))</f>
        <v/>
      </c>
      <c r="E1003" s="45">
        <f>IF($C1003="","",IFERROR(INDEX('Chain Program'!$D$6:$D$120,MATCH($C1003,'Chain Program'!$A$6:$A$120,0)),"Unknown ID"))</f>
        <v/>
      </c>
      <c r="F1003" s="60" t="n"/>
      <c r="G1003" s="60" t="n"/>
      <c r="H1003" s="56">
        <f>IF(OR($C1003="",$A1003=""),"",IF(COUNTIFS('Promo Calendar'!$A$6:$A$400,$C1003,'Promo Calendar'!$D$6:$D$400,IF($G1003="","All",$G1003),'Promo Calendar'!$I$6:$I$400,"&lt;="&amp;$A1003,'Promo Calendar'!$J$6:$J$400,"&gt;="&amp;$A1003,'Promo Calendar'!$G$6:$G$400,"&gt;0")&gt;0,_xlfn.MINIFS('Promo Calendar'!$G$6:$G$400,'Promo Calendar'!$A$6:$A$400,$C1003,'Promo Calendar'!$D$6:$D$400,IF($G1003="","All",$G1003),'Promo Calendar'!$I$6:$I$400,"&lt;="&amp;$A1003,'Promo Calendar'!$J$6:$J$400,"&gt;="&amp;$A1003,'Promo Calendar'!$G$6:$G$400,"&gt;0"),IF(COUNTIFS('Promo Calendar'!$A$6:$A$400,$C1003,'Promo Calendar'!$D$6:$D$400,"All",'Promo Calendar'!$I$6:$I$400,"&lt;="&amp;$A1003,'Promo Calendar'!$J$6:$J$400,"&gt;="&amp;$A1003,'Promo Calendar'!$G$6:$G$400,"&gt;0")&gt;0,_xlfn.MINIFS('Promo Calendar'!$G$6:$G$400,'Promo Calendar'!$A$6:$A$400,$C1003,'Promo Calendar'!$D$6:$D$400,"All",'Promo Calendar'!$I$6:$I$400,"&lt;="&amp;$A1003,'Promo Calendar'!$J$6:$J$400,"&gt;="&amp;$A1003,'Promo Calendar'!$G$6:$G$400,"&gt;0"),IFERROR(IF(INDEX('Chain Program'!$M$6:$M$120,MATCH($C1003,'Chain Program'!$A$6:$A$120,0))="","Not set",INDEX('Chain Program'!$M$6:$M$120,MATCH($C1003,'Chain Program'!$A$6:$A$120,0))),"Not set"))))</f>
        <v/>
      </c>
      <c r="I1003" s="61" t="n"/>
      <c r="J1003" s="45">
        <f>IF($I1003="","",IF(NOT(ISNUMBER($H1003)),"No plan price",IF(ABS($I1003-$H1003)&lt;0.005,"Match",IF($I1003&gt;$H1003,"Over plan","Under plan"))))</f>
        <v/>
      </c>
      <c r="K1003" s="60" t="n"/>
      <c r="L1003" s="60" t="n"/>
      <c r="M1003" s="60" t="n"/>
      <c r="N1003" s="60" t="n"/>
      <c r="O1003" s="60" t="n"/>
      <c r="P1003" s="62" t="n"/>
      <c r="Q1003" s="62" t="n"/>
      <c r="R1003" s="60" t="n"/>
      <c r="S1003" s="59" t="n"/>
      <c r="T1003" s="60" t="n"/>
      <c r="U1003" s="59" t="n"/>
      <c r="V1003" s="45">
        <f>IF(OR($A1003="",$T1003="",$T1003="No Issue"),"",IF($T1003="Resolved",IF($U1003="","",$U1003-$A1003),TODAY()-$A1003))</f>
        <v/>
      </c>
      <c r="W1003" s="47">
        <f>IF(AND($C1003&lt;&gt;"",$C1003='Store History'!$C$4,OR('Store History'!$C$5="",$F1003='Store History'!$C$5)),1,0)</f>
        <v/>
      </c>
      <c r="X1003" s="47">
        <f>IF($W1003=1,SUM($W1003:$W$1005),"")</f>
        <v/>
      </c>
    </row>
    <row r="1004">
      <c r="A1004" s="59" t="n"/>
      <c r="B1004" s="60" t="n"/>
      <c r="C1004" s="60" t="n"/>
      <c r="D1004" s="45">
        <f>IF($C1004="","",IFERROR(INDEX('Chain Program'!$B$6:$B$120,MATCH($C1004,'Chain Program'!$A$6:$A$120,0)),"Unknown ID"))</f>
        <v/>
      </c>
      <c r="E1004" s="45">
        <f>IF($C1004="","",IFERROR(INDEX('Chain Program'!$D$6:$D$120,MATCH($C1004,'Chain Program'!$A$6:$A$120,0)),"Unknown ID"))</f>
        <v/>
      </c>
      <c r="F1004" s="60" t="n"/>
      <c r="G1004" s="60" t="n"/>
      <c r="H1004" s="56">
        <f>IF(OR($C1004="",$A1004=""),"",IF(COUNTIFS('Promo Calendar'!$A$6:$A$400,$C1004,'Promo Calendar'!$D$6:$D$400,IF($G1004="","All",$G1004),'Promo Calendar'!$I$6:$I$400,"&lt;="&amp;$A1004,'Promo Calendar'!$J$6:$J$400,"&gt;="&amp;$A1004,'Promo Calendar'!$G$6:$G$400,"&gt;0")&gt;0,_xlfn.MINIFS('Promo Calendar'!$G$6:$G$400,'Promo Calendar'!$A$6:$A$400,$C1004,'Promo Calendar'!$D$6:$D$400,IF($G1004="","All",$G1004),'Promo Calendar'!$I$6:$I$400,"&lt;="&amp;$A1004,'Promo Calendar'!$J$6:$J$400,"&gt;="&amp;$A1004,'Promo Calendar'!$G$6:$G$400,"&gt;0"),IF(COUNTIFS('Promo Calendar'!$A$6:$A$400,$C1004,'Promo Calendar'!$D$6:$D$400,"All",'Promo Calendar'!$I$6:$I$400,"&lt;="&amp;$A1004,'Promo Calendar'!$J$6:$J$400,"&gt;="&amp;$A1004,'Promo Calendar'!$G$6:$G$400,"&gt;0")&gt;0,_xlfn.MINIFS('Promo Calendar'!$G$6:$G$400,'Promo Calendar'!$A$6:$A$400,$C1004,'Promo Calendar'!$D$6:$D$400,"All",'Promo Calendar'!$I$6:$I$400,"&lt;="&amp;$A1004,'Promo Calendar'!$J$6:$J$400,"&gt;="&amp;$A1004,'Promo Calendar'!$G$6:$G$400,"&gt;0"),IFERROR(IF(INDEX('Chain Program'!$M$6:$M$120,MATCH($C1004,'Chain Program'!$A$6:$A$120,0))="","Not set",INDEX('Chain Program'!$M$6:$M$120,MATCH($C1004,'Chain Program'!$A$6:$A$120,0))),"Not set"))))</f>
        <v/>
      </c>
      <c r="I1004" s="61" t="n"/>
      <c r="J1004" s="45">
        <f>IF($I1004="","",IF(NOT(ISNUMBER($H1004)),"No plan price",IF(ABS($I1004-$H1004)&lt;0.005,"Match",IF($I1004&gt;$H1004,"Over plan","Under plan"))))</f>
        <v/>
      </c>
      <c r="K1004" s="60" t="n"/>
      <c r="L1004" s="60" t="n"/>
      <c r="M1004" s="60" t="n"/>
      <c r="N1004" s="60" t="n"/>
      <c r="O1004" s="60" t="n"/>
      <c r="P1004" s="62" t="n"/>
      <c r="Q1004" s="62" t="n"/>
      <c r="R1004" s="60" t="n"/>
      <c r="S1004" s="59" t="n"/>
      <c r="T1004" s="60" t="n"/>
      <c r="U1004" s="59" t="n"/>
      <c r="V1004" s="45">
        <f>IF(OR($A1004="",$T1004="",$T1004="No Issue"),"",IF($T1004="Resolved",IF($U1004="","",$U1004-$A1004),TODAY()-$A1004))</f>
        <v/>
      </c>
      <c r="W1004" s="47">
        <f>IF(AND($C1004&lt;&gt;"",$C1004='Store History'!$C$4,OR('Store History'!$C$5="",$F1004='Store History'!$C$5)),1,0)</f>
        <v/>
      </c>
      <c r="X1004" s="47">
        <f>IF($W1004=1,SUM($W1004:$W$1005),"")</f>
        <v/>
      </c>
    </row>
    <row r="1005">
      <c r="A1005" s="59" t="n"/>
      <c r="B1005" s="60" t="n"/>
      <c r="C1005" s="60" t="n"/>
      <c r="D1005" s="45">
        <f>IF($C1005="","",IFERROR(INDEX('Chain Program'!$B$6:$B$120,MATCH($C1005,'Chain Program'!$A$6:$A$120,0)),"Unknown ID"))</f>
        <v/>
      </c>
      <c r="E1005" s="45">
        <f>IF($C1005="","",IFERROR(INDEX('Chain Program'!$D$6:$D$120,MATCH($C1005,'Chain Program'!$A$6:$A$120,0)),"Unknown ID"))</f>
        <v/>
      </c>
      <c r="F1005" s="60" t="n"/>
      <c r="G1005" s="60" t="n"/>
      <c r="H1005" s="56">
        <f>IF(OR($C1005="",$A1005=""),"",IF(COUNTIFS('Promo Calendar'!$A$6:$A$400,$C1005,'Promo Calendar'!$D$6:$D$400,IF($G1005="","All",$G1005),'Promo Calendar'!$I$6:$I$400,"&lt;="&amp;$A1005,'Promo Calendar'!$J$6:$J$400,"&gt;="&amp;$A1005,'Promo Calendar'!$G$6:$G$400,"&gt;0")&gt;0,_xlfn.MINIFS('Promo Calendar'!$G$6:$G$400,'Promo Calendar'!$A$6:$A$400,$C1005,'Promo Calendar'!$D$6:$D$400,IF($G1005="","All",$G1005),'Promo Calendar'!$I$6:$I$400,"&lt;="&amp;$A1005,'Promo Calendar'!$J$6:$J$400,"&gt;="&amp;$A1005,'Promo Calendar'!$G$6:$G$400,"&gt;0"),IF(COUNTIFS('Promo Calendar'!$A$6:$A$400,$C1005,'Promo Calendar'!$D$6:$D$400,"All",'Promo Calendar'!$I$6:$I$400,"&lt;="&amp;$A1005,'Promo Calendar'!$J$6:$J$400,"&gt;="&amp;$A1005,'Promo Calendar'!$G$6:$G$400,"&gt;0")&gt;0,_xlfn.MINIFS('Promo Calendar'!$G$6:$G$400,'Promo Calendar'!$A$6:$A$400,$C1005,'Promo Calendar'!$D$6:$D$400,"All",'Promo Calendar'!$I$6:$I$400,"&lt;="&amp;$A1005,'Promo Calendar'!$J$6:$J$400,"&gt;="&amp;$A1005,'Promo Calendar'!$G$6:$G$400,"&gt;0"),IFERROR(IF(INDEX('Chain Program'!$M$6:$M$120,MATCH($C1005,'Chain Program'!$A$6:$A$120,0))="","Not set",INDEX('Chain Program'!$M$6:$M$120,MATCH($C1005,'Chain Program'!$A$6:$A$120,0))),"Not set"))))</f>
        <v/>
      </c>
      <c r="I1005" s="61" t="n"/>
      <c r="J1005" s="45">
        <f>IF($I1005="","",IF(NOT(ISNUMBER($H1005)),"No plan price",IF(ABS($I1005-$H1005)&lt;0.005,"Match",IF($I1005&gt;$H1005,"Over plan","Under plan"))))</f>
        <v/>
      </c>
      <c r="K1005" s="60" t="n"/>
      <c r="L1005" s="60" t="n"/>
      <c r="M1005" s="60" t="n"/>
      <c r="N1005" s="60" t="n"/>
      <c r="O1005" s="60" t="n"/>
      <c r="P1005" s="62" t="n"/>
      <c r="Q1005" s="62" t="n"/>
      <c r="R1005" s="60" t="n"/>
      <c r="S1005" s="59" t="n"/>
      <c r="T1005" s="60" t="n"/>
      <c r="U1005" s="59" t="n"/>
      <c r="V1005" s="45">
        <f>IF(OR($A1005="",$T1005="",$T1005="No Issue"),"",IF($T1005="Resolved",IF($U1005="","",$U1005-$A1005),TODAY()-$A1005))</f>
        <v/>
      </c>
      <c r="W1005" s="47">
        <f>IF(AND($C1005&lt;&gt;"",$C1005='Store History'!$C$4,OR('Store History'!$C$5="",$F1005='Store History'!$C$5)),1,0)</f>
        <v/>
      </c>
      <c r="X1005" s="47">
        <f>IF($W1005=1,SUM($W1005:$W$1005),"")</f>
        <v/>
      </c>
    </row>
  </sheetData>
  <autoFilter ref="A5:X1005"/>
  <mergeCells count="6">
    <mergeCell ref="W4:X4"/>
    <mergeCell ref="K4:N4"/>
    <mergeCell ref="O4:Q4"/>
    <mergeCell ref="H4:J4"/>
    <mergeCell ref="A4:G4"/>
    <mergeCell ref="R4:V4"/>
  </mergeCells>
  <conditionalFormatting sqref="J6:J1005">
    <cfRule type="cellIs" priority="1" operator="equal" dxfId="2">
      <formula>"Match"</formula>
    </cfRule>
    <cfRule type="cellIs" priority="2" operator="equal" dxfId="0">
      <formula>"Over plan"</formula>
    </cfRule>
    <cfRule type="cellIs" priority="3" operator="equal" dxfId="1">
      <formula>"Under plan"</formula>
    </cfRule>
  </conditionalFormatting>
  <conditionalFormatting sqref="K6:K1005">
    <cfRule type="cellIs" priority="4" operator="equal" dxfId="0">
      <formula>"N"</formula>
    </cfRule>
  </conditionalFormatting>
  <conditionalFormatting sqref="L6:L1005">
    <cfRule type="cellIs" priority="5" operator="equal" dxfId="0">
      <formula>"N"</formula>
    </cfRule>
  </conditionalFormatting>
  <conditionalFormatting sqref="M6:M1005">
    <cfRule type="cellIs" priority="6" operator="equal" dxfId="0">
      <formula>"N"</formula>
    </cfRule>
  </conditionalFormatting>
  <conditionalFormatting sqref="N6:N1005">
    <cfRule type="cellIs" priority="7" operator="equal" dxfId="0">
      <formula>"No"</formula>
    </cfRule>
  </conditionalFormatting>
  <conditionalFormatting sqref="T6:T1005">
    <cfRule type="cellIs" priority="8" operator="equal" dxfId="0">
      <formula>"Open"</formula>
    </cfRule>
    <cfRule type="cellIs" priority="9" operator="equal" dxfId="1">
      <formula>"In Progress"</formula>
    </cfRule>
    <cfRule type="cellIs" priority="10" operator="equal" dxfId="2">
      <formula>"Resolved"</formula>
    </cfRule>
  </conditionalFormatting>
  <conditionalFormatting sqref="S6:S1005">
    <cfRule type="expression" priority="11" dxfId="5">
      <formula>AND($S6&lt;&gt;"",$S6&lt;TODAY(),OR($T6="Open",$T6="In Progress"))</formula>
    </cfRule>
  </conditionalFormatting>
  <dataValidations count="12">
    <dataValidation sqref="B6:B1005" showDropDown="0" showInputMessage="0" showErrorMessage="0" allowBlank="1" errorTitle="Not on the list" error="Pick a value from the list." type="list">
      <formula1>=Lists!$A$4:$A$28</formula1>
    </dataValidation>
    <dataValidation sqref="C6:C1005" showDropDown="0" showInputMessage="1" showErrorMessage="0" allowBlank="1" errorTitle="Not on the list" error="Pick a value from the list." prompt="Pick the brand | account program for this check." type="list">
      <formula1>='Chain Program'!$A$6:$A$120</formula1>
    </dataValidation>
    <dataValidation sqref="G6:G1005" showDropDown="0" showInputMessage="0" showErrorMessage="0" allowBlank="1" errorTitle="Not on the list" error="Pick a value from the list." type="list">
      <formula1>=Lists!$C$4:$C$15</formula1>
    </dataValidation>
    <dataValidation sqref="K6:K1005" showDropDown="0" showInputMessage="0" showErrorMessage="0" allowBlank="1" errorTitle="Not on the list" error="Pick a value from the list." type="list">
      <formula1>=Lists!$F$4:$F$5</formula1>
    </dataValidation>
    <dataValidation sqref="L6:L1005" showDropDown="0" showInputMessage="0" showErrorMessage="0" allowBlank="1" errorTitle="Not on the list" error="Pick a value from the list." type="list">
      <formula1>=Lists!$F$4:$F$5</formula1>
    </dataValidation>
    <dataValidation sqref="M6:M1005" showDropDown="0" showInputMessage="0" showErrorMessage="0" allowBlank="1" errorTitle="Not on the list" error="Pick a value from the list." type="list">
      <formula1>=Lists!$F$4:$F$5</formula1>
    </dataValidation>
    <dataValidation sqref="N6:N1005" showDropDown="0" showInputMessage="0" showErrorMessage="0" allowBlank="1" errorTitle="Not on the list" error="Pick a value from the list." type="list">
      <formula1>=Lists!$G$4:$G$6</formula1>
    </dataValidation>
    <dataValidation sqref="O6:O1005" showDropDown="0" showInputMessage="0" showErrorMessage="0" allowBlank="1" errorTitle="Not on the list" error="Pick a value from the list." type="list">
      <formula1>=Lists!$D$4:$D$15</formula1>
    </dataValidation>
    <dataValidation sqref="R6:R1005" showDropDown="0" showInputMessage="0" showErrorMessage="0" allowBlank="1" errorTitle="Not on the list" error="Pick a value from the list." type="list">
      <formula1>=Lists!$A$4:$A$28</formula1>
    </dataValidation>
    <dataValidation sqref="T6:T1005" showDropDown="0" showInputMessage="0" showErrorMessage="0" allowBlank="1" errorTitle="Not on the list" error="Pick a value from the list." type="list">
      <formula1>=Lists!$E$4:$E$7</formula1>
    </dataValidation>
    <dataValidation sqref="A6:A1005" showDropDown="0" showInputMessage="0" showErrorMessage="0" allowBlank="1" error="Enter a date (m/d/yyyy)." type="date" operator="greaterThan">
      <formula1>DATE(2025,1,1)</formula1>
    </dataValidation>
    <dataValidation sqref="I6:I1005" showDropDown="0" showInputMessage="0" showErrorMessage="0" allowBlank="1" error="Enter the shelf price as a number, e.g. 5.99" type="decimal" operator="between">
      <formula1>0</formula1>
      <formula2>500</formula2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D4A017"/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20" customWidth="1" min="4" max="4"/>
    <col width="16" customWidth="1" min="5" max="5"/>
    <col width="10" customWidth="1" min="6" max="6"/>
    <col width="11" customWidth="1" min="7" max="7"/>
    <col width="22" customWidth="1" min="8" max="8"/>
    <col width="44" customWidth="1" min="9" max="9"/>
    <col width="30" customWidth="1" min="10" max="10"/>
    <col width="11" customWidth="1" min="11" max="11"/>
  </cols>
  <sheetData>
    <row r="1">
      <c r="A1" s="11" t="inlineStr">
        <is>
          <t>STORE HISTORY - CHECK BEFORE YOU WALK IN</t>
        </is>
      </c>
    </row>
    <row r="2">
      <c r="A2" s="2" t="inlineStr">
        <is>
          <t>Pick a program (and optionally a store #). Shows what the shelf should look like today and the last 20 visit notes, newest first.</t>
        </is>
      </c>
    </row>
    <row r="4">
      <c r="A4" s="5" t="inlineStr">
        <is>
          <t>Program</t>
        </is>
      </c>
      <c r="C4" s="63" t="inlineStr">
        <is>
          <t>ZOA | Smart &amp; Final</t>
        </is>
      </c>
      <c r="D4" s="64" t="n"/>
      <c r="E4" s="64" t="n"/>
      <c r="F4" s="65" t="n"/>
    </row>
    <row r="5">
      <c r="A5" s="5" t="inlineStr">
        <is>
          <t>Store # / Location (optional)</t>
        </is>
      </c>
      <c r="C5" s="63" t="n"/>
      <c r="D5" s="64" t="n"/>
      <c r="E5" s="64" t="n"/>
      <c r="F5" s="65" t="n"/>
    </row>
    <row r="7">
      <c r="A7" s="12" t="inlineStr">
        <is>
          <t>PLAN FOR THIS PROGRAM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</row>
    <row r="8">
      <c r="A8" s="66" t="inlineStr">
        <is>
          <t>Account / Division</t>
        </is>
      </c>
      <c r="C8" s="6">
        <f>IF($C$4="","",IFERROR(INDEX('Chain Program'!$D$6:$D$120,MATCH($C$4,'Chain Program'!$A$6:$A$120,0))&amp;"","Unknown program"))</f>
        <v/>
      </c>
    </row>
    <row r="9">
      <c r="A9" s="66" t="inlineStr">
        <is>
          <t>Market</t>
        </is>
      </c>
      <c r="C9" s="6">
        <f>IF($C$4="","",IFERROR(INDEX('Chain Program'!$E$6:$E$120,MATCH($C$4,'Chain Program'!$A$6:$A$120,0))&amp;"","Unknown program"))</f>
        <v/>
      </c>
    </row>
    <row r="10">
      <c r="A10" s="66" t="inlineStr">
        <is>
          <t>Shelf Location / Display Callout</t>
        </is>
      </c>
      <c r="C10" s="6">
        <f>IF($C$4="","",IFERROR(INDEX('Chain Program'!$J$6:$J$120,MATCH($C$4,'Chain Program'!$A$6:$A$120,0))&amp;"","Unknown program"))</f>
        <v/>
      </c>
    </row>
    <row r="11">
      <c r="A11" s="66" t="inlineStr">
        <is>
          <t>Authorized SKUs / Flavors</t>
        </is>
      </c>
      <c r="C11" s="6">
        <f>IF($C$4="","",IFERROR(INDEX('Chain Program'!$H$6:$H$120,MATCH($C$4,'Chain Program'!$A$6:$A$120,0))&amp;"","Unknown program"))</f>
        <v/>
      </c>
    </row>
    <row r="12">
      <c r="A12" s="66" t="inlineStr">
        <is>
          <t>Current Promo (today)</t>
        </is>
      </c>
      <c r="C12" s="6">
        <f>IF($C$4="","",IFERROR(INDEX('Chain Program'!$O$6:$O$120,MATCH($C$4,'Chain Program'!$A$6:$A$120,0))&amp;"","Unknown program"))</f>
        <v/>
      </c>
    </row>
    <row r="13">
      <c r="A13" s="66" t="inlineStr">
        <is>
          <t>Expected Shelf Price Today</t>
        </is>
      </c>
      <c r="C13" s="67">
        <f>IF($C$4="","",IFERROR(INDEX('Chain Program'!$P$6:$P$120,MATCH($C$4,'Chain Program'!$A$6:$A$120,0)),"Unknown program"))</f>
        <v/>
      </c>
    </row>
    <row r="14">
      <c r="A14" s="66" t="inlineStr">
        <is>
          <t>Next Promo Start</t>
        </is>
      </c>
      <c r="C14" s="68">
        <f>IF($C$4="","",IFERROR(INDEX('Chain Program'!$Q$6:$Q$120,MATCH($C$4,'Chain Program'!$A$6:$A$120,0)),"Unknown program"))</f>
        <v/>
      </c>
    </row>
    <row r="15" ht="42" customHeight="1">
      <c r="A15" s="66" t="inlineStr">
        <is>
          <t>Execution Priority / Callouts</t>
        </is>
      </c>
      <c r="C15" s="6">
        <f>IF($C$4="","",IFERROR(INDEX('Chain Program'!$R$6:$R$120,MATCH($C$4,'Chain Program'!$A$6:$A$120,0))&amp;"","Unknown program"))</f>
        <v/>
      </c>
    </row>
    <row r="16">
      <c r="A16" s="66" t="inlineStr">
        <is>
          <t>Data Status</t>
        </is>
      </c>
      <c r="C16" s="6">
        <f>IF($C$4="","",IFERROR(INDEX('Chain Program'!$U$6:$U$120,MATCH($C$4,'Chain Program'!$A$6:$A$120,0))&amp;"","Unknown program"))</f>
        <v/>
      </c>
    </row>
    <row r="17">
      <c r="A17" s="66" t="inlineStr">
        <is>
          <t>Open Issues</t>
        </is>
      </c>
      <c r="C17" s="6">
        <f>IF($C$4="","",IFERROR(INDEX('Chain Program'!$X$6:$X$120,MATCH($C$4,'Chain Program'!$A$6:$A$120,0))&amp;"","Unknown program"))</f>
        <v/>
      </c>
    </row>
    <row r="19">
      <c r="A19" s="21" t="inlineStr">
        <is>
          <t>VISIT HISTORY (newest first)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</row>
    <row r="20">
      <c r="A20" s="69" t="inlineStr">
        <is>
          <t>#</t>
        </is>
      </c>
      <c r="B20" s="69" t="inlineStr">
        <is>
          <t>Visit Date</t>
        </is>
      </c>
      <c r="C20" s="69" t="inlineStr">
        <is>
          <t>Rep</t>
        </is>
      </c>
      <c r="D20" s="69" t="inlineStr">
        <is>
          <t>Store # / Location</t>
        </is>
      </c>
      <c r="E20" s="69" t="inlineStr">
        <is>
          <t>SKU / Pack</t>
        </is>
      </c>
      <c r="F20" s="69" t="inlineStr">
        <is>
          <t>Observed ($)</t>
        </is>
      </c>
      <c r="G20" s="69" t="inlineStr">
        <is>
          <t>Price Check</t>
        </is>
      </c>
      <c r="H20" s="69" t="inlineStr">
        <is>
          <t>Discrepancy Type</t>
        </is>
      </c>
      <c r="I20" s="69" t="inlineStr">
        <is>
          <t>Visit Notes</t>
        </is>
      </c>
      <c r="J20" s="69" t="inlineStr">
        <is>
          <t>Follow-up Action</t>
        </is>
      </c>
      <c r="K20" s="69" t="inlineStr">
        <is>
          <t>Status</t>
        </is>
      </c>
    </row>
    <row r="21">
      <c r="A21" s="70" t="n">
        <v>1</v>
      </c>
      <c r="B21" s="71">
        <f>IFERROR(IF(INDEX('Visit Log'!$A$6:$A$1005,MATCH($A21,'Visit Log'!$X$6:$X$1005,0))="","",INDEX('Visit Log'!$A$6:$A$1005,MATCH($A21,'Visit Log'!$X$6:$X$1005,0))),"")</f>
        <v/>
      </c>
      <c r="C21" s="72">
        <f>IFERROR(INDEX('Visit Log'!$B$6:$B$1005,MATCH($A21,'Visit Log'!$X$6:$X$1005,0))&amp;"","")</f>
        <v/>
      </c>
      <c r="D21" s="72">
        <f>IFERROR(INDEX('Visit Log'!$F$6:$F$1005,MATCH($A21,'Visit Log'!$X$6:$X$1005,0))&amp;"","")</f>
        <v/>
      </c>
      <c r="E21" s="72">
        <f>IFERROR(INDEX('Visit Log'!$G$6:$G$1005,MATCH($A21,'Visit Log'!$X$6:$X$1005,0))&amp;"","")</f>
        <v/>
      </c>
      <c r="F21" s="73">
        <f>IFERROR(IF(INDEX('Visit Log'!$I$6:$I$1005,MATCH($A21,'Visit Log'!$X$6:$X$1005,0))="","",INDEX('Visit Log'!$I$6:$I$1005,MATCH($A21,'Visit Log'!$X$6:$X$1005,0))),"")</f>
        <v/>
      </c>
      <c r="G21" s="72">
        <f>IFERROR(INDEX('Visit Log'!$J$6:$J$1005,MATCH($A21,'Visit Log'!$X$6:$X$1005,0))&amp;"","")</f>
        <v/>
      </c>
      <c r="H21" s="72">
        <f>IFERROR(INDEX('Visit Log'!$O$6:$O$1005,MATCH($A21,'Visit Log'!$X$6:$X$1005,0))&amp;"","")</f>
        <v/>
      </c>
      <c r="I21" s="72">
        <f>IFERROR(INDEX('Visit Log'!$P$6:$P$1005,MATCH($A21,'Visit Log'!$X$6:$X$1005,0))&amp;"","")</f>
        <v/>
      </c>
      <c r="J21" s="72">
        <f>IFERROR(INDEX('Visit Log'!$Q$6:$Q$1005,MATCH($A21,'Visit Log'!$X$6:$X$1005,0))&amp;"","")</f>
        <v/>
      </c>
      <c r="K21" s="72">
        <f>IFERROR(INDEX('Visit Log'!$T$6:$T$1005,MATCH($A21,'Visit Log'!$X$6:$X$1005,0))&amp;"","")</f>
        <v/>
      </c>
    </row>
    <row r="22">
      <c r="A22" s="70" t="n">
        <v>2</v>
      </c>
      <c r="B22" s="71">
        <f>IFERROR(IF(INDEX('Visit Log'!$A$6:$A$1005,MATCH($A22,'Visit Log'!$X$6:$X$1005,0))="","",INDEX('Visit Log'!$A$6:$A$1005,MATCH($A22,'Visit Log'!$X$6:$X$1005,0))),"")</f>
        <v/>
      </c>
      <c r="C22" s="72">
        <f>IFERROR(INDEX('Visit Log'!$B$6:$B$1005,MATCH($A22,'Visit Log'!$X$6:$X$1005,0))&amp;"","")</f>
        <v/>
      </c>
      <c r="D22" s="72">
        <f>IFERROR(INDEX('Visit Log'!$F$6:$F$1005,MATCH($A22,'Visit Log'!$X$6:$X$1005,0))&amp;"","")</f>
        <v/>
      </c>
      <c r="E22" s="72">
        <f>IFERROR(INDEX('Visit Log'!$G$6:$G$1005,MATCH($A22,'Visit Log'!$X$6:$X$1005,0))&amp;"","")</f>
        <v/>
      </c>
      <c r="F22" s="73">
        <f>IFERROR(IF(INDEX('Visit Log'!$I$6:$I$1005,MATCH($A22,'Visit Log'!$X$6:$X$1005,0))="","",INDEX('Visit Log'!$I$6:$I$1005,MATCH($A22,'Visit Log'!$X$6:$X$1005,0))),"")</f>
        <v/>
      </c>
      <c r="G22" s="72">
        <f>IFERROR(INDEX('Visit Log'!$J$6:$J$1005,MATCH($A22,'Visit Log'!$X$6:$X$1005,0))&amp;"","")</f>
        <v/>
      </c>
      <c r="H22" s="72">
        <f>IFERROR(INDEX('Visit Log'!$O$6:$O$1005,MATCH($A22,'Visit Log'!$X$6:$X$1005,0))&amp;"","")</f>
        <v/>
      </c>
      <c r="I22" s="72">
        <f>IFERROR(INDEX('Visit Log'!$P$6:$P$1005,MATCH($A22,'Visit Log'!$X$6:$X$1005,0))&amp;"","")</f>
        <v/>
      </c>
      <c r="J22" s="72">
        <f>IFERROR(INDEX('Visit Log'!$Q$6:$Q$1005,MATCH($A22,'Visit Log'!$X$6:$X$1005,0))&amp;"","")</f>
        <v/>
      </c>
      <c r="K22" s="72">
        <f>IFERROR(INDEX('Visit Log'!$T$6:$T$1005,MATCH($A22,'Visit Log'!$X$6:$X$1005,0))&amp;"","")</f>
        <v/>
      </c>
    </row>
    <row r="23">
      <c r="A23" s="70" t="n">
        <v>3</v>
      </c>
      <c r="B23" s="71">
        <f>IFERROR(IF(INDEX('Visit Log'!$A$6:$A$1005,MATCH($A23,'Visit Log'!$X$6:$X$1005,0))="","",INDEX('Visit Log'!$A$6:$A$1005,MATCH($A23,'Visit Log'!$X$6:$X$1005,0))),"")</f>
        <v/>
      </c>
      <c r="C23" s="72">
        <f>IFERROR(INDEX('Visit Log'!$B$6:$B$1005,MATCH($A23,'Visit Log'!$X$6:$X$1005,0))&amp;"","")</f>
        <v/>
      </c>
      <c r="D23" s="72">
        <f>IFERROR(INDEX('Visit Log'!$F$6:$F$1005,MATCH($A23,'Visit Log'!$X$6:$X$1005,0))&amp;"","")</f>
        <v/>
      </c>
      <c r="E23" s="72">
        <f>IFERROR(INDEX('Visit Log'!$G$6:$G$1005,MATCH($A23,'Visit Log'!$X$6:$X$1005,0))&amp;"","")</f>
        <v/>
      </c>
      <c r="F23" s="73">
        <f>IFERROR(IF(INDEX('Visit Log'!$I$6:$I$1005,MATCH($A23,'Visit Log'!$X$6:$X$1005,0))="","",INDEX('Visit Log'!$I$6:$I$1005,MATCH($A23,'Visit Log'!$X$6:$X$1005,0))),"")</f>
        <v/>
      </c>
      <c r="G23" s="72">
        <f>IFERROR(INDEX('Visit Log'!$J$6:$J$1005,MATCH($A23,'Visit Log'!$X$6:$X$1005,0))&amp;"","")</f>
        <v/>
      </c>
      <c r="H23" s="72">
        <f>IFERROR(INDEX('Visit Log'!$O$6:$O$1005,MATCH($A23,'Visit Log'!$X$6:$X$1005,0))&amp;"","")</f>
        <v/>
      </c>
      <c r="I23" s="72">
        <f>IFERROR(INDEX('Visit Log'!$P$6:$P$1005,MATCH($A23,'Visit Log'!$X$6:$X$1005,0))&amp;"","")</f>
        <v/>
      </c>
      <c r="J23" s="72">
        <f>IFERROR(INDEX('Visit Log'!$Q$6:$Q$1005,MATCH($A23,'Visit Log'!$X$6:$X$1005,0))&amp;"","")</f>
        <v/>
      </c>
      <c r="K23" s="72">
        <f>IFERROR(INDEX('Visit Log'!$T$6:$T$1005,MATCH($A23,'Visit Log'!$X$6:$X$1005,0))&amp;"","")</f>
        <v/>
      </c>
    </row>
    <row r="24">
      <c r="A24" s="70" t="n">
        <v>4</v>
      </c>
      <c r="B24" s="71">
        <f>IFERROR(IF(INDEX('Visit Log'!$A$6:$A$1005,MATCH($A24,'Visit Log'!$X$6:$X$1005,0))="","",INDEX('Visit Log'!$A$6:$A$1005,MATCH($A24,'Visit Log'!$X$6:$X$1005,0))),"")</f>
        <v/>
      </c>
      <c r="C24" s="72">
        <f>IFERROR(INDEX('Visit Log'!$B$6:$B$1005,MATCH($A24,'Visit Log'!$X$6:$X$1005,0))&amp;"","")</f>
        <v/>
      </c>
      <c r="D24" s="72">
        <f>IFERROR(INDEX('Visit Log'!$F$6:$F$1005,MATCH($A24,'Visit Log'!$X$6:$X$1005,0))&amp;"","")</f>
        <v/>
      </c>
      <c r="E24" s="72">
        <f>IFERROR(INDEX('Visit Log'!$G$6:$G$1005,MATCH($A24,'Visit Log'!$X$6:$X$1005,0))&amp;"","")</f>
        <v/>
      </c>
      <c r="F24" s="73">
        <f>IFERROR(IF(INDEX('Visit Log'!$I$6:$I$1005,MATCH($A24,'Visit Log'!$X$6:$X$1005,0))="","",INDEX('Visit Log'!$I$6:$I$1005,MATCH($A24,'Visit Log'!$X$6:$X$1005,0))),"")</f>
        <v/>
      </c>
      <c r="G24" s="72">
        <f>IFERROR(INDEX('Visit Log'!$J$6:$J$1005,MATCH($A24,'Visit Log'!$X$6:$X$1005,0))&amp;"","")</f>
        <v/>
      </c>
      <c r="H24" s="72">
        <f>IFERROR(INDEX('Visit Log'!$O$6:$O$1005,MATCH($A24,'Visit Log'!$X$6:$X$1005,0))&amp;"","")</f>
        <v/>
      </c>
      <c r="I24" s="72">
        <f>IFERROR(INDEX('Visit Log'!$P$6:$P$1005,MATCH($A24,'Visit Log'!$X$6:$X$1005,0))&amp;"","")</f>
        <v/>
      </c>
      <c r="J24" s="72">
        <f>IFERROR(INDEX('Visit Log'!$Q$6:$Q$1005,MATCH($A24,'Visit Log'!$X$6:$X$1005,0))&amp;"","")</f>
        <v/>
      </c>
      <c r="K24" s="72">
        <f>IFERROR(INDEX('Visit Log'!$T$6:$T$1005,MATCH($A24,'Visit Log'!$X$6:$X$1005,0))&amp;"","")</f>
        <v/>
      </c>
    </row>
    <row r="25">
      <c r="A25" s="70" t="n">
        <v>5</v>
      </c>
      <c r="B25" s="71">
        <f>IFERROR(IF(INDEX('Visit Log'!$A$6:$A$1005,MATCH($A25,'Visit Log'!$X$6:$X$1005,0))="","",INDEX('Visit Log'!$A$6:$A$1005,MATCH($A25,'Visit Log'!$X$6:$X$1005,0))),"")</f>
        <v/>
      </c>
      <c r="C25" s="72">
        <f>IFERROR(INDEX('Visit Log'!$B$6:$B$1005,MATCH($A25,'Visit Log'!$X$6:$X$1005,0))&amp;"","")</f>
        <v/>
      </c>
      <c r="D25" s="72">
        <f>IFERROR(INDEX('Visit Log'!$F$6:$F$1005,MATCH($A25,'Visit Log'!$X$6:$X$1005,0))&amp;"","")</f>
        <v/>
      </c>
      <c r="E25" s="72">
        <f>IFERROR(INDEX('Visit Log'!$G$6:$G$1005,MATCH($A25,'Visit Log'!$X$6:$X$1005,0))&amp;"","")</f>
        <v/>
      </c>
      <c r="F25" s="73">
        <f>IFERROR(IF(INDEX('Visit Log'!$I$6:$I$1005,MATCH($A25,'Visit Log'!$X$6:$X$1005,0))="","",INDEX('Visit Log'!$I$6:$I$1005,MATCH($A25,'Visit Log'!$X$6:$X$1005,0))),"")</f>
        <v/>
      </c>
      <c r="G25" s="72">
        <f>IFERROR(INDEX('Visit Log'!$J$6:$J$1005,MATCH($A25,'Visit Log'!$X$6:$X$1005,0))&amp;"","")</f>
        <v/>
      </c>
      <c r="H25" s="72">
        <f>IFERROR(INDEX('Visit Log'!$O$6:$O$1005,MATCH($A25,'Visit Log'!$X$6:$X$1005,0))&amp;"","")</f>
        <v/>
      </c>
      <c r="I25" s="72">
        <f>IFERROR(INDEX('Visit Log'!$P$6:$P$1005,MATCH($A25,'Visit Log'!$X$6:$X$1005,0))&amp;"","")</f>
        <v/>
      </c>
      <c r="J25" s="72">
        <f>IFERROR(INDEX('Visit Log'!$Q$6:$Q$1005,MATCH($A25,'Visit Log'!$X$6:$X$1005,0))&amp;"","")</f>
        <v/>
      </c>
      <c r="K25" s="72">
        <f>IFERROR(INDEX('Visit Log'!$T$6:$T$1005,MATCH($A25,'Visit Log'!$X$6:$X$1005,0))&amp;"","")</f>
        <v/>
      </c>
    </row>
    <row r="26">
      <c r="A26" s="70" t="n">
        <v>6</v>
      </c>
      <c r="B26" s="71">
        <f>IFERROR(IF(INDEX('Visit Log'!$A$6:$A$1005,MATCH($A26,'Visit Log'!$X$6:$X$1005,0))="","",INDEX('Visit Log'!$A$6:$A$1005,MATCH($A26,'Visit Log'!$X$6:$X$1005,0))),"")</f>
        <v/>
      </c>
      <c r="C26" s="72">
        <f>IFERROR(INDEX('Visit Log'!$B$6:$B$1005,MATCH($A26,'Visit Log'!$X$6:$X$1005,0))&amp;"","")</f>
        <v/>
      </c>
      <c r="D26" s="72">
        <f>IFERROR(INDEX('Visit Log'!$F$6:$F$1005,MATCH($A26,'Visit Log'!$X$6:$X$1005,0))&amp;"","")</f>
        <v/>
      </c>
      <c r="E26" s="72">
        <f>IFERROR(INDEX('Visit Log'!$G$6:$G$1005,MATCH($A26,'Visit Log'!$X$6:$X$1005,0))&amp;"","")</f>
        <v/>
      </c>
      <c r="F26" s="73">
        <f>IFERROR(IF(INDEX('Visit Log'!$I$6:$I$1005,MATCH($A26,'Visit Log'!$X$6:$X$1005,0))="","",INDEX('Visit Log'!$I$6:$I$1005,MATCH($A26,'Visit Log'!$X$6:$X$1005,0))),"")</f>
        <v/>
      </c>
      <c r="G26" s="72">
        <f>IFERROR(INDEX('Visit Log'!$J$6:$J$1005,MATCH($A26,'Visit Log'!$X$6:$X$1005,0))&amp;"","")</f>
        <v/>
      </c>
      <c r="H26" s="72">
        <f>IFERROR(INDEX('Visit Log'!$O$6:$O$1005,MATCH($A26,'Visit Log'!$X$6:$X$1005,0))&amp;"","")</f>
        <v/>
      </c>
      <c r="I26" s="72">
        <f>IFERROR(INDEX('Visit Log'!$P$6:$P$1005,MATCH($A26,'Visit Log'!$X$6:$X$1005,0))&amp;"","")</f>
        <v/>
      </c>
      <c r="J26" s="72">
        <f>IFERROR(INDEX('Visit Log'!$Q$6:$Q$1005,MATCH($A26,'Visit Log'!$X$6:$X$1005,0))&amp;"","")</f>
        <v/>
      </c>
      <c r="K26" s="72">
        <f>IFERROR(INDEX('Visit Log'!$T$6:$T$1005,MATCH($A26,'Visit Log'!$X$6:$X$1005,0))&amp;"","")</f>
        <v/>
      </c>
    </row>
    <row r="27">
      <c r="A27" s="70" t="n">
        <v>7</v>
      </c>
      <c r="B27" s="71">
        <f>IFERROR(IF(INDEX('Visit Log'!$A$6:$A$1005,MATCH($A27,'Visit Log'!$X$6:$X$1005,0))="","",INDEX('Visit Log'!$A$6:$A$1005,MATCH($A27,'Visit Log'!$X$6:$X$1005,0))),"")</f>
        <v/>
      </c>
      <c r="C27" s="72">
        <f>IFERROR(INDEX('Visit Log'!$B$6:$B$1005,MATCH($A27,'Visit Log'!$X$6:$X$1005,0))&amp;"","")</f>
        <v/>
      </c>
      <c r="D27" s="72">
        <f>IFERROR(INDEX('Visit Log'!$F$6:$F$1005,MATCH($A27,'Visit Log'!$X$6:$X$1005,0))&amp;"","")</f>
        <v/>
      </c>
      <c r="E27" s="72">
        <f>IFERROR(INDEX('Visit Log'!$G$6:$G$1005,MATCH($A27,'Visit Log'!$X$6:$X$1005,0))&amp;"","")</f>
        <v/>
      </c>
      <c r="F27" s="73">
        <f>IFERROR(IF(INDEX('Visit Log'!$I$6:$I$1005,MATCH($A27,'Visit Log'!$X$6:$X$1005,0))="","",INDEX('Visit Log'!$I$6:$I$1005,MATCH($A27,'Visit Log'!$X$6:$X$1005,0))),"")</f>
        <v/>
      </c>
      <c r="G27" s="72">
        <f>IFERROR(INDEX('Visit Log'!$J$6:$J$1005,MATCH($A27,'Visit Log'!$X$6:$X$1005,0))&amp;"","")</f>
        <v/>
      </c>
      <c r="H27" s="72">
        <f>IFERROR(INDEX('Visit Log'!$O$6:$O$1005,MATCH($A27,'Visit Log'!$X$6:$X$1005,0))&amp;"","")</f>
        <v/>
      </c>
      <c r="I27" s="72">
        <f>IFERROR(INDEX('Visit Log'!$P$6:$P$1005,MATCH($A27,'Visit Log'!$X$6:$X$1005,0))&amp;"","")</f>
        <v/>
      </c>
      <c r="J27" s="72">
        <f>IFERROR(INDEX('Visit Log'!$Q$6:$Q$1005,MATCH($A27,'Visit Log'!$X$6:$X$1005,0))&amp;"","")</f>
        <v/>
      </c>
      <c r="K27" s="72">
        <f>IFERROR(INDEX('Visit Log'!$T$6:$T$1005,MATCH($A27,'Visit Log'!$X$6:$X$1005,0))&amp;"","")</f>
        <v/>
      </c>
    </row>
    <row r="28">
      <c r="A28" s="70" t="n">
        <v>8</v>
      </c>
      <c r="B28" s="71">
        <f>IFERROR(IF(INDEX('Visit Log'!$A$6:$A$1005,MATCH($A28,'Visit Log'!$X$6:$X$1005,0))="","",INDEX('Visit Log'!$A$6:$A$1005,MATCH($A28,'Visit Log'!$X$6:$X$1005,0))),"")</f>
        <v/>
      </c>
      <c r="C28" s="72">
        <f>IFERROR(INDEX('Visit Log'!$B$6:$B$1005,MATCH($A28,'Visit Log'!$X$6:$X$1005,0))&amp;"","")</f>
        <v/>
      </c>
      <c r="D28" s="72">
        <f>IFERROR(INDEX('Visit Log'!$F$6:$F$1005,MATCH($A28,'Visit Log'!$X$6:$X$1005,0))&amp;"","")</f>
        <v/>
      </c>
      <c r="E28" s="72">
        <f>IFERROR(INDEX('Visit Log'!$G$6:$G$1005,MATCH($A28,'Visit Log'!$X$6:$X$1005,0))&amp;"","")</f>
        <v/>
      </c>
      <c r="F28" s="73">
        <f>IFERROR(IF(INDEX('Visit Log'!$I$6:$I$1005,MATCH($A28,'Visit Log'!$X$6:$X$1005,0))="","",INDEX('Visit Log'!$I$6:$I$1005,MATCH($A28,'Visit Log'!$X$6:$X$1005,0))),"")</f>
        <v/>
      </c>
      <c r="G28" s="72">
        <f>IFERROR(INDEX('Visit Log'!$J$6:$J$1005,MATCH($A28,'Visit Log'!$X$6:$X$1005,0))&amp;"","")</f>
        <v/>
      </c>
      <c r="H28" s="72">
        <f>IFERROR(INDEX('Visit Log'!$O$6:$O$1005,MATCH($A28,'Visit Log'!$X$6:$X$1005,0))&amp;"","")</f>
        <v/>
      </c>
      <c r="I28" s="72">
        <f>IFERROR(INDEX('Visit Log'!$P$6:$P$1005,MATCH($A28,'Visit Log'!$X$6:$X$1005,0))&amp;"","")</f>
        <v/>
      </c>
      <c r="J28" s="72">
        <f>IFERROR(INDEX('Visit Log'!$Q$6:$Q$1005,MATCH($A28,'Visit Log'!$X$6:$X$1005,0))&amp;"","")</f>
        <v/>
      </c>
      <c r="K28" s="72">
        <f>IFERROR(INDEX('Visit Log'!$T$6:$T$1005,MATCH($A28,'Visit Log'!$X$6:$X$1005,0))&amp;"","")</f>
        <v/>
      </c>
    </row>
    <row r="29">
      <c r="A29" s="70" t="n">
        <v>9</v>
      </c>
      <c r="B29" s="71">
        <f>IFERROR(IF(INDEX('Visit Log'!$A$6:$A$1005,MATCH($A29,'Visit Log'!$X$6:$X$1005,0))="","",INDEX('Visit Log'!$A$6:$A$1005,MATCH($A29,'Visit Log'!$X$6:$X$1005,0))),"")</f>
        <v/>
      </c>
      <c r="C29" s="72">
        <f>IFERROR(INDEX('Visit Log'!$B$6:$B$1005,MATCH($A29,'Visit Log'!$X$6:$X$1005,0))&amp;"","")</f>
        <v/>
      </c>
      <c r="D29" s="72">
        <f>IFERROR(INDEX('Visit Log'!$F$6:$F$1005,MATCH($A29,'Visit Log'!$X$6:$X$1005,0))&amp;"","")</f>
        <v/>
      </c>
      <c r="E29" s="72">
        <f>IFERROR(INDEX('Visit Log'!$G$6:$G$1005,MATCH($A29,'Visit Log'!$X$6:$X$1005,0))&amp;"","")</f>
        <v/>
      </c>
      <c r="F29" s="73">
        <f>IFERROR(IF(INDEX('Visit Log'!$I$6:$I$1005,MATCH($A29,'Visit Log'!$X$6:$X$1005,0))="","",INDEX('Visit Log'!$I$6:$I$1005,MATCH($A29,'Visit Log'!$X$6:$X$1005,0))),"")</f>
        <v/>
      </c>
      <c r="G29" s="72">
        <f>IFERROR(INDEX('Visit Log'!$J$6:$J$1005,MATCH($A29,'Visit Log'!$X$6:$X$1005,0))&amp;"","")</f>
        <v/>
      </c>
      <c r="H29" s="72">
        <f>IFERROR(INDEX('Visit Log'!$O$6:$O$1005,MATCH($A29,'Visit Log'!$X$6:$X$1005,0))&amp;"","")</f>
        <v/>
      </c>
      <c r="I29" s="72">
        <f>IFERROR(INDEX('Visit Log'!$P$6:$P$1005,MATCH($A29,'Visit Log'!$X$6:$X$1005,0))&amp;"","")</f>
        <v/>
      </c>
      <c r="J29" s="72">
        <f>IFERROR(INDEX('Visit Log'!$Q$6:$Q$1005,MATCH($A29,'Visit Log'!$X$6:$X$1005,0))&amp;"","")</f>
        <v/>
      </c>
      <c r="K29" s="72">
        <f>IFERROR(INDEX('Visit Log'!$T$6:$T$1005,MATCH($A29,'Visit Log'!$X$6:$X$1005,0))&amp;"","")</f>
        <v/>
      </c>
    </row>
    <row r="30">
      <c r="A30" s="70" t="n">
        <v>10</v>
      </c>
      <c r="B30" s="71">
        <f>IFERROR(IF(INDEX('Visit Log'!$A$6:$A$1005,MATCH($A30,'Visit Log'!$X$6:$X$1005,0))="","",INDEX('Visit Log'!$A$6:$A$1005,MATCH($A30,'Visit Log'!$X$6:$X$1005,0))),"")</f>
        <v/>
      </c>
      <c r="C30" s="72">
        <f>IFERROR(INDEX('Visit Log'!$B$6:$B$1005,MATCH($A30,'Visit Log'!$X$6:$X$1005,0))&amp;"","")</f>
        <v/>
      </c>
      <c r="D30" s="72">
        <f>IFERROR(INDEX('Visit Log'!$F$6:$F$1005,MATCH($A30,'Visit Log'!$X$6:$X$1005,0))&amp;"","")</f>
        <v/>
      </c>
      <c r="E30" s="72">
        <f>IFERROR(INDEX('Visit Log'!$G$6:$G$1005,MATCH($A30,'Visit Log'!$X$6:$X$1005,0))&amp;"","")</f>
        <v/>
      </c>
      <c r="F30" s="73">
        <f>IFERROR(IF(INDEX('Visit Log'!$I$6:$I$1005,MATCH($A30,'Visit Log'!$X$6:$X$1005,0))="","",INDEX('Visit Log'!$I$6:$I$1005,MATCH($A30,'Visit Log'!$X$6:$X$1005,0))),"")</f>
        <v/>
      </c>
      <c r="G30" s="72">
        <f>IFERROR(INDEX('Visit Log'!$J$6:$J$1005,MATCH($A30,'Visit Log'!$X$6:$X$1005,0))&amp;"","")</f>
        <v/>
      </c>
      <c r="H30" s="72">
        <f>IFERROR(INDEX('Visit Log'!$O$6:$O$1005,MATCH($A30,'Visit Log'!$X$6:$X$1005,0))&amp;"","")</f>
        <v/>
      </c>
      <c r="I30" s="72">
        <f>IFERROR(INDEX('Visit Log'!$P$6:$P$1005,MATCH($A30,'Visit Log'!$X$6:$X$1005,0))&amp;"","")</f>
        <v/>
      </c>
      <c r="J30" s="72">
        <f>IFERROR(INDEX('Visit Log'!$Q$6:$Q$1005,MATCH($A30,'Visit Log'!$X$6:$X$1005,0))&amp;"","")</f>
        <v/>
      </c>
      <c r="K30" s="72">
        <f>IFERROR(INDEX('Visit Log'!$T$6:$T$1005,MATCH($A30,'Visit Log'!$X$6:$X$1005,0))&amp;"","")</f>
        <v/>
      </c>
    </row>
    <row r="31">
      <c r="A31" s="70" t="n">
        <v>11</v>
      </c>
      <c r="B31" s="71">
        <f>IFERROR(IF(INDEX('Visit Log'!$A$6:$A$1005,MATCH($A31,'Visit Log'!$X$6:$X$1005,0))="","",INDEX('Visit Log'!$A$6:$A$1005,MATCH($A31,'Visit Log'!$X$6:$X$1005,0))),"")</f>
        <v/>
      </c>
      <c r="C31" s="72">
        <f>IFERROR(INDEX('Visit Log'!$B$6:$B$1005,MATCH($A31,'Visit Log'!$X$6:$X$1005,0))&amp;"","")</f>
        <v/>
      </c>
      <c r="D31" s="72">
        <f>IFERROR(INDEX('Visit Log'!$F$6:$F$1005,MATCH($A31,'Visit Log'!$X$6:$X$1005,0))&amp;"","")</f>
        <v/>
      </c>
      <c r="E31" s="72">
        <f>IFERROR(INDEX('Visit Log'!$G$6:$G$1005,MATCH($A31,'Visit Log'!$X$6:$X$1005,0))&amp;"","")</f>
        <v/>
      </c>
      <c r="F31" s="73">
        <f>IFERROR(IF(INDEX('Visit Log'!$I$6:$I$1005,MATCH($A31,'Visit Log'!$X$6:$X$1005,0))="","",INDEX('Visit Log'!$I$6:$I$1005,MATCH($A31,'Visit Log'!$X$6:$X$1005,0))),"")</f>
        <v/>
      </c>
      <c r="G31" s="72">
        <f>IFERROR(INDEX('Visit Log'!$J$6:$J$1005,MATCH($A31,'Visit Log'!$X$6:$X$1005,0))&amp;"","")</f>
        <v/>
      </c>
      <c r="H31" s="72">
        <f>IFERROR(INDEX('Visit Log'!$O$6:$O$1005,MATCH($A31,'Visit Log'!$X$6:$X$1005,0))&amp;"","")</f>
        <v/>
      </c>
      <c r="I31" s="72">
        <f>IFERROR(INDEX('Visit Log'!$P$6:$P$1005,MATCH($A31,'Visit Log'!$X$6:$X$1005,0))&amp;"","")</f>
        <v/>
      </c>
      <c r="J31" s="72">
        <f>IFERROR(INDEX('Visit Log'!$Q$6:$Q$1005,MATCH($A31,'Visit Log'!$X$6:$X$1005,0))&amp;"","")</f>
        <v/>
      </c>
      <c r="K31" s="72">
        <f>IFERROR(INDEX('Visit Log'!$T$6:$T$1005,MATCH($A31,'Visit Log'!$X$6:$X$1005,0))&amp;"","")</f>
        <v/>
      </c>
    </row>
    <row r="32">
      <c r="A32" s="70" t="n">
        <v>12</v>
      </c>
      <c r="B32" s="71">
        <f>IFERROR(IF(INDEX('Visit Log'!$A$6:$A$1005,MATCH($A32,'Visit Log'!$X$6:$X$1005,0))="","",INDEX('Visit Log'!$A$6:$A$1005,MATCH($A32,'Visit Log'!$X$6:$X$1005,0))),"")</f>
        <v/>
      </c>
      <c r="C32" s="72">
        <f>IFERROR(INDEX('Visit Log'!$B$6:$B$1005,MATCH($A32,'Visit Log'!$X$6:$X$1005,0))&amp;"","")</f>
        <v/>
      </c>
      <c r="D32" s="72">
        <f>IFERROR(INDEX('Visit Log'!$F$6:$F$1005,MATCH($A32,'Visit Log'!$X$6:$X$1005,0))&amp;"","")</f>
        <v/>
      </c>
      <c r="E32" s="72">
        <f>IFERROR(INDEX('Visit Log'!$G$6:$G$1005,MATCH($A32,'Visit Log'!$X$6:$X$1005,0))&amp;"","")</f>
        <v/>
      </c>
      <c r="F32" s="73">
        <f>IFERROR(IF(INDEX('Visit Log'!$I$6:$I$1005,MATCH($A32,'Visit Log'!$X$6:$X$1005,0))="","",INDEX('Visit Log'!$I$6:$I$1005,MATCH($A32,'Visit Log'!$X$6:$X$1005,0))),"")</f>
        <v/>
      </c>
      <c r="G32" s="72">
        <f>IFERROR(INDEX('Visit Log'!$J$6:$J$1005,MATCH($A32,'Visit Log'!$X$6:$X$1005,0))&amp;"","")</f>
        <v/>
      </c>
      <c r="H32" s="72">
        <f>IFERROR(INDEX('Visit Log'!$O$6:$O$1005,MATCH($A32,'Visit Log'!$X$6:$X$1005,0))&amp;"","")</f>
        <v/>
      </c>
      <c r="I32" s="72">
        <f>IFERROR(INDEX('Visit Log'!$P$6:$P$1005,MATCH($A32,'Visit Log'!$X$6:$X$1005,0))&amp;"","")</f>
        <v/>
      </c>
      <c r="J32" s="72">
        <f>IFERROR(INDEX('Visit Log'!$Q$6:$Q$1005,MATCH($A32,'Visit Log'!$X$6:$X$1005,0))&amp;"","")</f>
        <v/>
      </c>
      <c r="K32" s="72">
        <f>IFERROR(INDEX('Visit Log'!$T$6:$T$1005,MATCH($A32,'Visit Log'!$X$6:$X$1005,0))&amp;"","")</f>
        <v/>
      </c>
    </row>
    <row r="33">
      <c r="A33" s="70" t="n">
        <v>13</v>
      </c>
      <c r="B33" s="71">
        <f>IFERROR(IF(INDEX('Visit Log'!$A$6:$A$1005,MATCH($A33,'Visit Log'!$X$6:$X$1005,0))="","",INDEX('Visit Log'!$A$6:$A$1005,MATCH($A33,'Visit Log'!$X$6:$X$1005,0))),"")</f>
        <v/>
      </c>
      <c r="C33" s="72">
        <f>IFERROR(INDEX('Visit Log'!$B$6:$B$1005,MATCH($A33,'Visit Log'!$X$6:$X$1005,0))&amp;"","")</f>
        <v/>
      </c>
      <c r="D33" s="72">
        <f>IFERROR(INDEX('Visit Log'!$F$6:$F$1005,MATCH($A33,'Visit Log'!$X$6:$X$1005,0))&amp;"","")</f>
        <v/>
      </c>
      <c r="E33" s="72">
        <f>IFERROR(INDEX('Visit Log'!$G$6:$G$1005,MATCH($A33,'Visit Log'!$X$6:$X$1005,0))&amp;"","")</f>
        <v/>
      </c>
      <c r="F33" s="73">
        <f>IFERROR(IF(INDEX('Visit Log'!$I$6:$I$1005,MATCH($A33,'Visit Log'!$X$6:$X$1005,0))="","",INDEX('Visit Log'!$I$6:$I$1005,MATCH($A33,'Visit Log'!$X$6:$X$1005,0))),"")</f>
        <v/>
      </c>
      <c r="G33" s="72">
        <f>IFERROR(INDEX('Visit Log'!$J$6:$J$1005,MATCH($A33,'Visit Log'!$X$6:$X$1005,0))&amp;"","")</f>
        <v/>
      </c>
      <c r="H33" s="72">
        <f>IFERROR(INDEX('Visit Log'!$O$6:$O$1005,MATCH($A33,'Visit Log'!$X$6:$X$1005,0))&amp;"","")</f>
        <v/>
      </c>
      <c r="I33" s="72">
        <f>IFERROR(INDEX('Visit Log'!$P$6:$P$1005,MATCH($A33,'Visit Log'!$X$6:$X$1005,0))&amp;"","")</f>
        <v/>
      </c>
      <c r="J33" s="72">
        <f>IFERROR(INDEX('Visit Log'!$Q$6:$Q$1005,MATCH($A33,'Visit Log'!$X$6:$X$1005,0))&amp;"","")</f>
        <v/>
      </c>
      <c r="K33" s="72">
        <f>IFERROR(INDEX('Visit Log'!$T$6:$T$1005,MATCH($A33,'Visit Log'!$X$6:$X$1005,0))&amp;"","")</f>
        <v/>
      </c>
    </row>
    <row r="34">
      <c r="A34" s="70" t="n">
        <v>14</v>
      </c>
      <c r="B34" s="71">
        <f>IFERROR(IF(INDEX('Visit Log'!$A$6:$A$1005,MATCH($A34,'Visit Log'!$X$6:$X$1005,0))="","",INDEX('Visit Log'!$A$6:$A$1005,MATCH($A34,'Visit Log'!$X$6:$X$1005,0))),"")</f>
        <v/>
      </c>
      <c r="C34" s="72">
        <f>IFERROR(INDEX('Visit Log'!$B$6:$B$1005,MATCH($A34,'Visit Log'!$X$6:$X$1005,0))&amp;"","")</f>
        <v/>
      </c>
      <c r="D34" s="72">
        <f>IFERROR(INDEX('Visit Log'!$F$6:$F$1005,MATCH($A34,'Visit Log'!$X$6:$X$1005,0))&amp;"","")</f>
        <v/>
      </c>
      <c r="E34" s="72">
        <f>IFERROR(INDEX('Visit Log'!$G$6:$G$1005,MATCH($A34,'Visit Log'!$X$6:$X$1005,0))&amp;"","")</f>
        <v/>
      </c>
      <c r="F34" s="73">
        <f>IFERROR(IF(INDEX('Visit Log'!$I$6:$I$1005,MATCH($A34,'Visit Log'!$X$6:$X$1005,0))="","",INDEX('Visit Log'!$I$6:$I$1005,MATCH($A34,'Visit Log'!$X$6:$X$1005,0))),"")</f>
        <v/>
      </c>
      <c r="G34" s="72">
        <f>IFERROR(INDEX('Visit Log'!$J$6:$J$1005,MATCH($A34,'Visit Log'!$X$6:$X$1005,0))&amp;"","")</f>
        <v/>
      </c>
      <c r="H34" s="72">
        <f>IFERROR(INDEX('Visit Log'!$O$6:$O$1005,MATCH($A34,'Visit Log'!$X$6:$X$1005,0))&amp;"","")</f>
        <v/>
      </c>
      <c r="I34" s="72">
        <f>IFERROR(INDEX('Visit Log'!$P$6:$P$1005,MATCH($A34,'Visit Log'!$X$6:$X$1005,0))&amp;"","")</f>
        <v/>
      </c>
      <c r="J34" s="72">
        <f>IFERROR(INDEX('Visit Log'!$Q$6:$Q$1005,MATCH($A34,'Visit Log'!$X$6:$X$1005,0))&amp;"","")</f>
        <v/>
      </c>
      <c r="K34" s="72">
        <f>IFERROR(INDEX('Visit Log'!$T$6:$T$1005,MATCH($A34,'Visit Log'!$X$6:$X$1005,0))&amp;"","")</f>
        <v/>
      </c>
    </row>
    <row r="35">
      <c r="A35" s="70" t="n">
        <v>15</v>
      </c>
      <c r="B35" s="71">
        <f>IFERROR(IF(INDEX('Visit Log'!$A$6:$A$1005,MATCH($A35,'Visit Log'!$X$6:$X$1005,0))="","",INDEX('Visit Log'!$A$6:$A$1005,MATCH($A35,'Visit Log'!$X$6:$X$1005,0))),"")</f>
        <v/>
      </c>
      <c r="C35" s="72">
        <f>IFERROR(INDEX('Visit Log'!$B$6:$B$1005,MATCH($A35,'Visit Log'!$X$6:$X$1005,0))&amp;"","")</f>
        <v/>
      </c>
      <c r="D35" s="72">
        <f>IFERROR(INDEX('Visit Log'!$F$6:$F$1005,MATCH($A35,'Visit Log'!$X$6:$X$1005,0))&amp;"","")</f>
        <v/>
      </c>
      <c r="E35" s="72">
        <f>IFERROR(INDEX('Visit Log'!$G$6:$G$1005,MATCH($A35,'Visit Log'!$X$6:$X$1005,0))&amp;"","")</f>
        <v/>
      </c>
      <c r="F35" s="73">
        <f>IFERROR(IF(INDEX('Visit Log'!$I$6:$I$1005,MATCH($A35,'Visit Log'!$X$6:$X$1005,0))="","",INDEX('Visit Log'!$I$6:$I$1005,MATCH($A35,'Visit Log'!$X$6:$X$1005,0))),"")</f>
        <v/>
      </c>
      <c r="G35" s="72">
        <f>IFERROR(INDEX('Visit Log'!$J$6:$J$1005,MATCH($A35,'Visit Log'!$X$6:$X$1005,0))&amp;"","")</f>
        <v/>
      </c>
      <c r="H35" s="72">
        <f>IFERROR(INDEX('Visit Log'!$O$6:$O$1005,MATCH($A35,'Visit Log'!$X$6:$X$1005,0))&amp;"","")</f>
        <v/>
      </c>
      <c r="I35" s="72">
        <f>IFERROR(INDEX('Visit Log'!$P$6:$P$1005,MATCH($A35,'Visit Log'!$X$6:$X$1005,0))&amp;"","")</f>
        <v/>
      </c>
      <c r="J35" s="72">
        <f>IFERROR(INDEX('Visit Log'!$Q$6:$Q$1005,MATCH($A35,'Visit Log'!$X$6:$X$1005,0))&amp;"","")</f>
        <v/>
      </c>
      <c r="K35" s="72">
        <f>IFERROR(INDEX('Visit Log'!$T$6:$T$1005,MATCH($A35,'Visit Log'!$X$6:$X$1005,0))&amp;"","")</f>
        <v/>
      </c>
    </row>
    <row r="36">
      <c r="A36" s="70" t="n">
        <v>16</v>
      </c>
      <c r="B36" s="71">
        <f>IFERROR(IF(INDEX('Visit Log'!$A$6:$A$1005,MATCH($A36,'Visit Log'!$X$6:$X$1005,0))="","",INDEX('Visit Log'!$A$6:$A$1005,MATCH($A36,'Visit Log'!$X$6:$X$1005,0))),"")</f>
        <v/>
      </c>
      <c r="C36" s="72">
        <f>IFERROR(INDEX('Visit Log'!$B$6:$B$1005,MATCH($A36,'Visit Log'!$X$6:$X$1005,0))&amp;"","")</f>
        <v/>
      </c>
      <c r="D36" s="72">
        <f>IFERROR(INDEX('Visit Log'!$F$6:$F$1005,MATCH($A36,'Visit Log'!$X$6:$X$1005,0))&amp;"","")</f>
        <v/>
      </c>
      <c r="E36" s="72">
        <f>IFERROR(INDEX('Visit Log'!$G$6:$G$1005,MATCH($A36,'Visit Log'!$X$6:$X$1005,0))&amp;"","")</f>
        <v/>
      </c>
      <c r="F36" s="73">
        <f>IFERROR(IF(INDEX('Visit Log'!$I$6:$I$1005,MATCH($A36,'Visit Log'!$X$6:$X$1005,0))="","",INDEX('Visit Log'!$I$6:$I$1005,MATCH($A36,'Visit Log'!$X$6:$X$1005,0))),"")</f>
        <v/>
      </c>
      <c r="G36" s="72">
        <f>IFERROR(INDEX('Visit Log'!$J$6:$J$1005,MATCH($A36,'Visit Log'!$X$6:$X$1005,0))&amp;"","")</f>
        <v/>
      </c>
      <c r="H36" s="72">
        <f>IFERROR(INDEX('Visit Log'!$O$6:$O$1005,MATCH($A36,'Visit Log'!$X$6:$X$1005,0))&amp;"","")</f>
        <v/>
      </c>
      <c r="I36" s="72">
        <f>IFERROR(INDEX('Visit Log'!$P$6:$P$1005,MATCH($A36,'Visit Log'!$X$6:$X$1005,0))&amp;"","")</f>
        <v/>
      </c>
      <c r="J36" s="72">
        <f>IFERROR(INDEX('Visit Log'!$Q$6:$Q$1005,MATCH($A36,'Visit Log'!$X$6:$X$1005,0))&amp;"","")</f>
        <v/>
      </c>
      <c r="K36" s="72">
        <f>IFERROR(INDEX('Visit Log'!$T$6:$T$1005,MATCH($A36,'Visit Log'!$X$6:$X$1005,0))&amp;"","")</f>
        <v/>
      </c>
    </row>
    <row r="37">
      <c r="A37" s="70" t="n">
        <v>17</v>
      </c>
      <c r="B37" s="71">
        <f>IFERROR(IF(INDEX('Visit Log'!$A$6:$A$1005,MATCH($A37,'Visit Log'!$X$6:$X$1005,0))="","",INDEX('Visit Log'!$A$6:$A$1005,MATCH($A37,'Visit Log'!$X$6:$X$1005,0))),"")</f>
        <v/>
      </c>
      <c r="C37" s="72">
        <f>IFERROR(INDEX('Visit Log'!$B$6:$B$1005,MATCH($A37,'Visit Log'!$X$6:$X$1005,0))&amp;"","")</f>
        <v/>
      </c>
      <c r="D37" s="72">
        <f>IFERROR(INDEX('Visit Log'!$F$6:$F$1005,MATCH($A37,'Visit Log'!$X$6:$X$1005,0))&amp;"","")</f>
        <v/>
      </c>
      <c r="E37" s="72">
        <f>IFERROR(INDEX('Visit Log'!$G$6:$G$1005,MATCH($A37,'Visit Log'!$X$6:$X$1005,0))&amp;"","")</f>
        <v/>
      </c>
      <c r="F37" s="73">
        <f>IFERROR(IF(INDEX('Visit Log'!$I$6:$I$1005,MATCH($A37,'Visit Log'!$X$6:$X$1005,0))="","",INDEX('Visit Log'!$I$6:$I$1005,MATCH($A37,'Visit Log'!$X$6:$X$1005,0))),"")</f>
        <v/>
      </c>
      <c r="G37" s="72">
        <f>IFERROR(INDEX('Visit Log'!$J$6:$J$1005,MATCH($A37,'Visit Log'!$X$6:$X$1005,0))&amp;"","")</f>
        <v/>
      </c>
      <c r="H37" s="72">
        <f>IFERROR(INDEX('Visit Log'!$O$6:$O$1005,MATCH($A37,'Visit Log'!$X$6:$X$1005,0))&amp;"","")</f>
        <v/>
      </c>
      <c r="I37" s="72">
        <f>IFERROR(INDEX('Visit Log'!$P$6:$P$1005,MATCH($A37,'Visit Log'!$X$6:$X$1005,0))&amp;"","")</f>
        <v/>
      </c>
      <c r="J37" s="72">
        <f>IFERROR(INDEX('Visit Log'!$Q$6:$Q$1005,MATCH($A37,'Visit Log'!$X$6:$X$1005,0))&amp;"","")</f>
        <v/>
      </c>
      <c r="K37" s="72">
        <f>IFERROR(INDEX('Visit Log'!$T$6:$T$1005,MATCH($A37,'Visit Log'!$X$6:$X$1005,0))&amp;"","")</f>
        <v/>
      </c>
    </row>
    <row r="38">
      <c r="A38" s="70" t="n">
        <v>18</v>
      </c>
      <c r="B38" s="71">
        <f>IFERROR(IF(INDEX('Visit Log'!$A$6:$A$1005,MATCH($A38,'Visit Log'!$X$6:$X$1005,0))="","",INDEX('Visit Log'!$A$6:$A$1005,MATCH($A38,'Visit Log'!$X$6:$X$1005,0))),"")</f>
        <v/>
      </c>
      <c r="C38" s="72">
        <f>IFERROR(INDEX('Visit Log'!$B$6:$B$1005,MATCH($A38,'Visit Log'!$X$6:$X$1005,0))&amp;"","")</f>
        <v/>
      </c>
      <c r="D38" s="72">
        <f>IFERROR(INDEX('Visit Log'!$F$6:$F$1005,MATCH($A38,'Visit Log'!$X$6:$X$1005,0))&amp;"","")</f>
        <v/>
      </c>
      <c r="E38" s="72">
        <f>IFERROR(INDEX('Visit Log'!$G$6:$G$1005,MATCH($A38,'Visit Log'!$X$6:$X$1005,0))&amp;"","")</f>
        <v/>
      </c>
      <c r="F38" s="73">
        <f>IFERROR(IF(INDEX('Visit Log'!$I$6:$I$1005,MATCH($A38,'Visit Log'!$X$6:$X$1005,0))="","",INDEX('Visit Log'!$I$6:$I$1005,MATCH($A38,'Visit Log'!$X$6:$X$1005,0))),"")</f>
        <v/>
      </c>
      <c r="G38" s="72">
        <f>IFERROR(INDEX('Visit Log'!$J$6:$J$1005,MATCH($A38,'Visit Log'!$X$6:$X$1005,0))&amp;"","")</f>
        <v/>
      </c>
      <c r="H38" s="72">
        <f>IFERROR(INDEX('Visit Log'!$O$6:$O$1005,MATCH($A38,'Visit Log'!$X$6:$X$1005,0))&amp;"","")</f>
        <v/>
      </c>
      <c r="I38" s="72">
        <f>IFERROR(INDEX('Visit Log'!$P$6:$P$1005,MATCH($A38,'Visit Log'!$X$6:$X$1005,0))&amp;"","")</f>
        <v/>
      </c>
      <c r="J38" s="72">
        <f>IFERROR(INDEX('Visit Log'!$Q$6:$Q$1005,MATCH($A38,'Visit Log'!$X$6:$X$1005,0))&amp;"","")</f>
        <v/>
      </c>
      <c r="K38" s="72">
        <f>IFERROR(INDEX('Visit Log'!$T$6:$T$1005,MATCH($A38,'Visit Log'!$X$6:$X$1005,0))&amp;"","")</f>
        <v/>
      </c>
    </row>
    <row r="39">
      <c r="A39" s="70" t="n">
        <v>19</v>
      </c>
      <c r="B39" s="71">
        <f>IFERROR(IF(INDEX('Visit Log'!$A$6:$A$1005,MATCH($A39,'Visit Log'!$X$6:$X$1005,0))="","",INDEX('Visit Log'!$A$6:$A$1005,MATCH($A39,'Visit Log'!$X$6:$X$1005,0))),"")</f>
        <v/>
      </c>
      <c r="C39" s="72">
        <f>IFERROR(INDEX('Visit Log'!$B$6:$B$1005,MATCH($A39,'Visit Log'!$X$6:$X$1005,0))&amp;"","")</f>
        <v/>
      </c>
      <c r="D39" s="72">
        <f>IFERROR(INDEX('Visit Log'!$F$6:$F$1005,MATCH($A39,'Visit Log'!$X$6:$X$1005,0))&amp;"","")</f>
        <v/>
      </c>
      <c r="E39" s="72">
        <f>IFERROR(INDEX('Visit Log'!$G$6:$G$1005,MATCH($A39,'Visit Log'!$X$6:$X$1005,0))&amp;"","")</f>
        <v/>
      </c>
      <c r="F39" s="73">
        <f>IFERROR(IF(INDEX('Visit Log'!$I$6:$I$1005,MATCH($A39,'Visit Log'!$X$6:$X$1005,0))="","",INDEX('Visit Log'!$I$6:$I$1005,MATCH($A39,'Visit Log'!$X$6:$X$1005,0))),"")</f>
        <v/>
      </c>
      <c r="G39" s="72">
        <f>IFERROR(INDEX('Visit Log'!$J$6:$J$1005,MATCH($A39,'Visit Log'!$X$6:$X$1005,0))&amp;"","")</f>
        <v/>
      </c>
      <c r="H39" s="72">
        <f>IFERROR(INDEX('Visit Log'!$O$6:$O$1005,MATCH($A39,'Visit Log'!$X$6:$X$1005,0))&amp;"","")</f>
        <v/>
      </c>
      <c r="I39" s="72">
        <f>IFERROR(INDEX('Visit Log'!$P$6:$P$1005,MATCH($A39,'Visit Log'!$X$6:$X$1005,0))&amp;"","")</f>
        <v/>
      </c>
      <c r="J39" s="72">
        <f>IFERROR(INDEX('Visit Log'!$Q$6:$Q$1005,MATCH($A39,'Visit Log'!$X$6:$X$1005,0))&amp;"","")</f>
        <v/>
      </c>
      <c r="K39" s="72">
        <f>IFERROR(INDEX('Visit Log'!$T$6:$T$1005,MATCH($A39,'Visit Log'!$X$6:$X$1005,0))&amp;"","")</f>
        <v/>
      </c>
    </row>
    <row r="40">
      <c r="A40" s="70" t="n">
        <v>20</v>
      </c>
      <c r="B40" s="71">
        <f>IFERROR(IF(INDEX('Visit Log'!$A$6:$A$1005,MATCH($A40,'Visit Log'!$X$6:$X$1005,0))="","",INDEX('Visit Log'!$A$6:$A$1005,MATCH($A40,'Visit Log'!$X$6:$X$1005,0))),"")</f>
        <v/>
      </c>
      <c r="C40" s="72">
        <f>IFERROR(INDEX('Visit Log'!$B$6:$B$1005,MATCH($A40,'Visit Log'!$X$6:$X$1005,0))&amp;"","")</f>
        <v/>
      </c>
      <c r="D40" s="72">
        <f>IFERROR(INDEX('Visit Log'!$F$6:$F$1005,MATCH($A40,'Visit Log'!$X$6:$X$1005,0))&amp;"","")</f>
        <v/>
      </c>
      <c r="E40" s="72">
        <f>IFERROR(INDEX('Visit Log'!$G$6:$G$1005,MATCH($A40,'Visit Log'!$X$6:$X$1005,0))&amp;"","")</f>
        <v/>
      </c>
      <c r="F40" s="73">
        <f>IFERROR(IF(INDEX('Visit Log'!$I$6:$I$1005,MATCH($A40,'Visit Log'!$X$6:$X$1005,0))="","",INDEX('Visit Log'!$I$6:$I$1005,MATCH($A40,'Visit Log'!$X$6:$X$1005,0))),"")</f>
        <v/>
      </c>
      <c r="G40" s="72">
        <f>IFERROR(INDEX('Visit Log'!$J$6:$J$1005,MATCH($A40,'Visit Log'!$X$6:$X$1005,0))&amp;"","")</f>
        <v/>
      </c>
      <c r="H40" s="72">
        <f>IFERROR(INDEX('Visit Log'!$O$6:$O$1005,MATCH($A40,'Visit Log'!$X$6:$X$1005,0))&amp;"","")</f>
        <v/>
      </c>
      <c r="I40" s="72">
        <f>IFERROR(INDEX('Visit Log'!$P$6:$P$1005,MATCH($A40,'Visit Log'!$X$6:$X$1005,0))&amp;"","")</f>
        <v/>
      </c>
      <c r="J40" s="72">
        <f>IFERROR(INDEX('Visit Log'!$Q$6:$Q$1005,MATCH($A40,'Visit Log'!$X$6:$X$1005,0))&amp;"","")</f>
        <v/>
      </c>
      <c r="K40" s="72">
        <f>IFERROR(INDEX('Visit Log'!$T$6:$T$1005,MATCH($A40,'Visit Log'!$X$6:$X$1005,0))&amp;"","")</f>
        <v/>
      </c>
    </row>
  </sheetData>
  <mergeCells count="24">
    <mergeCell ref="C16:K16"/>
    <mergeCell ref="A15:B15"/>
    <mergeCell ref="C10:K10"/>
    <mergeCell ref="A11:B11"/>
    <mergeCell ref="C9:K9"/>
    <mergeCell ref="C12:K12"/>
    <mergeCell ref="A16:B16"/>
    <mergeCell ref="C11:K11"/>
    <mergeCell ref="C17:K17"/>
    <mergeCell ref="C8:K8"/>
    <mergeCell ref="C5:F5"/>
    <mergeCell ref="A12:B12"/>
    <mergeCell ref="C4:F4"/>
    <mergeCell ref="A5:B5"/>
    <mergeCell ref="C13:K13"/>
    <mergeCell ref="A14:B14"/>
    <mergeCell ref="A17:B17"/>
    <mergeCell ref="A8:B8"/>
    <mergeCell ref="A4:B4"/>
    <mergeCell ref="C15:K15"/>
    <mergeCell ref="C14:K14"/>
    <mergeCell ref="A10:B10"/>
    <mergeCell ref="A13:B13"/>
    <mergeCell ref="A9:B9"/>
  </mergeCells>
  <conditionalFormatting sqref="K21:K40">
    <cfRule type="cellIs" priority="1" operator="equal" dxfId="0">
      <formula>"Open"</formula>
    </cfRule>
  </conditionalFormatting>
  <conditionalFormatting sqref="G21:G40">
    <cfRule type="cellIs" priority="2" operator="equal" dxfId="0">
      <formula>"Over plan"</formula>
    </cfRule>
  </conditionalFormatting>
  <dataValidations count="1">
    <dataValidation sqref="C4" showDropDown="0" showInputMessage="0" showErrorMessage="0" allowBlank="1" errorTitle="Not on the list" error="Pick a value from the list." type="list">
      <formula1>='Chain Program'!$A$6:$A$120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A5A19"/>
    <outlinePr summaryBelow="1" summaryRight="1"/>
    <pageSetUpPr fitToPage="1"/>
  </sheetPr>
  <dimension ref="A1:G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60" customWidth="1" min="4" max="4"/>
    <col width="46" customWidth="1" min="5" max="5"/>
    <col width="16" customWidth="1" min="6" max="6"/>
    <col width="10" customWidth="1" min="7" max="7"/>
  </cols>
  <sheetData>
    <row r="1" ht="24" customHeight="1">
      <c r="A1" s="11" t="inlineStr">
        <is>
          <t>DATA REVIEW - QUESTIONS FOUND WHILE MERGING THE TWO DOCUMENTS</t>
        </is>
      </c>
    </row>
    <row r="2">
      <c r="A2" s="2" t="inlineStr">
        <is>
          <t>Resolve these, then update Chain Program / Promo Calendar and flip Data Status to 'Current (2026)'.</t>
        </is>
      </c>
    </row>
    <row r="4" ht="18" customHeight="1">
      <c r="A4" s="24" t="inlineStr"/>
      <c r="B4" s="4" t="n"/>
      <c r="C4" s="4" t="n"/>
      <c r="D4" s="4" t="n"/>
      <c r="E4" s="4" t="n"/>
      <c r="F4" s="4" t="n"/>
      <c r="G4" s="4" t="n"/>
    </row>
    <row r="5" ht="42" customHeight="1">
      <c r="A5" s="29" t="inlineStr">
        <is>
          <t>#</t>
        </is>
      </c>
      <c r="B5" s="29" t="inlineStr">
        <is>
          <t>Account</t>
        </is>
      </c>
      <c r="C5" s="29" t="inlineStr">
        <is>
          <t>Brand</t>
        </is>
      </c>
      <c r="D5" s="29" t="inlineStr">
        <is>
          <t>Issue</t>
        </is>
      </c>
      <c r="E5" s="29" t="inlineStr">
        <is>
          <t>Action Needed</t>
        </is>
      </c>
      <c r="F5" s="29" t="inlineStr">
        <is>
          <t>Owner</t>
        </is>
      </c>
      <c r="G5" s="29" t="inlineStr">
        <is>
          <t>Resolved?</t>
        </is>
      </c>
    </row>
    <row r="6">
      <c r="A6" s="74" t="n">
        <v>1</v>
      </c>
      <c r="B6" s="74" t="inlineStr">
        <is>
          <t>All HW-only accounts</t>
        </is>
      </c>
      <c r="C6" s="74" t="inlineStr">
        <is>
          <t>Henry's</t>
        </is>
      </c>
      <c r="D6" s="74" t="inlineStr">
        <is>
          <t>The HW Soda hot sheet is dated 8/25/25. Its promo windows (e.g. 6/1-9/6, 10/5-1/3) are 2025 windows and have all expired. 29 programs carry 2025 SRPs forward and are marked 'Confirm for 2026'.</t>
        </is>
      </c>
      <c r="E6" s="74" t="inlineStr">
        <is>
          <t>Get 2026 SRP and promo windows for every program marked 'Confirm for 2026', then update Promo Calendar.</t>
        </is>
      </c>
      <c r="F6" s="75" t="n"/>
      <c r="G6" s="75" t="inlineStr">
        <is>
          <t>N</t>
        </is>
      </c>
    </row>
    <row r="7">
      <c r="A7" s="74" t="n">
        <v>2</v>
      </c>
      <c r="B7" s="74" t="inlineStr">
        <is>
          <t>WinCo Foods</t>
        </is>
      </c>
      <c r="C7" s="74" t="inlineStr">
        <is>
          <t>Henry's</t>
        </is>
      </c>
      <c r="D7" s="74" t="inlineStr">
        <is>
          <t>Non-Alc 2026 gives case-cost tiers ($23 / $19.55 / $18.40) by window but no shelf retail. The 2025 hot sheet had SRP $6.49 / TPR $5.88.</t>
        </is>
      </c>
      <c r="E7" s="74" t="inlineStr">
        <is>
          <t>Confirm the 2026 shelf retail for each tier so reps can audit shelf price, not just case cost.</t>
        </is>
      </c>
      <c r="F7" s="75" t="n"/>
      <c r="G7" s="75" t="inlineStr">
        <is>
          <t>N</t>
        </is>
      </c>
    </row>
    <row r="8">
      <c r="A8" s="74" t="n">
        <v>3</v>
      </c>
      <c r="B8" s="74" t="inlineStr">
        <is>
          <t>Albertsons/Safeway SWD</t>
        </is>
      </c>
      <c r="C8" s="74" t="inlineStr">
        <is>
          <t>Henry's</t>
        </is>
      </c>
      <c r="D8" s="74" t="inlineStr">
        <is>
          <t>Non-Alc says 'maintain $7.99 EDLP'; 2025 hot sheet ran TPR $5.99 against $7.99 SRP.</t>
        </is>
      </c>
      <c r="E8" s="74" t="inlineStr">
        <is>
          <t>Confirm whether SWD is EDLP-only for 2H 2026 (no TPRs).</t>
        </is>
      </c>
      <c r="F8" s="75" t="n"/>
      <c r="G8" s="75" t="inlineStr">
        <is>
          <t>N</t>
        </is>
      </c>
    </row>
    <row r="9">
      <c r="A9" s="74" t="n">
        <v>4</v>
      </c>
      <c r="B9" s="74" t="inlineStr">
        <is>
          <t>Albertsons/Safeway Mountain West North</t>
        </is>
      </c>
      <c r="C9" s="74" t="inlineStr">
        <is>
          <t>ZOA / Henry's</t>
        </is>
      </c>
      <c r="D9" s="74" t="inlineStr">
        <is>
          <t>Market listed as ID / MT / WY for ZOA but PNW / ID / UT / WY for Henry's.</t>
        </is>
      </c>
      <c r="E9" s="74" t="inlineStr">
        <is>
          <t>Confirm the division footprint and whether Intermountain #30 and Portland #19 now roll into Mountain West.</t>
        </is>
      </c>
      <c r="F9" s="75" t="n"/>
      <c r="G9" s="75" t="inlineStr">
        <is>
          <t>N</t>
        </is>
      </c>
    </row>
    <row r="10">
      <c r="A10" s="74" t="n">
        <v>5</v>
      </c>
      <c r="B10" s="74" t="inlineStr">
        <is>
          <t>Albertsons/Safeway divisions</t>
        </is>
      </c>
      <c r="C10" s="74" t="inlineStr">
        <is>
          <t>Henry's</t>
        </is>
      </c>
      <c r="D10" s="74" t="inlineStr">
        <is>
          <t>Portland #19, Haggen #24, NorCal #25, Seattle #27 and SoCal #29 carried Henry's in 2025 but are not in the Non-Alc Henry's section.</t>
        </is>
      </c>
      <c r="E10" s="74" t="inlineStr">
        <is>
          <t>Confirm Henry's is still authorized and get 2026 pricing.</t>
        </is>
      </c>
      <c r="F10" s="75" t="n"/>
      <c r="G10" s="75" t="inlineStr">
        <is>
          <t>N</t>
        </is>
      </c>
    </row>
    <row r="11">
      <c r="A11" s="74" t="n">
        <v>6</v>
      </c>
      <c r="B11" s="74" t="inlineStr">
        <is>
          <t>Plaid Pantry</t>
        </is>
      </c>
      <c r="C11" s="74" t="inlineStr">
        <is>
          <t>Henry's</t>
        </is>
      </c>
      <c r="D11" s="74" t="inlineStr">
        <is>
          <t>2025 SRP $1.50 single and promo '2 for $3.00' are the same unit price - no discount.</t>
        </is>
      </c>
      <c r="E11" s="74" t="inlineStr">
        <is>
          <t>Confirm the correct 2026 SRP or promo.</t>
        </is>
      </c>
      <c r="F11" s="75" t="n"/>
      <c r="G11" s="75" t="inlineStr">
        <is>
          <t>N</t>
        </is>
      </c>
    </row>
    <row r="12">
      <c r="A12" s="74" t="n">
        <v>7</v>
      </c>
      <c r="B12" s="74" t="inlineStr">
        <is>
          <t>Town &amp; Country Markets</t>
        </is>
      </c>
      <c r="C12" s="74" t="inlineStr">
        <is>
          <t>Henry's</t>
        </is>
      </c>
      <c r="D12" s="74" t="inlineStr">
        <is>
          <t>2025 TPR $6.49 equals SRP $6.49 - no discount.</t>
        </is>
      </c>
      <c r="E12" s="74" t="inlineStr">
        <is>
          <t>Confirm the correct 2026 SRP or promo.</t>
        </is>
      </c>
      <c r="F12" s="75" t="n"/>
      <c r="G12" s="75" t="inlineStr">
        <is>
          <t>N</t>
        </is>
      </c>
    </row>
    <row r="13">
      <c r="A13" s="74" t="n">
        <v>8</v>
      </c>
      <c r="B13" s="74" t="inlineStr">
        <is>
          <t>Raley's</t>
        </is>
      </c>
      <c r="C13" s="74" t="inlineStr">
        <is>
          <t>Henry's</t>
        </is>
      </c>
      <c r="D13" s="74" t="inlineStr">
        <is>
          <t>2H 2026 plan lists four promotional windows but no dates or shelf retail.</t>
        </is>
      </c>
      <c r="E13" s="74" t="inlineStr">
        <is>
          <t>Add the four window dates and retail to Promo Calendar.</t>
        </is>
      </c>
      <c r="F13" s="75" t="n"/>
      <c r="G13" s="75" t="inlineStr">
        <is>
          <t>N</t>
        </is>
      </c>
    </row>
    <row r="14">
      <c r="A14" s="74" t="n">
        <v>9</v>
      </c>
      <c r="B14" s="74" t="inlineStr">
        <is>
          <t>Yoke's Fresh Market</t>
        </is>
      </c>
      <c r="C14" s="74" t="inlineStr">
        <is>
          <t>ZOA / Henry's</t>
        </is>
      </c>
      <c r="D14" s="74" t="inlineStr">
        <is>
          <t>Retail TBD for both brands. Henry's $19.55 case cost window ended 9/8/26; ZOA ends 10/3/26.</t>
        </is>
      </c>
      <c r="E14" s="74" t="inlineStr">
        <is>
          <t>Get shelf retail so price audits can be scored.</t>
        </is>
      </c>
      <c r="F14" s="75" t="n"/>
      <c r="G14" s="75" t="inlineStr">
        <is>
          <t>N</t>
        </is>
      </c>
    </row>
    <row r="15">
      <c r="A15" s="74" t="n">
        <v>10</v>
      </c>
      <c r="B15" s="74" t="inlineStr">
        <is>
          <t>Kroger</t>
        </is>
      </c>
      <c r="C15" s="74" t="inlineStr">
        <is>
          <t>Fever-Tree</t>
        </is>
      </c>
      <c r="D15" s="74" t="inlineStr">
        <is>
          <t>P10-P13 plan details are 'in the source PowerPoint', which was not provided.</t>
        </is>
      </c>
      <c r="E15" s="74" t="inlineStr">
        <is>
          <t>Share the Kroger Fever-Tree deck so windows and scan prices can be loaded.</t>
        </is>
      </c>
      <c r="F15" s="75" t="n"/>
      <c r="G15" s="75" t="inlineStr">
        <is>
          <t>N</t>
        </is>
      </c>
    </row>
    <row r="16">
      <c r="A16" s="74" t="n">
        <v>11</v>
      </c>
      <c r="B16" s="74" t="inlineStr">
        <is>
          <t>Kroger banners</t>
        </is>
      </c>
      <c r="C16" s="74" t="inlineStr">
        <is>
          <t>Henry's</t>
        </is>
      </c>
      <c r="D16" s="74" t="inlineStr">
        <is>
          <t>Mega Buy 5 Save $5 timing on the hot sheet (6/18-7/8) is 2025. King Soopers is listed but has no outlet count.</t>
        </is>
      </c>
      <c r="E16" s="74" t="inlineStr">
        <is>
          <t>Confirm 2026 Kroger Henry's plan by banner.</t>
        </is>
      </c>
      <c r="F16" s="75" t="n"/>
      <c r="G16" s="75" t="inlineStr">
        <is>
          <t>N</t>
        </is>
      </c>
    </row>
    <row r="17">
      <c r="A17" s="74" t="n">
        <v>12</v>
      </c>
      <c r="B17" s="74" t="inlineStr">
        <is>
          <t>BevMo!</t>
        </is>
      </c>
      <c r="C17" s="74" t="inlineStr">
        <is>
          <t>Henry's</t>
        </is>
      </c>
      <c r="D17" s="74" t="inlineStr">
        <is>
          <t>Promo pricing TBD on 2025 hot sheet (Bob and Lexi setting up).</t>
        </is>
      </c>
      <c r="E17" s="74" t="inlineStr">
        <is>
          <t>Confirm status.</t>
        </is>
      </c>
      <c r="F17" s="75" t="n"/>
      <c r="G17" s="75" t="inlineStr">
        <is>
          <t>N</t>
        </is>
      </c>
    </row>
    <row r="18">
      <c r="A18" s="74" t="n">
        <v>13</v>
      </c>
      <c r="B18" s="74" t="inlineStr">
        <is>
          <t>Northwest Grocers (NWG)</t>
        </is>
      </c>
      <c r="C18" s="74" t="inlineStr">
        <is>
          <t>Henry's</t>
        </is>
      </c>
      <c r="D18" s="74" t="inlineStr">
        <is>
          <t>Outlet count is blank on the hot sheet.</t>
        </is>
      </c>
      <c r="E18" s="74" t="inlineStr">
        <is>
          <t>Add store count and store list.</t>
        </is>
      </c>
      <c r="F18" s="75" t="n"/>
      <c r="G18" s="75" t="inlineStr">
        <is>
          <t>N</t>
        </is>
      </c>
    </row>
    <row r="19">
      <c r="A19" s="74" t="n">
        <v>14</v>
      </c>
      <c r="B19" s="74" t="inlineStr">
        <is>
          <t>Stater Bros.</t>
        </is>
      </c>
      <c r="C19" s="74" t="inlineStr">
        <is>
          <t>Henry's</t>
        </is>
      </c>
      <c r="D19" s="74" t="inlineStr">
        <is>
          <t>163 outlets are listed under MU-CA HI NORTH NV, but Stater Bros. is a SoCal chain. 54 stores do not carry Orange Cream.</t>
        </is>
      </c>
      <c r="E19" s="74" t="inlineStr">
        <is>
          <t>Confirm market unit; build a distribution-gap target list for Orange Cream.</t>
        </is>
      </c>
      <c r="F19" s="75" t="n"/>
      <c r="G19" s="75" t="inlineStr">
        <is>
          <t>N</t>
        </is>
      </c>
    </row>
    <row r="20">
      <c r="A20" s="74" t="n">
        <v>15</v>
      </c>
      <c r="B20" s="74" t="inlineStr">
        <is>
          <t>Whole Foods Market</t>
        </is>
      </c>
      <c r="C20" s="74" t="inlineStr">
        <is>
          <t>Naked Life</t>
        </is>
      </c>
      <c r="D20" s="74" t="inlineStr">
        <is>
          <t>The WFM feature covers WA, OR, CA, TX (DSD) and FL + MA/NJ/MD dry stores (broadliner) - wider than the Pacific region.</t>
        </is>
      </c>
      <c r="E20" s="74" t="inlineStr">
        <is>
          <t>Confirm which WFM stores are on your team's routes.</t>
        </is>
      </c>
      <c r="F20" s="75" t="n"/>
      <c r="G20" s="75" t="inlineStr">
        <is>
          <t>N</t>
        </is>
      </c>
    </row>
    <row r="21">
      <c r="A21" s="74" t="n">
        <v>16</v>
      </c>
      <c r="B21" s="74" t="inlineStr">
        <is>
          <t>Harmons</t>
        </is>
      </c>
      <c r="C21" s="74" t="inlineStr">
        <is>
          <t>Fever-Tree</t>
        </is>
      </c>
      <c r="D21" s="74" t="inlineStr">
        <is>
          <t>Display months are listed as Aug / Nov / Dec without exact dates; calendar uses full months.</t>
        </is>
      </c>
      <c r="E21" s="74" t="inlineStr">
        <is>
          <t>Confirm exact ad and endcap weeks.</t>
        </is>
      </c>
      <c r="F21" s="75" t="n"/>
      <c r="G21" s="75" t="inlineStr">
        <is>
          <t>N</t>
        </is>
      </c>
    </row>
    <row r="22">
      <c r="A22" s="74" t="n">
        <v>17</v>
      </c>
      <c r="B22" s="74" t="inlineStr">
        <is>
          <t>Both source documents</t>
        </is>
      </c>
      <c r="C22" s="74" t="inlineStr">
        <is>
          <t>All</t>
        </is>
      </c>
      <c r="D22" s="74" t="inlineStr">
        <is>
          <t>Chain names in both documents are logos only (images), so they cannot be searched, filtered or counted.</t>
        </is>
      </c>
      <c r="E22" s="74" t="inlineStr">
        <is>
          <t>Keep chain names as text in the tool; logos are optional decoration.</t>
        </is>
      </c>
      <c r="F22" s="75" t="n"/>
      <c r="G22" s="75" t="inlineStr">
        <is>
          <t>N</t>
        </is>
      </c>
    </row>
  </sheetData>
  <mergeCells count="1">
    <mergeCell ref="A4:G4"/>
  </mergeCells>
  <conditionalFormatting sqref="G6:G22">
    <cfRule type="cellIs" priority="1" operator="equal" dxfId="2">
      <formula>"Y"</formula>
    </cfRule>
  </conditionalFormatting>
  <dataValidations count="1">
    <dataValidation sqref="G6:G22" showDropDown="0" showInputMessage="0" showErrorMessage="0" allowBlank="1" errorTitle="Not on the list" error="Pick a value from the list." type="list">
      <formula1>=Lists!$F$4:$F$5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4A5563"/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34" customWidth="1" min="4" max="4"/>
    <col width="22" customWidth="1" min="5" max="5"/>
    <col width="22" customWidth="1" min="6" max="6"/>
    <col width="22" customWidth="1" min="7" max="7"/>
  </cols>
  <sheetData>
    <row r="1">
      <c r="A1" s="76" t="inlineStr">
        <is>
          <t>Dropdown lists (manager maintains)</t>
        </is>
      </c>
    </row>
    <row r="3">
      <c r="A3" s="24" t="inlineStr">
        <is>
          <t>Team Roster</t>
        </is>
      </c>
      <c r="B3" s="24" t="inlineStr">
        <is>
          <t>Brand</t>
        </is>
      </c>
      <c r="C3" s="24" t="inlineStr">
        <is>
          <t>SKU / Pack</t>
        </is>
      </c>
      <c r="D3" s="24" t="inlineStr">
        <is>
          <t>Discrepancy Type</t>
        </is>
      </c>
      <c r="E3" s="24" t="inlineStr">
        <is>
          <t>Status</t>
        </is>
      </c>
      <c r="F3" s="24" t="inlineStr">
        <is>
          <t>Y/N</t>
        </is>
      </c>
      <c r="G3" s="24" t="inlineStr">
        <is>
          <t>Display</t>
        </is>
      </c>
    </row>
    <row r="4">
      <c r="A4" s="77" t="inlineStr">
        <is>
          <t>EXAMPLE - delete me</t>
        </is>
      </c>
      <c r="B4" s="77" t="inlineStr">
        <is>
          <t>ZOA</t>
        </is>
      </c>
      <c r="C4" s="77" t="inlineStr">
        <is>
          <t>All</t>
        </is>
      </c>
      <c r="D4" s="77" t="inlineStr">
        <is>
          <t>None</t>
        </is>
      </c>
      <c r="E4" s="77" t="inlineStr">
        <is>
          <t>No Issue</t>
        </is>
      </c>
      <c r="F4" s="77" t="inlineStr">
        <is>
          <t>Y</t>
        </is>
      </c>
      <c r="G4" s="77" t="inlineStr">
        <is>
          <t>Yes</t>
        </is>
      </c>
    </row>
    <row r="5">
      <c r="A5" s="77" t="inlineStr">
        <is>
          <t>Chris Armstrong</t>
        </is>
      </c>
      <c r="B5" s="77" t="inlineStr">
        <is>
          <t>Henry's</t>
        </is>
      </c>
      <c r="C5" s="77" t="inlineStr">
        <is>
          <t>12pk</t>
        </is>
      </c>
      <c r="D5" s="77" t="inlineStr">
        <is>
          <t>Price - over plan</t>
        </is>
      </c>
      <c r="E5" s="77" t="inlineStr">
        <is>
          <t>Open</t>
        </is>
      </c>
      <c r="F5" s="77" t="inlineStr">
        <is>
          <t>N</t>
        </is>
      </c>
      <c r="G5" s="77" t="inlineStr">
        <is>
          <t>No</t>
        </is>
      </c>
    </row>
    <row r="6">
      <c r="A6" s="77" t="n"/>
      <c r="B6" s="77" t="inlineStr">
        <is>
          <t>Fever-Tree</t>
        </is>
      </c>
      <c r="C6" s="77" t="inlineStr">
        <is>
          <t>Singles (Frosted Grape/Tropical Punch)</t>
        </is>
      </c>
      <c r="D6" s="77" t="inlineStr">
        <is>
          <t>Price - under plan</t>
        </is>
      </c>
      <c r="E6" s="77" t="inlineStr">
        <is>
          <t>In Progress</t>
        </is>
      </c>
      <c r="G6" s="77" t="inlineStr">
        <is>
          <t>N/A</t>
        </is>
      </c>
    </row>
    <row r="7">
      <c r="A7" s="77" t="n"/>
      <c r="B7" s="77" t="inlineStr">
        <is>
          <t>Naked Life</t>
        </is>
      </c>
      <c r="C7" s="77" t="inlineStr">
        <is>
          <t>4pk</t>
        </is>
      </c>
      <c r="D7" s="77" t="inlineStr">
        <is>
          <t>Missing / wrong shelf tag</t>
        </is>
      </c>
      <c r="E7" s="77" t="inlineStr">
        <is>
          <t>Resolved</t>
        </is>
      </c>
    </row>
    <row r="8">
      <c r="A8" s="77" t="n"/>
      <c r="C8" s="77" t="inlineStr">
        <is>
          <t>8pk</t>
        </is>
      </c>
      <c r="D8" s="77" t="inlineStr">
        <is>
          <t>Expired promo tag still up</t>
        </is>
      </c>
    </row>
    <row r="9">
      <c r="A9" s="77" t="n"/>
      <c r="C9" s="77" t="inlineStr">
        <is>
          <t>500mL</t>
        </is>
      </c>
      <c r="D9" s="77" t="inlineStr">
        <is>
          <t>Out of stock / missing SKU</t>
        </is>
      </c>
    </row>
    <row r="10">
      <c r="A10" s="77" t="n"/>
      <c r="C10" s="77" t="inlineStr">
        <is>
          <t>Root Beer</t>
        </is>
      </c>
      <c r="D10" s="77" t="inlineStr">
        <is>
          <t>Wrong shelf location (planogram)</t>
        </is>
      </c>
    </row>
    <row r="11">
      <c r="A11" s="77" t="n"/>
      <c r="C11" s="77" t="inlineStr">
        <is>
          <t>Black Cherry Cream</t>
        </is>
      </c>
      <c r="D11" s="77" t="inlineStr">
        <is>
          <t>Display not built</t>
        </is>
      </c>
    </row>
    <row r="12">
      <c r="A12" s="77" t="n"/>
      <c r="C12" s="77" t="inlineStr">
        <is>
          <t>Orange Cream</t>
        </is>
      </c>
      <c r="D12" s="77" t="inlineStr">
        <is>
          <t>Display built - wrong product/price</t>
        </is>
      </c>
    </row>
    <row r="13">
      <c r="A13" s="77" t="n"/>
      <c r="C13" s="77" t="inlineStr">
        <is>
          <t>Vanilla Cream</t>
        </is>
      </c>
      <c r="D13" s="77" t="inlineStr">
        <is>
          <t>Unauthorized SKU on shelf</t>
        </is>
      </c>
    </row>
    <row r="14">
      <c r="A14" s="77" t="n"/>
      <c r="C14" s="77" t="inlineStr">
        <is>
          <t>Margarita 4pk</t>
        </is>
      </c>
      <c r="D14" s="77" t="inlineStr">
        <is>
          <t>Backstock missing</t>
        </is>
      </c>
    </row>
    <row r="15">
      <c r="A15" s="77" t="n"/>
      <c r="C15" s="77" t="inlineStr">
        <is>
          <t>Mojito 4pk</t>
        </is>
      </c>
      <c r="D15" s="77" t="inlineStr">
        <is>
          <t>Other</t>
        </is>
      </c>
    </row>
    <row r="16">
      <c r="A16" s="77" t="n"/>
    </row>
    <row r="17">
      <c r="A17" s="77" t="n"/>
    </row>
    <row r="18">
      <c r="A18" s="77" t="n"/>
    </row>
    <row r="19">
      <c r="A19" s="77" t="n"/>
    </row>
    <row r="20">
      <c r="A20" s="77" t="n"/>
    </row>
    <row r="21">
      <c r="A21" s="77" t="n"/>
    </row>
    <row r="22">
      <c r="A22" s="77" t="n"/>
    </row>
    <row r="23">
      <c r="A23" s="77" t="n"/>
    </row>
    <row r="24">
      <c r="A24" s="77" t="n"/>
    </row>
    <row r="25">
      <c r="A25" s="77" t="n"/>
    </row>
    <row r="26">
      <c r="A26" s="77" t="n"/>
    </row>
    <row r="27">
      <c r="A27" s="77" t="n"/>
    </row>
    <row r="28">
      <c r="A28" s="77" t="n"/>
    </row>
    <row r="31">
      <c r="A31" s="2" t="inlineStr">
        <is>
          <t>Add team members in the Team Roster column (blank rows are already in the dropdown range).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2026-09-26T03:15:49Z</dcterms:created>
  <dcterms:modified xmlns:dcterms="http://purl.org/dc/terms/" xmlns:xsi="http://www.w3.org/2001/XMLSchema-instance" xsi:type="dcterms:W3CDTF">2026-09-26T03:15:51Z</dcterms:modified>
</cp:coreProperties>
</file>